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1bde4d8205714a/◆駒寄◆/★会計★/②一般会計/2024-R6会計年度/"/>
    </mc:Choice>
  </mc:AlternateContent>
  <xr:revisionPtr revIDLastSave="316" documentId="8_{B97F8F4A-797B-284F-92EC-06EFE27F67D0}" xr6:coauthVersionLast="47" xr6:coauthVersionMax="47" xr10:uidLastSave="{D6E2892C-1710-49A8-AD5D-DE4D605D720E}"/>
  <bookViews>
    <workbookView xWindow="14115" yWindow="-210" windowWidth="14610" windowHeight="15330" xr2:uid="{00000000-000D-0000-FFFF-FFFF00000000}"/>
  </bookViews>
  <sheets>
    <sheet name="（支　出）" sheetId="2" r:id="rId1"/>
  </sheets>
  <definedNames>
    <definedName name="_xlnm.Print_Area" localSheetId="0">'（支　出）'!$A$1:$H$38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2" l="1"/>
  <c r="I17" i="2"/>
  <c r="E7" i="2" l="1"/>
  <c r="C27" i="2"/>
  <c r="C24" i="2"/>
  <c r="C21" i="2"/>
  <c r="C4" i="2"/>
  <c r="E37" i="2"/>
  <c r="E34" i="2"/>
  <c r="E33" i="2"/>
  <c r="E32" i="2"/>
  <c r="E31" i="2"/>
  <c r="E30" i="2"/>
  <c r="E29" i="2"/>
  <c r="E28" i="2"/>
  <c r="E26" i="2"/>
  <c r="E25" i="2"/>
  <c r="E17" i="2"/>
  <c r="E15" i="2"/>
  <c r="E13" i="2"/>
  <c r="E11" i="2"/>
  <c r="E9" i="2"/>
  <c r="E6" i="2"/>
  <c r="E27" i="2" l="1"/>
  <c r="E4" i="2"/>
  <c r="E19" i="2"/>
  <c r="C8" i="2"/>
  <c r="E24" i="2"/>
  <c r="C36" i="2" l="1"/>
  <c r="E36" i="2" s="1"/>
  <c r="E8" i="2"/>
</calcChain>
</file>

<file path=xl/sharedStrings.xml><?xml version="1.0" encoding="utf-8"?>
<sst xmlns="http://schemas.openxmlformats.org/spreadsheetml/2006/main" count="64" uniqueCount="64">
  <si>
    <t>2．ｺﾐｭﾆﾃｨ活動費</t>
    <rPh sb="8" eb="10">
      <t>カツドウ</t>
    </rPh>
    <rPh sb="10" eb="11">
      <t>ヒ</t>
    </rPh>
    <phoneticPr fontId="2"/>
  </si>
  <si>
    <t>　（1）防犯灯設置管理費</t>
    <rPh sb="4" eb="6">
      <t>ボウハン</t>
    </rPh>
    <rPh sb="6" eb="7">
      <t>トウ</t>
    </rPh>
    <rPh sb="7" eb="9">
      <t>セッチ</t>
    </rPh>
    <rPh sb="9" eb="11">
      <t>カンリ</t>
    </rPh>
    <rPh sb="11" eb="12">
      <t>ヒ</t>
    </rPh>
    <phoneticPr fontId="2"/>
  </si>
  <si>
    <t>（単位：　円）</t>
  </si>
  <si>
    <t>（支　出）</t>
    <rPh sb="1" eb="2">
      <t>シ</t>
    </rPh>
    <rPh sb="3" eb="4">
      <t>デ</t>
    </rPh>
    <phoneticPr fontId="2"/>
  </si>
  <si>
    <t>1．施設・器材費</t>
    <rPh sb="2" eb="4">
      <t>シセツ</t>
    </rPh>
    <rPh sb="5" eb="7">
      <t>キザイ</t>
    </rPh>
    <rPh sb="7" eb="8">
      <t>ヒ</t>
    </rPh>
    <phoneticPr fontId="2"/>
  </si>
  <si>
    <t>　（2）防災器材購入費</t>
    <rPh sb="4" eb="6">
      <t>ボウサイ</t>
    </rPh>
    <rPh sb="6" eb="8">
      <t>キザイ</t>
    </rPh>
    <rPh sb="8" eb="11">
      <t>コウニュウヒ</t>
    </rPh>
    <phoneticPr fontId="2"/>
  </si>
  <si>
    <t>　（3）施設器材等整備費</t>
    <rPh sb="4" eb="6">
      <t>シセツ</t>
    </rPh>
    <rPh sb="6" eb="8">
      <t>キザイ</t>
    </rPh>
    <rPh sb="8" eb="9">
      <t>トウ</t>
    </rPh>
    <rPh sb="9" eb="11">
      <t>セイビ</t>
    </rPh>
    <rPh sb="11" eb="12">
      <t>ヒ</t>
    </rPh>
    <phoneticPr fontId="2"/>
  </si>
  <si>
    <t>　（1）事務連絡活動費</t>
    <rPh sb="4" eb="6">
      <t>ジム</t>
    </rPh>
    <rPh sb="6" eb="8">
      <t>レンラク</t>
    </rPh>
    <rPh sb="8" eb="10">
      <t>カツドウ</t>
    </rPh>
    <rPh sb="10" eb="11">
      <t>ヒ</t>
    </rPh>
    <phoneticPr fontId="2"/>
  </si>
  <si>
    <t>　（3）文化活動費</t>
    <rPh sb="4" eb="6">
      <t>ブンカ</t>
    </rPh>
    <rPh sb="6" eb="8">
      <t>カツドウ</t>
    </rPh>
    <rPh sb="8" eb="9">
      <t>ヒ</t>
    </rPh>
    <phoneticPr fontId="2"/>
  </si>
  <si>
    <t>　（6）福祉厚生費</t>
    <rPh sb="4" eb="6">
      <t>フクシ</t>
    </rPh>
    <rPh sb="6" eb="8">
      <t>コウセイ</t>
    </rPh>
    <rPh sb="8" eb="9">
      <t>ヒ</t>
    </rPh>
    <phoneticPr fontId="2"/>
  </si>
  <si>
    <t>　（1）広報作成費</t>
    <rPh sb="4" eb="6">
      <t>コウホウ</t>
    </rPh>
    <rPh sb="6" eb="8">
      <t>サクセイ</t>
    </rPh>
    <rPh sb="8" eb="9">
      <t>ヒ</t>
    </rPh>
    <phoneticPr fontId="2"/>
  </si>
  <si>
    <t>　（2）配布費</t>
    <rPh sb="4" eb="6">
      <t>ハイフ</t>
    </rPh>
    <rPh sb="6" eb="7">
      <t>ヒ</t>
    </rPh>
    <phoneticPr fontId="2"/>
  </si>
  <si>
    <t>　支出合計</t>
    <rPh sb="1" eb="3">
      <t>シシュツ</t>
    </rPh>
    <rPh sb="3" eb="5">
      <t>ゴウケイ</t>
    </rPh>
    <phoneticPr fontId="2"/>
  </si>
  <si>
    <t>　会館維持補填費</t>
    <rPh sb="1" eb="3">
      <t>カイカン</t>
    </rPh>
    <rPh sb="3" eb="5">
      <t>イジ</t>
    </rPh>
    <rPh sb="5" eb="7">
      <t>ホテン</t>
    </rPh>
    <rPh sb="7" eb="8">
      <t>ヒ</t>
    </rPh>
    <phoneticPr fontId="2"/>
  </si>
  <si>
    <t>3．広報活動費</t>
    <rPh sb="2" eb="4">
      <t>コウホウ</t>
    </rPh>
    <rPh sb="4" eb="6">
      <t>カツドウ</t>
    </rPh>
    <rPh sb="6" eb="7">
      <t>ヒ</t>
    </rPh>
    <phoneticPr fontId="2"/>
  </si>
  <si>
    <t>4．環境費</t>
    <rPh sb="2" eb="4">
      <t>カンキョウ</t>
    </rPh>
    <rPh sb="4" eb="5">
      <t>ヒ</t>
    </rPh>
    <phoneticPr fontId="2"/>
  </si>
  <si>
    <t>5.　運営費</t>
    <rPh sb="3" eb="5">
      <t>ウンエイ</t>
    </rPh>
    <rPh sb="5" eb="6">
      <t>ヒ</t>
    </rPh>
    <phoneticPr fontId="2"/>
  </si>
  <si>
    <t>7.　積立金</t>
    <rPh sb="3" eb="5">
      <t>ツミタテ</t>
    </rPh>
    <rPh sb="5" eb="6">
      <t>キン</t>
    </rPh>
    <phoneticPr fontId="2"/>
  </si>
  <si>
    <t>8. 次年度繰越金</t>
    <rPh sb="3" eb="6">
      <t>ジネンド</t>
    </rPh>
    <rPh sb="6" eb="8">
      <t>クリコシ</t>
    </rPh>
    <rPh sb="8" eb="9">
      <t>キン</t>
    </rPh>
    <phoneticPr fontId="2"/>
  </si>
  <si>
    <t>6.　雑費(予備費)</t>
    <rPh sb="3" eb="5">
      <t>ザッピ</t>
    </rPh>
    <rPh sb="6" eb="9">
      <t>ヨビヒ</t>
    </rPh>
    <phoneticPr fontId="2"/>
  </si>
  <si>
    <t xml:space="preserve"> 自主防災計画に基づき支出増減あり</t>
    <rPh sb="1" eb="3">
      <t>ジシュ</t>
    </rPh>
    <rPh sb="3" eb="5">
      <t>ボウサイ</t>
    </rPh>
    <rPh sb="5" eb="7">
      <t>ケイカク</t>
    </rPh>
    <rPh sb="8" eb="9">
      <t>モト</t>
    </rPh>
    <rPh sb="11" eb="13">
      <t>シシュツ</t>
    </rPh>
    <rPh sb="13" eb="15">
      <t>ゾウゲン</t>
    </rPh>
    <phoneticPr fontId="2"/>
  </si>
  <si>
    <t>R.4</t>
    <phoneticPr fontId="7"/>
  </si>
  <si>
    <t>R.3</t>
    <phoneticPr fontId="7"/>
  </si>
  <si>
    <t>　少年部活動費　　　　　</t>
    <phoneticPr fontId="2"/>
  </si>
  <si>
    <t>　（2)青少年育成活動費</t>
    <rPh sb="4" eb="7">
      <t>セイショウネン</t>
    </rPh>
    <rPh sb="7" eb="9">
      <t>イクセイ</t>
    </rPh>
    <rPh sb="9" eb="11">
      <t>カツドウ</t>
    </rPh>
    <rPh sb="11" eb="12">
      <t>ヒ</t>
    </rPh>
    <phoneticPr fontId="2"/>
  </si>
  <si>
    <t>　（4)体育振興費</t>
    <rPh sb="4" eb="6">
      <t>タイイク</t>
    </rPh>
    <rPh sb="6" eb="8">
      <t>シンコウ</t>
    </rPh>
    <rPh sb="8" eb="9">
      <t>ヒ</t>
    </rPh>
    <phoneticPr fontId="2"/>
  </si>
  <si>
    <t>　（5)安全活動費</t>
    <rPh sb="4" eb="6">
      <t>アンゼン</t>
    </rPh>
    <rPh sb="6" eb="8">
      <t>カツドウ</t>
    </rPh>
    <rPh sb="8" eb="9">
      <t>ヒ</t>
    </rPh>
    <phoneticPr fontId="2"/>
  </si>
  <si>
    <t>▼前年度実績</t>
    <rPh sb="1" eb="4">
      <t>ゼンネンド</t>
    </rPh>
    <rPh sb="4" eb="6">
      <t>ジッセキ</t>
    </rPh>
    <phoneticPr fontId="13"/>
  </si>
  <si>
    <t>▼資源回収分</t>
    <rPh sb="1" eb="5">
      <t>シゲンカイシュウ</t>
    </rPh>
    <rPh sb="5" eb="6">
      <t>ブン</t>
    </rPh>
    <phoneticPr fontId="2"/>
  </si>
  <si>
    <t>［前年度実績：　331,688円］</t>
    <phoneticPr fontId="2"/>
  </si>
  <si>
    <t>　印刷・事務用品・事務連絡費等  　</t>
    <phoneticPr fontId="2"/>
  </si>
  <si>
    <t>　防災訓練・夜警 5万円</t>
    <rPh sb="1" eb="3">
      <t>ボウサイ</t>
    </rPh>
    <rPh sb="3" eb="5">
      <t>クンレン</t>
    </rPh>
    <rPh sb="6" eb="8">
      <t>ヤケイ</t>
    </rPh>
    <rPh sb="10" eb="11">
      <t>マン</t>
    </rPh>
    <rPh sb="11" eb="12">
      <t>エン</t>
    </rPh>
    <phoneticPr fontId="2"/>
  </si>
  <si>
    <t>　健民運動会 10万円</t>
    <rPh sb="1" eb="2">
      <t>ケン</t>
    </rPh>
    <rPh sb="2" eb="3">
      <t>ミン</t>
    </rPh>
    <rPh sb="3" eb="6">
      <t>ウンドウカイ</t>
    </rPh>
    <rPh sb="9" eb="11">
      <t>マンエン</t>
    </rPh>
    <phoneticPr fontId="2"/>
  </si>
  <si>
    <t>　学区ｿﾌﾄﾎﾞｰﾙ大会 5万円</t>
    <rPh sb="1" eb="3">
      <t>ガック</t>
    </rPh>
    <rPh sb="10" eb="12">
      <t>タイカイ</t>
    </rPh>
    <rPh sb="14" eb="15">
      <t>マン</t>
    </rPh>
    <rPh sb="15" eb="16">
      <t>エン</t>
    </rPh>
    <phoneticPr fontId="2"/>
  </si>
  <si>
    <t xml:space="preserve">  懇親餅つき大会</t>
    <phoneticPr fontId="2"/>
  </si>
  <si>
    <t>　はたちの祝い品 3万円</t>
    <rPh sb="5" eb="6">
      <t>イワ</t>
    </rPh>
    <rPh sb="6" eb="7">
      <t>イワ</t>
    </rPh>
    <rPh sb="10" eb="12">
      <t>マンエン</t>
    </rPh>
    <phoneticPr fontId="2"/>
  </si>
  <si>
    <t>　敬老（75才以上）祝い品 14万円</t>
    <rPh sb="1" eb="3">
      <t>ケイロウ</t>
    </rPh>
    <rPh sb="6" eb="7">
      <t>サイ</t>
    </rPh>
    <rPh sb="7" eb="9">
      <t>イジョウ</t>
    </rPh>
    <rPh sb="10" eb="11">
      <t>イワ</t>
    </rPh>
    <rPh sb="12" eb="13">
      <t>ヒン</t>
    </rPh>
    <rPh sb="16" eb="18">
      <t>マンエン</t>
    </rPh>
    <phoneticPr fontId="2"/>
  </si>
  <si>
    <t>←支出合計は、収入合計に連動。</t>
    <rPh sb="1" eb="3">
      <t>シシュツ</t>
    </rPh>
    <rPh sb="3" eb="5">
      <t>ゴウケイ</t>
    </rPh>
    <rPh sb="7" eb="9">
      <t>シュウニュウ</t>
    </rPh>
    <rPh sb="9" eb="11">
      <t>ゴウケイ</t>
    </rPh>
    <rPh sb="12" eb="14">
      <t>レンドウ</t>
    </rPh>
    <phoneticPr fontId="2"/>
  </si>
  <si>
    <t>　（1）会議費</t>
    <rPh sb="4" eb="7">
      <t>カイギヒ</t>
    </rPh>
    <phoneticPr fontId="2"/>
  </si>
  <si>
    <t>　（5）保険料</t>
    <rPh sb="4" eb="7">
      <t>ホケンリョウ</t>
    </rPh>
    <phoneticPr fontId="2"/>
  </si>
  <si>
    <t>　（4）渉外慶弔費</t>
    <rPh sb="4" eb="6">
      <t>ショウガイ</t>
    </rPh>
    <rPh sb="6" eb="8">
      <t>ケイチョウ</t>
    </rPh>
    <rPh sb="8" eb="9">
      <t>ヒ</t>
    </rPh>
    <phoneticPr fontId="2"/>
  </si>
  <si>
    <t>　（3）諸負担金</t>
    <rPh sb="4" eb="5">
      <t>ショ</t>
    </rPh>
    <rPh sb="5" eb="8">
      <t>フタンキン</t>
    </rPh>
    <phoneticPr fontId="2"/>
  </si>
  <si>
    <t>　（2）交通通信費</t>
    <rPh sb="4" eb="6">
      <t>コウツウ</t>
    </rPh>
    <rPh sb="6" eb="8">
      <t>ツウシン</t>
    </rPh>
    <rPh sb="8" eb="9">
      <t>ヒ</t>
    </rPh>
    <phoneticPr fontId="2"/>
  </si>
  <si>
    <t>　（1）公園清掃費</t>
    <rPh sb="4" eb="6">
      <t>コウエン</t>
    </rPh>
    <rPh sb="6" eb="8">
      <t>セイソウ</t>
    </rPh>
    <rPh sb="8" eb="9">
      <t>ヒ</t>
    </rPh>
    <phoneticPr fontId="2"/>
  </si>
  <si>
    <t>　（2）クリーン活動費</t>
    <rPh sb="8" eb="10">
      <t>カツドウ</t>
    </rPh>
    <rPh sb="10" eb="11">
      <t>ヒ</t>
    </rPh>
    <phoneticPr fontId="2"/>
  </si>
  <si>
    <t>　祝金、香典等（前年度実績 83,500円）</t>
    <rPh sb="1" eb="2">
      <t>イワイ</t>
    </rPh>
    <rPh sb="2" eb="3">
      <t>キン</t>
    </rPh>
    <rPh sb="4" eb="6">
      <t>コウデン</t>
    </rPh>
    <rPh sb="6" eb="7">
      <t>トウ</t>
    </rPh>
    <rPh sb="11" eb="13">
      <t>ジッセキ</t>
    </rPh>
    <phoneticPr fontId="2"/>
  </si>
  <si>
    <t>　自治会総合保険（前年度実績 22,500円）</t>
    <rPh sb="9" eb="12">
      <t>ゼンネンド</t>
    </rPh>
    <rPh sb="12" eb="14">
      <t>ジッセキ</t>
    </rPh>
    <rPh sb="21" eb="22">
      <t>エン</t>
    </rPh>
    <phoneticPr fontId="2"/>
  </si>
  <si>
    <t xml:space="preserve">　　前年度資源回収奨励金 93,200円 </t>
    <rPh sb="19" eb="20">
      <t>エン</t>
    </rPh>
    <phoneticPr fontId="2"/>
  </si>
  <si>
    <t>　ゴミかごネット他（前年度実績 4,800円）</t>
    <rPh sb="8" eb="9">
      <t>タ</t>
    </rPh>
    <phoneticPr fontId="2"/>
  </si>
  <si>
    <t>史料収集等</t>
    <rPh sb="0" eb="2">
      <t>シリョウ</t>
    </rPh>
    <rPh sb="2" eb="4">
      <t>シュウシュウ</t>
    </rPh>
    <rPh sb="4" eb="5">
      <t>トウ</t>
    </rPh>
    <phoneticPr fontId="2"/>
  </si>
  <si>
    <t xml:space="preserve">  臨時的経費（前年度実績 46,372円）</t>
    <rPh sb="2" eb="5">
      <t>リンジテキ</t>
    </rPh>
    <rPh sb="5" eb="7">
      <t>ケイヒ</t>
    </rPh>
    <phoneticPr fontId="2"/>
  </si>
  <si>
    <t xml:space="preserve">  （前年度芋煮会　75,629円）</t>
    <rPh sb="3" eb="6">
      <t>ゼンネンド</t>
    </rPh>
    <rPh sb="6" eb="8">
      <t>イモニ</t>
    </rPh>
    <rPh sb="16" eb="17">
      <t>エン</t>
    </rPh>
    <phoneticPr fontId="2"/>
  </si>
  <si>
    <t xml:space="preserve">  （前年度実績　105,427円）</t>
    <rPh sb="3" eb="6">
      <t>ゼンネンド</t>
    </rPh>
    <rPh sb="6" eb="8">
      <t>ジッセキ</t>
    </rPh>
    <rPh sb="16" eb="17">
      <t>エン</t>
    </rPh>
    <phoneticPr fontId="2"/>
  </si>
  <si>
    <t>科　　　　　目</t>
    <rPh sb="0" eb="1">
      <t>カ</t>
    </rPh>
    <rPh sb="6" eb="7">
      <t>モク</t>
    </rPh>
    <phoneticPr fontId="13"/>
  </si>
  <si>
    <t>本年度予算額</t>
    <rPh sb="0" eb="1">
      <t>ホン</t>
    </rPh>
    <rPh sb="1" eb="3">
      <t>ネンド</t>
    </rPh>
    <rPh sb="3" eb="5">
      <t>ヨサン</t>
    </rPh>
    <rPh sb="5" eb="6">
      <t>ガク</t>
    </rPh>
    <phoneticPr fontId="13"/>
  </si>
  <si>
    <t>前年度予算額</t>
    <rPh sb="0" eb="3">
      <t>ゼンネンド</t>
    </rPh>
    <rPh sb="3" eb="5">
      <t>ヨサン</t>
    </rPh>
    <rPh sb="5" eb="6">
      <t>ガク</t>
    </rPh>
    <phoneticPr fontId="13"/>
  </si>
  <si>
    <t>増（△減）</t>
    <rPh sb="0" eb="1">
      <t>ゾウ</t>
    </rPh>
    <rPh sb="3" eb="4">
      <t>ゲン</t>
    </rPh>
    <phoneticPr fontId="13"/>
  </si>
  <si>
    <t>説　　　　　　　　　明</t>
    <rPh sb="0" eb="1">
      <t>セツ</t>
    </rPh>
    <rPh sb="10" eb="11">
      <t>メイ</t>
    </rPh>
    <phoneticPr fontId="13"/>
  </si>
  <si>
    <t xml:space="preserve"> 街路防犯灯管理は横須賀市へ移管</t>
    <rPh sb="1" eb="3">
      <t>ガイロ</t>
    </rPh>
    <rPh sb="3" eb="6">
      <t>ボウハントウ</t>
    </rPh>
    <rPh sb="6" eb="8">
      <t>カンリ</t>
    </rPh>
    <rPh sb="9" eb="13">
      <t>ヨコスカシ</t>
    </rPh>
    <rPh sb="14" eb="16">
      <t>イカン</t>
    </rPh>
    <phoneticPr fontId="2"/>
  </si>
  <si>
    <t>　（前年度実績 5,927円）</t>
    <phoneticPr fontId="2"/>
  </si>
  <si>
    <t>　（前年度実績 14,710円）</t>
    <phoneticPr fontId="2"/>
  </si>
  <si>
    <t>　（前年度実績 180,820円）</t>
    <rPh sb="5" eb="7">
      <t>ジッセキ</t>
    </rPh>
    <phoneticPr fontId="2"/>
  </si>
  <si>
    <t>　掃除用具,飲み物（前年度実績 59,546円）</t>
    <rPh sb="1" eb="3">
      <t>ソウジ</t>
    </rPh>
    <rPh sb="3" eb="5">
      <t>ヨウグ</t>
    </rPh>
    <rPh sb="6" eb="7">
      <t>ノ</t>
    </rPh>
    <rPh sb="8" eb="9">
      <t>モノ</t>
    </rPh>
    <rPh sb="10" eb="13">
      <t>ゼンネンド</t>
    </rPh>
    <rPh sb="13" eb="15">
      <t>ジッセキ</t>
    </rPh>
    <rPh sb="22" eb="23">
      <t>エン</t>
    </rPh>
    <phoneticPr fontId="2"/>
  </si>
  <si>
    <t xml:space="preserve"> 会館修繕工事費 852.5-55万円（R5）</t>
    <rPh sb="1" eb="3">
      <t>カイカン</t>
    </rPh>
    <rPh sb="5" eb="7">
      <t>コウジ</t>
    </rPh>
    <rPh sb="7" eb="8">
      <t>ヒ</t>
    </rPh>
    <rPh sb="17" eb="18">
      <t>マン</t>
    </rPh>
    <rPh sb="18" eb="19">
      <t>エン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</si>
</sst>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22" x14ac:knownFonts="1">
    <font>
      <sz val="11"/>
      <name val="ＭＳ Ｐゴシック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9"/>
      <name val="ＭＳ Ｐゴシック"/>
      <family val="2"/>
      <charset val="128"/>
    </font>
    <font>
      <sz val="12"/>
      <name val="ＭＳ Ｐゴシック"/>
      <family val="2"/>
      <charset val="128"/>
    </font>
    <font>
      <sz val="14"/>
      <name val="ＭＳ Ｐゴシック"/>
      <family val="2"/>
      <charset val="128"/>
    </font>
    <font>
      <b/>
      <sz val="14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12"/>
      <color theme="0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color rgb="FF00B050"/>
      <name val="ＭＳ Ｐゴシック"/>
      <family val="2"/>
      <charset val="128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0070C0"/>
      <name val="ＭＳ Ｐゴシック"/>
      <family val="2"/>
      <charset val="128"/>
    </font>
    <font>
      <sz val="12"/>
      <name val="ＭＳ Ｐゴシック"/>
      <family val="3"/>
      <charset val="128"/>
    </font>
    <font>
      <sz val="12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hair">
        <color indexed="64"/>
      </top>
      <bottom style="dashed">
        <color indexed="64"/>
      </bottom>
      <diagonal/>
    </border>
    <border>
      <left/>
      <right/>
      <top style="hair">
        <color indexed="64"/>
      </top>
      <bottom style="dashed">
        <color indexed="64"/>
      </bottom>
      <diagonal/>
    </border>
    <border>
      <left/>
      <right style="medium">
        <color indexed="64"/>
      </right>
      <top style="hair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hair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176" fontId="0" fillId="0" borderId="3" xfId="0" applyNumberFormat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38" fontId="4" fillId="0" borderId="4" xfId="1" applyFont="1" applyBorder="1" applyAlignment="1">
      <alignment horizontal="right" vertical="center"/>
    </xf>
    <xf numFmtId="38" fontId="4" fillId="0" borderId="5" xfId="1" applyFont="1" applyBorder="1" applyAlignment="1">
      <alignment horizontal="right" vertical="center"/>
    </xf>
    <xf numFmtId="38" fontId="4" fillId="0" borderId="12" xfId="1" applyFont="1" applyBorder="1" applyAlignment="1">
      <alignment horizontal="right" vertical="center"/>
    </xf>
    <xf numFmtId="176" fontId="4" fillId="0" borderId="3" xfId="0" applyNumberFormat="1" applyFont="1" applyBorder="1" applyAlignment="1">
      <alignment horizontal="right" vertical="center"/>
    </xf>
    <xf numFmtId="176" fontId="4" fillId="0" borderId="5" xfId="0" applyNumberFormat="1" applyFont="1" applyBorder="1" applyAlignment="1">
      <alignment horizontal="right" vertical="center"/>
    </xf>
    <xf numFmtId="176" fontId="4" fillId="0" borderId="6" xfId="0" applyNumberFormat="1" applyFont="1" applyBorder="1" applyAlignment="1">
      <alignment horizontal="right" vertical="center"/>
    </xf>
    <xf numFmtId="38" fontId="5" fillId="0" borderId="4" xfId="1" applyFont="1" applyBorder="1" applyAlignment="1">
      <alignment horizontal="right" vertical="center"/>
    </xf>
    <xf numFmtId="0" fontId="9" fillId="0" borderId="0" xfId="0" applyFont="1"/>
    <xf numFmtId="3" fontId="0" fillId="0" borderId="0" xfId="0" applyNumberFormat="1"/>
    <xf numFmtId="0" fontId="11" fillId="0" borderId="0" xfId="0" applyFont="1"/>
    <xf numFmtId="38" fontId="16" fillId="0" borderId="34" xfId="1" applyFont="1" applyFill="1" applyBorder="1" applyAlignment="1">
      <alignment horizontal="right" vertical="center"/>
    </xf>
    <xf numFmtId="38" fontId="0" fillId="0" borderId="0" xfId="0" applyNumberFormat="1"/>
    <xf numFmtId="0" fontId="17" fillId="0" borderId="0" xfId="0" applyFont="1"/>
    <xf numFmtId="38" fontId="15" fillId="0" borderId="5" xfId="1" applyFont="1" applyBorder="1" applyAlignment="1">
      <alignment horizontal="left" vertical="center"/>
    </xf>
    <xf numFmtId="38" fontId="18" fillId="0" borderId="5" xfId="1" applyFont="1" applyBorder="1" applyAlignment="1">
      <alignment horizontal="left" vertical="center"/>
    </xf>
    <xf numFmtId="38" fontId="19" fillId="0" borderId="3" xfId="1" applyFont="1" applyBorder="1" applyAlignment="1">
      <alignment horizontal="right" vertical="center"/>
    </xf>
    <xf numFmtId="176" fontId="19" fillId="0" borderId="5" xfId="0" applyNumberFormat="1" applyFont="1" applyBorder="1" applyAlignment="1">
      <alignment horizontal="right" vertical="center"/>
    </xf>
    <xf numFmtId="38" fontId="19" fillId="0" borderId="4" xfId="1" applyFont="1" applyBorder="1" applyAlignment="1">
      <alignment horizontal="right" vertical="center"/>
    </xf>
    <xf numFmtId="176" fontId="11" fillId="0" borderId="4" xfId="0" applyNumberFormat="1" applyFont="1" applyBorder="1" applyAlignment="1">
      <alignment horizontal="right" vertical="center"/>
    </xf>
    <xf numFmtId="0" fontId="14" fillId="0" borderId="0" xfId="0" applyFont="1" applyAlignment="1">
      <alignment horizontal="right"/>
    </xf>
    <xf numFmtId="176" fontId="0" fillId="0" borderId="12" xfId="0" applyNumberFormat="1" applyBorder="1" applyAlignment="1">
      <alignment horizontal="right" vertical="center"/>
    </xf>
    <xf numFmtId="0" fontId="14" fillId="0" borderId="8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5" fillId="0" borderId="1" xfId="1" applyNumberFormat="1" applyFont="1" applyBorder="1" applyAlignment="1">
      <alignment horizontal="right" vertical="center"/>
    </xf>
    <xf numFmtId="176" fontId="5" fillId="0" borderId="7" xfId="1" applyNumberFormat="1" applyFont="1" applyBorder="1" applyAlignment="1">
      <alignment horizontal="right" vertical="center"/>
    </xf>
    <xf numFmtId="0" fontId="3" fillId="0" borderId="22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3" fontId="14" fillId="0" borderId="2" xfId="0" applyNumberFormat="1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58" fontId="20" fillId="0" borderId="0" xfId="0" applyNumberFormat="1" applyFont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view="pageBreakPreview" topLeftCell="A18" zoomScale="120" zoomScaleNormal="100" zoomScaleSheetLayoutView="120" workbookViewId="0">
      <selection activeCell="C38" sqref="C38"/>
    </sheetView>
  </sheetViews>
  <sheetFormatPr defaultColWidth="8.875" defaultRowHeight="13.5" x14ac:dyDescent="0.15"/>
  <cols>
    <col min="1" max="1" width="10.625" customWidth="1"/>
    <col min="2" max="2" width="8.125" customWidth="1"/>
    <col min="3" max="4" width="13" bestFit="1" customWidth="1"/>
    <col min="5" max="5" width="13" customWidth="1"/>
    <col min="6" max="7" width="8.875" customWidth="1"/>
    <col min="8" max="8" width="9.625" customWidth="1"/>
    <col min="9" max="9" width="11.5" bestFit="1" customWidth="1"/>
  </cols>
  <sheetData>
    <row r="1" spans="1:9" ht="18" customHeight="1" x14ac:dyDescent="0.15">
      <c r="A1" s="98" t="s">
        <v>3</v>
      </c>
      <c r="B1" s="98"/>
      <c r="D1" s="3"/>
    </row>
    <row r="2" spans="1:9" ht="18" customHeight="1" thickBot="1" x14ac:dyDescent="0.2">
      <c r="A2" s="2"/>
      <c r="C2" s="16" t="s">
        <v>21</v>
      </c>
      <c r="D2" s="16" t="s">
        <v>22</v>
      </c>
      <c r="G2" s="102" t="s">
        <v>2</v>
      </c>
      <c r="H2" s="102"/>
      <c r="I2" s="21" t="s">
        <v>27</v>
      </c>
    </row>
    <row r="3" spans="1:9" ht="20.100000000000001" customHeight="1" thickBot="1" x14ac:dyDescent="0.2">
      <c r="A3" s="103" t="s">
        <v>53</v>
      </c>
      <c r="B3" s="103"/>
      <c r="C3" s="33" t="s">
        <v>54</v>
      </c>
      <c r="D3" s="34" t="s">
        <v>55</v>
      </c>
      <c r="E3" s="35" t="s">
        <v>56</v>
      </c>
      <c r="F3" s="104" t="s">
        <v>57</v>
      </c>
      <c r="G3" s="104"/>
      <c r="H3" s="104"/>
    </row>
    <row r="4" spans="1:9" ht="20.100000000000001" customHeight="1" x14ac:dyDescent="0.15">
      <c r="A4" s="88" t="s">
        <v>4</v>
      </c>
      <c r="B4" s="88"/>
      <c r="C4" s="36">
        <f>SUM(C5:C7)</f>
        <v>8175000</v>
      </c>
      <c r="D4" s="36">
        <v>5000000</v>
      </c>
      <c r="E4" s="36">
        <f>C4-D4</f>
        <v>3175000</v>
      </c>
      <c r="F4" s="97"/>
      <c r="G4" s="97"/>
      <c r="H4" s="97"/>
    </row>
    <row r="5" spans="1:9" ht="20.100000000000001" customHeight="1" x14ac:dyDescent="0.15">
      <c r="A5" s="89" t="s">
        <v>1</v>
      </c>
      <c r="B5" s="89"/>
      <c r="C5" s="7">
        <v>0</v>
      </c>
      <c r="D5" s="7">
        <v>0</v>
      </c>
      <c r="E5" s="4">
        <v>0</v>
      </c>
      <c r="F5" s="89" t="s">
        <v>58</v>
      </c>
      <c r="G5" s="89"/>
      <c r="H5" s="89"/>
    </row>
    <row r="6" spans="1:9" ht="20.100000000000001" customHeight="1" x14ac:dyDescent="0.15">
      <c r="A6" s="86" t="s">
        <v>5</v>
      </c>
      <c r="B6" s="86"/>
      <c r="C6" s="24">
        <v>200000</v>
      </c>
      <c r="D6" s="24">
        <v>200000</v>
      </c>
      <c r="E6" s="25">
        <f>C6-D6</f>
        <v>0</v>
      </c>
      <c r="F6" s="87" t="s">
        <v>20</v>
      </c>
      <c r="G6" s="87"/>
      <c r="H6" s="87"/>
      <c r="I6" s="17">
        <v>288750</v>
      </c>
    </row>
    <row r="7" spans="1:9" ht="20.100000000000001" customHeight="1" thickBot="1" x14ac:dyDescent="0.2">
      <c r="A7" s="60" t="s">
        <v>6</v>
      </c>
      <c r="B7" s="60"/>
      <c r="C7" s="26">
        <f>8525000-550000</f>
        <v>7975000</v>
      </c>
      <c r="D7" s="26">
        <v>4800000</v>
      </c>
      <c r="E7" s="27">
        <f>C7-D7</f>
        <v>3175000</v>
      </c>
      <c r="F7" s="99" t="s">
        <v>63</v>
      </c>
      <c r="G7" s="100"/>
      <c r="H7" s="101"/>
      <c r="I7" s="17">
        <v>276422</v>
      </c>
    </row>
    <row r="8" spans="1:9" ht="20.100000000000001" customHeight="1" x14ac:dyDescent="0.15">
      <c r="A8" s="75" t="s">
        <v>0</v>
      </c>
      <c r="B8" s="70"/>
      <c r="C8" s="36">
        <f>C10+C9+C11+C13+C15+C17+C19</f>
        <v>700000</v>
      </c>
      <c r="D8" s="36">
        <v>930000</v>
      </c>
      <c r="E8" s="36">
        <f>C8-D8</f>
        <v>-230000</v>
      </c>
      <c r="F8" s="41" t="s">
        <v>29</v>
      </c>
      <c r="G8" s="41"/>
      <c r="H8" s="41"/>
      <c r="I8" s="17">
        <v>331688</v>
      </c>
    </row>
    <row r="9" spans="1:9" ht="20.100000000000001" customHeight="1" x14ac:dyDescent="0.15">
      <c r="A9" s="105" t="s">
        <v>7</v>
      </c>
      <c r="B9" s="105"/>
      <c r="C9" s="7">
        <v>80000</v>
      </c>
      <c r="D9" s="7">
        <v>80000</v>
      </c>
      <c r="E9" s="14">
        <f>C9-D9</f>
        <v>0</v>
      </c>
      <c r="F9" s="60" t="s">
        <v>30</v>
      </c>
      <c r="G9" s="60"/>
      <c r="H9" s="60"/>
      <c r="I9" s="17">
        <v>73208</v>
      </c>
    </row>
    <row r="10" spans="1:9" ht="20.100000000000001" customHeight="1" x14ac:dyDescent="0.15">
      <c r="A10" s="106"/>
      <c r="B10" s="107"/>
      <c r="C10" s="10"/>
      <c r="D10" s="10"/>
      <c r="E10" s="5"/>
      <c r="F10" s="45" t="s">
        <v>52</v>
      </c>
      <c r="G10" s="46"/>
      <c r="H10" s="47"/>
    </row>
    <row r="11" spans="1:9" ht="20.100000000000001" customHeight="1" x14ac:dyDescent="0.15">
      <c r="A11" s="108" t="s">
        <v>24</v>
      </c>
      <c r="B11" s="109"/>
      <c r="C11" s="9">
        <v>150000</v>
      </c>
      <c r="D11" s="9">
        <v>150000</v>
      </c>
      <c r="E11" s="14">
        <f>C11-D11</f>
        <v>0</v>
      </c>
      <c r="F11" s="42" t="s">
        <v>23</v>
      </c>
      <c r="G11" s="43"/>
      <c r="H11" s="44"/>
      <c r="I11" s="17">
        <v>85231</v>
      </c>
    </row>
    <row r="12" spans="1:9" ht="20.100000000000001" customHeight="1" x14ac:dyDescent="0.15">
      <c r="A12" s="110"/>
      <c r="B12" s="108"/>
      <c r="C12" s="9"/>
      <c r="D12" s="9"/>
      <c r="E12" s="5"/>
      <c r="F12" s="38"/>
      <c r="G12" s="39"/>
      <c r="H12" s="40"/>
    </row>
    <row r="13" spans="1:9" ht="20.100000000000001" customHeight="1" x14ac:dyDescent="0.15">
      <c r="A13" s="105" t="s">
        <v>8</v>
      </c>
      <c r="B13" s="105"/>
      <c r="C13" s="7">
        <v>100000</v>
      </c>
      <c r="D13" s="7">
        <v>100000</v>
      </c>
      <c r="E13" s="14">
        <f>C13-D13</f>
        <v>0</v>
      </c>
      <c r="F13" s="42" t="s">
        <v>34</v>
      </c>
      <c r="G13" s="43"/>
      <c r="H13" s="44"/>
      <c r="I13" s="17">
        <v>0</v>
      </c>
    </row>
    <row r="14" spans="1:9" ht="20.100000000000001" customHeight="1" x14ac:dyDescent="0.15">
      <c r="A14" s="111"/>
      <c r="B14" s="111"/>
      <c r="C14" s="22"/>
      <c r="D14" s="10"/>
      <c r="E14" s="5"/>
      <c r="F14" s="45" t="s">
        <v>51</v>
      </c>
      <c r="G14" s="46"/>
      <c r="H14" s="47"/>
    </row>
    <row r="15" spans="1:9" ht="20.100000000000001" customHeight="1" x14ac:dyDescent="0.15">
      <c r="A15" s="108" t="s">
        <v>25</v>
      </c>
      <c r="B15" s="109"/>
      <c r="C15" s="9">
        <v>150000</v>
      </c>
      <c r="D15" s="9">
        <v>150000</v>
      </c>
      <c r="E15" s="14">
        <f>C15-D15</f>
        <v>0</v>
      </c>
      <c r="F15" s="57" t="s">
        <v>33</v>
      </c>
      <c r="G15" s="57"/>
      <c r="H15" s="57"/>
      <c r="I15" s="17">
        <v>5643</v>
      </c>
    </row>
    <row r="16" spans="1:9" ht="20.100000000000001" customHeight="1" x14ac:dyDescent="0.15">
      <c r="A16" s="111"/>
      <c r="B16" s="111"/>
      <c r="C16" s="10"/>
      <c r="D16" s="10"/>
      <c r="E16" s="5"/>
      <c r="F16" s="94" t="s">
        <v>32</v>
      </c>
      <c r="G16" s="95"/>
      <c r="H16" s="96"/>
    </row>
    <row r="17" spans="1:10" ht="20.100000000000001" customHeight="1" x14ac:dyDescent="0.15">
      <c r="A17" s="108" t="s">
        <v>26</v>
      </c>
      <c r="B17" s="109"/>
      <c r="C17" s="9">
        <v>50000</v>
      </c>
      <c r="D17" s="9">
        <v>300000</v>
      </c>
      <c r="E17" s="14">
        <f>C17-D17</f>
        <v>-250000</v>
      </c>
      <c r="F17" s="83" t="s">
        <v>31</v>
      </c>
      <c r="G17" s="84"/>
      <c r="H17" s="85"/>
      <c r="I17" s="20">
        <f>SUM(J17:J18)</f>
        <v>35293</v>
      </c>
      <c r="J17" s="19">
        <v>3797</v>
      </c>
    </row>
    <row r="18" spans="1:10" ht="20.100000000000001" customHeight="1" x14ac:dyDescent="0.15">
      <c r="A18" s="112"/>
      <c r="B18" s="113"/>
      <c r="C18" s="23"/>
      <c r="D18" s="10"/>
      <c r="E18" s="5"/>
      <c r="F18" s="48"/>
      <c r="G18" s="48"/>
      <c r="H18" s="48"/>
      <c r="I18" s="17"/>
      <c r="J18" s="19">
        <v>31496</v>
      </c>
    </row>
    <row r="19" spans="1:10" ht="20.100000000000001" customHeight="1" x14ac:dyDescent="0.15">
      <c r="A19" s="105" t="s">
        <v>9</v>
      </c>
      <c r="B19" s="114"/>
      <c r="C19" s="7">
        <v>170000</v>
      </c>
      <c r="D19" s="7">
        <v>150000</v>
      </c>
      <c r="E19" s="14">
        <f>C19-D19</f>
        <v>20000</v>
      </c>
      <c r="F19" s="57" t="s">
        <v>36</v>
      </c>
      <c r="G19" s="57"/>
      <c r="H19" s="57"/>
      <c r="I19" s="17">
        <v>118759</v>
      </c>
    </row>
    <row r="20" spans="1:10" ht="20.100000000000001" customHeight="1" thickBot="1" x14ac:dyDescent="0.2">
      <c r="A20" s="110"/>
      <c r="B20" s="108"/>
      <c r="C20" s="9"/>
      <c r="D20" s="9"/>
      <c r="E20" s="5"/>
      <c r="F20" s="60" t="s">
        <v>35</v>
      </c>
      <c r="G20" s="60"/>
      <c r="H20" s="60"/>
      <c r="I20" s="17">
        <v>13554</v>
      </c>
    </row>
    <row r="21" spans="1:10" ht="20.100000000000001" customHeight="1" x14ac:dyDescent="0.15">
      <c r="A21" s="75" t="s">
        <v>14</v>
      </c>
      <c r="B21" s="75"/>
      <c r="C21" s="36">
        <f>C22+C23</f>
        <v>20000</v>
      </c>
      <c r="D21" s="36">
        <v>20000</v>
      </c>
      <c r="E21" s="36">
        <v>0</v>
      </c>
      <c r="F21" s="41"/>
      <c r="G21" s="41"/>
      <c r="H21" s="41"/>
    </row>
    <row r="22" spans="1:10" ht="20.100000000000001" customHeight="1" x14ac:dyDescent="0.15">
      <c r="A22" s="115" t="s">
        <v>10</v>
      </c>
      <c r="B22" s="115"/>
      <c r="C22" s="8">
        <v>20000</v>
      </c>
      <c r="D22" s="8">
        <v>20000</v>
      </c>
      <c r="E22" s="4">
        <v>0</v>
      </c>
      <c r="F22" s="86" t="s">
        <v>49</v>
      </c>
      <c r="G22" s="86"/>
      <c r="H22" s="86"/>
    </row>
    <row r="23" spans="1:10" ht="20.100000000000001" customHeight="1" thickBot="1" x14ac:dyDescent="0.2">
      <c r="A23" s="110" t="s">
        <v>11</v>
      </c>
      <c r="B23" s="110"/>
      <c r="C23" s="9">
        <v>0</v>
      </c>
      <c r="D23" s="9">
        <v>0</v>
      </c>
      <c r="E23" s="6">
        <v>0</v>
      </c>
      <c r="F23" s="57"/>
      <c r="G23" s="57"/>
      <c r="H23" s="57"/>
    </row>
    <row r="24" spans="1:10" ht="20.100000000000001" customHeight="1" x14ac:dyDescent="0.15">
      <c r="A24" s="75" t="s">
        <v>15</v>
      </c>
      <c r="B24" s="75"/>
      <c r="C24" s="36">
        <f>C25+C26</f>
        <v>80000</v>
      </c>
      <c r="D24" s="36">
        <v>90000</v>
      </c>
      <c r="E24" s="36">
        <f>C24-D24</f>
        <v>-10000</v>
      </c>
      <c r="F24" s="58"/>
      <c r="G24" s="59"/>
      <c r="H24" s="59"/>
    </row>
    <row r="25" spans="1:10" ht="20.100000000000001" customHeight="1" x14ac:dyDescent="0.15">
      <c r="A25" s="116" t="s">
        <v>43</v>
      </c>
      <c r="B25" s="117"/>
      <c r="C25" s="8">
        <v>60000</v>
      </c>
      <c r="D25" s="8">
        <v>70000</v>
      </c>
      <c r="E25" s="12">
        <f>C25-D25</f>
        <v>-10000</v>
      </c>
      <c r="F25" s="54" t="s">
        <v>62</v>
      </c>
      <c r="G25" s="55"/>
      <c r="H25" s="56"/>
      <c r="I25" s="17">
        <v>60073</v>
      </c>
    </row>
    <row r="26" spans="1:10" ht="20.100000000000001" customHeight="1" thickBot="1" x14ac:dyDescent="0.2">
      <c r="A26" s="118" t="s">
        <v>44</v>
      </c>
      <c r="B26" s="119"/>
      <c r="C26" s="11">
        <v>20000</v>
      </c>
      <c r="D26" s="11">
        <v>20000</v>
      </c>
      <c r="E26" s="13">
        <f>C26-D26</f>
        <v>0</v>
      </c>
      <c r="F26" s="65" t="s">
        <v>48</v>
      </c>
      <c r="G26" s="66"/>
      <c r="H26" s="67"/>
      <c r="I26" s="17">
        <v>6646</v>
      </c>
    </row>
    <row r="27" spans="1:10" ht="20.100000000000001" customHeight="1" x14ac:dyDescent="0.15">
      <c r="A27" s="70" t="s">
        <v>16</v>
      </c>
      <c r="B27" s="71"/>
      <c r="C27" s="36">
        <f>C28+C29+C30+C31+C32</f>
        <v>325000</v>
      </c>
      <c r="D27" s="36">
        <v>338000</v>
      </c>
      <c r="E27" s="36">
        <f t="shared" ref="E27:E32" si="0">C27-D27</f>
        <v>-13000</v>
      </c>
      <c r="F27" s="72"/>
      <c r="G27" s="73"/>
      <c r="H27" s="74"/>
      <c r="I27" s="18"/>
    </row>
    <row r="28" spans="1:10" ht="20.100000000000001" customHeight="1" x14ac:dyDescent="0.15">
      <c r="A28" s="120" t="s">
        <v>38</v>
      </c>
      <c r="B28" s="121"/>
      <c r="C28" s="8">
        <v>6000</v>
      </c>
      <c r="D28" s="8">
        <v>10000</v>
      </c>
      <c r="E28" s="12">
        <f t="shared" si="0"/>
        <v>-4000</v>
      </c>
      <c r="F28" s="54" t="s">
        <v>59</v>
      </c>
      <c r="G28" s="55"/>
      <c r="H28" s="56"/>
      <c r="I28" s="17">
        <v>5001</v>
      </c>
    </row>
    <row r="29" spans="1:10" ht="20.100000000000001" customHeight="1" x14ac:dyDescent="0.15">
      <c r="A29" s="120" t="s">
        <v>42</v>
      </c>
      <c r="B29" s="121"/>
      <c r="C29" s="8">
        <v>15000</v>
      </c>
      <c r="D29" s="8">
        <v>10000</v>
      </c>
      <c r="E29" s="12">
        <f t="shared" si="0"/>
        <v>5000</v>
      </c>
      <c r="F29" s="54" t="s">
        <v>60</v>
      </c>
      <c r="G29" s="55"/>
      <c r="H29" s="56"/>
      <c r="I29" s="17">
        <v>4636</v>
      </c>
    </row>
    <row r="30" spans="1:10" ht="20.100000000000001" customHeight="1" x14ac:dyDescent="0.15">
      <c r="A30" s="120" t="s">
        <v>41</v>
      </c>
      <c r="B30" s="121"/>
      <c r="C30" s="8">
        <v>181000</v>
      </c>
      <c r="D30" s="8">
        <v>188000</v>
      </c>
      <c r="E30" s="12">
        <f t="shared" si="0"/>
        <v>-7000</v>
      </c>
      <c r="F30" s="54" t="s">
        <v>61</v>
      </c>
      <c r="G30" s="55"/>
      <c r="H30" s="56"/>
      <c r="I30" s="17">
        <v>187500</v>
      </c>
    </row>
    <row r="31" spans="1:10" ht="20.100000000000001" customHeight="1" x14ac:dyDescent="0.15">
      <c r="A31" s="120" t="s">
        <v>40</v>
      </c>
      <c r="B31" s="121"/>
      <c r="C31" s="8">
        <v>100000</v>
      </c>
      <c r="D31" s="8">
        <v>100000</v>
      </c>
      <c r="E31" s="12">
        <f t="shared" si="0"/>
        <v>0</v>
      </c>
      <c r="F31" s="54" t="s">
        <v>45</v>
      </c>
      <c r="G31" s="55"/>
      <c r="H31" s="56"/>
      <c r="I31" s="17">
        <v>75500</v>
      </c>
    </row>
    <row r="32" spans="1:10" ht="20.100000000000001" customHeight="1" thickBot="1" x14ac:dyDescent="0.2">
      <c r="A32" s="122" t="s">
        <v>39</v>
      </c>
      <c r="B32" s="123"/>
      <c r="C32" s="9">
        <v>23000</v>
      </c>
      <c r="D32" s="9">
        <v>30000</v>
      </c>
      <c r="E32" s="13">
        <f t="shared" si="0"/>
        <v>-7000</v>
      </c>
      <c r="F32" s="30" t="s">
        <v>46</v>
      </c>
      <c r="G32" s="31"/>
      <c r="H32" s="32"/>
      <c r="I32" s="17">
        <v>22520</v>
      </c>
    </row>
    <row r="33" spans="1:9" ht="20.100000000000001" customHeight="1" thickBot="1" x14ac:dyDescent="0.2">
      <c r="A33" s="68" t="s">
        <v>19</v>
      </c>
      <c r="B33" s="69"/>
      <c r="C33" s="37">
        <v>100000</v>
      </c>
      <c r="D33" s="37">
        <v>100000</v>
      </c>
      <c r="E33" s="36">
        <f>C33-D33</f>
        <v>0</v>
      </c>
      <c r="F33" s="90" t="s">
        <v>50</v>
      </c>
      <c r="G33" s="91"/>
      <c r="H33" s="92"/>
      <c r="I33" s="28" t="s">
        <v>28</v>
      </c>
    </row>
    <row r="34" spans="1:9" ht="20.100000000000001" customHeight="1" x14ac:dyDescent="0.15">
      <c r="A34" s="78" t="s">
        <v>17</v>
      </c>
      <c r="B34" s="79"/>
      <c r="C34" s="15">
        <v>93000</v>
      </c>
      <c r="D34" s="15">
        <v>98000</v>
      </c>
      <c r="E34" s="36">
        <f>C34-D34</f>
        <v>-5000</v>
      </c>
      <c r="F34" s="80" t="s">
        <v>13</v>
      </c>
      <c r="G34" s="81"/>
      <c r="H34" s="82"/>
      <c r="I34" s="17">
        <v>97100</v>
      </c>
    </row>
    <row r="35" spans="1:9" ht="20.100000000000001" customHeight="1" thickBot="1" x14ac:dyDescent="0.2">
      <c r="A35" s="48"/>
      <c r="B35" s="48"/>
      <c r="C35" s="22"/>
      <c r="D35" s="10"/>
      <c r="E35" s="29"/>
      <c r="F35" s="49" t="s">
        <v>47</v>
      </c>
      <c r="G35" s="50"/>
      <c r="H35" s="51"/>
    </row>
    <row r="36" spans="1:9" ht="20.100000000000001" customHeight="1" thickBot="1" x14ac:dyDescent="0.2">
      <c r="A36" s="93" t="s">
        <v>18</v>
      </c>
      <c r="B36" s="93"/>
      <c r="C36" s="36">
        <f>C37-C4-C8-C21-C24-C27-C33-C34</f>
        <v>3975254</v>
      </c>
      <c r="D36" s="36">
        <v>866603</v>
      </c>
      <c r="E36" s="36">
        <f>C36-D36</f>
        <v>3108651</v>
      </c>
      <c r="F36" s="53"/>
      <c r="G36" s="53"/>
      <c r="H36" s="53"/>
      <c r="I36" s="17">
        <v>2584603</v>
      </c>
    </row>
    <row r="37" spans="1:9" ht="20.100000000000001" customHeight="1" thickBot="1" x14ac:dyDescent="0.2">
      <c r="A37" s="76" t="s">
        <v>12</v>
      </c>
      <c r="B37" s="77"/>
      <c r="C37" s="37">
        <v>13468254</v>
      </c>
      <c r="D37" s="37">
        <v>7442603</v>
      </c>
      <c r="E37" s="37">
        <f>C37-D37</f>
        <v>6025651</v>
      </c>
      <c r="F37" s="53"/>
      <c r="G37" s="53"/>
      <c r="H37" s="53"/>
      <c r="I37" s="18" t="s">
        <v>37</v>
      </c>
    </row>
    <row r="38" spans="1:9" ht="18" customHeight="1" x14ac:dyDescent="0.15">
      <c r="A38" s="62"/>
      <c r="B38" s="62"/>
      <c r="C38" s="1"/>
      <c r="D38" s="1"/>
      <c r="E38" s="1"/>
      <c r="F38" s="63"/>
      <c r="G38" s="63"/>
      <c r="H38" s="63"/>
    </row>
    <row r="39" spans="1:9" ht="18" customHeight="1" x14ac:dyDescent="0.15">
      <c r="A39" s="64"/>
      <c r="B39" s="52"/>
      <c r="C39" s="52"/>
      <c r="D39" s="52"/>
      <c r="E39" s="52"/>
      <c r="F39" s="52"/>
      <c r="G39" s="52"/>
      <c r="H39" s="52"/>
    </row>
    <row r="40" spans="1:9" ht="18" customHeight="1" x14ac:dyDescent="0.15">
      <c r="A40" s="52"/>
      <c r="B40" s="52"/>
      <c r="C40" s="52"/>
      <c r="D40" s="52"/>
      <c r="E40" s="52"/>
      <c r="F40" s="52"/>
      <c r="G40" s="52"/>
      <c r="H40" s="52"/>
    </row>
    <row r="41" spans="1:9" ht="18" customHeight="1" x14ac:dyDescent="0.15">
      <c r="A41" s="52"/>
      <c r="B41" s="52"/>
      <c r="C41" s="52"/>
      <c r="D41" s="52"/>
      <c r="E41" s="52"/>
      <c r="F41" s="52"/>
      <c r="G41" s="52"/>
      <c r="H41" s="52"/>
    </row>
    <row r="42" spans="1:9" ht="18" customHeight="1" x14ac:dyDescent="0.15">
      <c r="A42" s="52"/>
      <c r="B42" s="52"/>
      <c r="C42" s="52"/>
      <c r="D42" s="52"/>
      <c r="E42" s="52"/>
      <c r="F42" s="52"/>
      <c r="G42" s="52"/>
      <c r="H42" s="52"/>
    </row>
    <row r="43" spans="1:9" ht="18" customHeight="1" x14ac:dyDescent="0.15">
      <c r="A43" s="52"/>
      <c r="B43" s="52"/>
      <c r="C43" s="52"/>
      <c r="D43" s="52"/>
      <c r="E43" s="52"/>
      <c r="F43" s="52"/>
      <c r="G43" s="52"/>
      <c r="H43" s="52"/>
    </row>
    <row r="44" spans="1:9" ht="18" customHeight="1" x14ac:dyDescent="0.15">
      <c r="A44" s="52"/>
      <c r="B44" s="52"/>
      <c r="C44" s="52"/>
      <c r="D44" s="52"/>
      <c r="E44" s="52"/>
      <c r="F44" s="52"/>
      <c r="G44" s="52"/>
      <c r="H44" s="52"/>
    </row>
    <row r="45" spans="1:9" ht="18" customHeight="1" x14ac:dyDescent="0.15">
      <c r="A45" s="61"/>
      <c r="B45" s="61"/>
      <c r="C45" s="61"/>
      <c r="D45" s="61"/>
      <c r="E45" s="61"/>
      <c r="F45" s="61"/>
      <c r="G45" s="61"/>
      <c r="H45" s="61"/>
    </row>
    <row r="46" spans="1:9" s="16" customFormat="1" ht="14.25" x14ac:dyDescent="0.15">
      <c r="A46" s="52"/>
      <c r="B46" s="52"/>
      <c r="C46" s="52"/>
      <c r="D46" s="52"/>
      <c r="E46" s="52"/>
      <c r="F46" s="52"/>
      <c r="G46" s="52"/>
      <c r="H46" s="52"/>
    </row>
  </sheetData>
  <mergeCells count="78">
    <mergeCell ref="A6:B6"/>
    <mergeCell ref="A11:B11"/>
    <mergeCell ref="F29:H29"/>
    <mergeCell ref="A43:H43"/>
    <mergeCell ref="A1:B1"/>
    <mergeCell ref="A7:B7"/>
    <mergeCell ref="F7:H7"/>
    <mergeCell ref="F15:H15"/>
    <mergeCell ref="F14:H14"/>
    <mergeCell ref="A9:B9"/>
    <mergeCell ref="A10:B10"/>
    <mergeCell ref="A12:B12"/>
    <mergeCell ref="F9:H9"/>
    <mergeCell ref="G2:H2"/>
    <mergeCell ref="A3:B3"/>
    <mergeCell ref="F3:H3"/>
    <mergeCell ref="A4:B4"/>
    <mergeCell ref="A5:B5"/>
    <mergeCell ref="F31:H31"/>
    <mergeCell ref="F33:H33"/>
    <mergeCell ref="A36:B36"/>
    <mergeCell ref="A16:B16"/>
    <mergeCell ref="A13:B13"/>
    <mergeCell ref="A14:B14"/>
    <mergeCell ref="A15:B15"/>
    <mergeCell ref="F13:H13"/>
    <mergeCell ref="F16:H16"/>
    <mergeCell ref="F4:H4"/>
    <mergeCell ref="F5:H5"/>
    <mergeCell ref="F8:H8"/>
    <mergeCell ref="F6:H6"/>
    <mergeCell ref="A8:B8"/>
    <mergeCell ref="F37:H37"/>
    <mergeCell ref="F17:H17"/>
    <mergeCell ref="A17:B17"/>
    <mergeCell ref="F22:H22"/>
    <mergeCell ref="A20:B20"/>
    <mergeCell ref="A21:B21"/>
    <mergeCell ref="A22:B22"/>
    <mergeCell ref="A40:H40"/>
    <mergeCell ref="A41:H41"/>
    <mergeCell ref="A38:B38"/>
    <mergeCell ref="A23:B23"/>
    <mergeCell ref="F38:H38"/>
    <mergeCell ref="A39:H39"/>
    <mergeCell ref="F26:H26"/>
    <mergeCell ref="A29:B29"/>
    <mergeCell ref="A30:B30"/>
    <mergeCell ref="A31:B31"/>
    <mergeCell ref="A33:B33"/>
    <mergeCell ref="A27:B27"/>
    <mergeCell ref="F27:H27"/>
    <mergeCell ref="A24:B24"/>
    <mergeCell ref="A37:B37"/>
    <mergeCell ref="A34:B34"/>
    <mergeCell ref="A46:H46"/>
    <mergeCell ref="F36:H36"/>
    <mergeCell ref="F25:H25"/>
    <mergeCell ref="A18:B18"/>
    <mergeCell ref="F23:H23"/>
    <mergeCell ref="F24:H24"/>
    <mergeCell ref="F28:H28"/>
    <mergeCell ref="A28:B28"/>
    <mergeCell ref="A19:B19"/>
    <mergeCell ref="F20:H20"/>
    <mergeCell ref="F18:H18"/>
    <mergeCell ref="F19:H19"/>
    <mergeCell ref="A45:H45"/>
    <mergeCell ref="A42:H42"/>
    <mergeCell ref="A44:H44"/>
    <mergeCell ref="F30:H30"/>
    <mergeCell ref="F12:H12"/>
    <mergeCell ref="F21:H21"/>
    <mergeCell ref="F11:H11"/>
    <mergeCell ref="F10:H10"/>
    <mergeCell ref="A35:B35"/>
    <mergeCell ref="F35:H35"/>
    <mergeCell ref="F34:H34"/>
  </mergeCells>
  <phoneticPr fontId="2"/>
  <pageMargins left="0.98425196850393704" right="0.39370078740157483" top="1.1811023622047245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（支　出）</vt:lpstr>
      <vt:lpstr>'（支　出）'!Print_Area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高橋示</dc:creator>
  <cp:lastModifiedBy>岳 橋本</cp:lastModifiedBy>
  <cp:lastPrinted>2024-04-14T07:53:26Z</cp:lastPrinted>
  <dcterms:created xsi:type="dcterms:W3CDTF">2004-03-30T08:31:24Z</dcterms:created>
  <dcterms:modified xsi:type="dcterms:W3CDTF">2024-04-14T14:49:28Z</dcterms:modified>
</cp:coreProperties>
</file>