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4-R6会計年度/"/>
    </mc:Choice>
  </mc:AlternateContent>
  <xr:revisionPtr revIDLastSave="591" documentId="8_{F7D07766-F7B2-4E0D-B9FD-C7B50BB2D42E}" xr6:coauthVersionLast="47" xr6:coauthVersionMax="47" xr10:uidLastSave="{16C67556-8571-4332-A939-9057FA540D68}"/>
  <bookViews>
    <workbookView xWindow="-120" yWindow="-120" windowWidth="29040" windowHeight="15720" xr2:uid="{00000000-000D-0000-FFFF-FFFF00000000}"/>
  </bookViews>
  <sheets>
    <sheet name="（収　入）" sheetId="1" r:id="rId1"/>
  </sheets>
  <definedNames>
    <definedName name="_xlnm.Print_Area" localSheetId="0">'（収　入）'!$A$1:$H$35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J14" i="1" l="1"/>
  <c r="J13" i="1" s="1"/>
  <c r="C6" i="1" l="1"/>
  <c r="E31" i="1"/>
  <c r="E28" i="1"/>
  <c r="E6" i="1" l="1"/>
  <c r="D4" i="1"/>
  <c r="I14" i="1" l="1"/>
  <c r="I13" i="1" s="1"/>
  <c r="C4" i="1"/>
  <c r="E4" i="1" s="1"/>
  <c r="E25" i="1" l="1"/>
  <c r="C23" i="1"/>
  <c r="C34" i="1" s="1"/>
  <c r="E26" i="1"/>
  <c r="E24" i="1"/>
  <c r="E20" i="1"/>
  <c r="E13" i="1"/>
  <c r="E11" i="1"/>
  <c r="E9" i="1"/>
  <c r="E7" i="1"/>
  <c r="E23" i="1" l="1"/>
  <c r="D34" i="1"/>
  <c r="E34" i="1" s="1"/>
</calcChain>
</file>

<file path=xl/sharedStrings.xml><?xml version="1.0" encoding="utf-8"?>
<sst xmlns="http://schemas.openxmlformats.org/spreadsheetml/2006/main" count="52" uniqueCount="48">
  <si>
    <t>本年度予算額</t>
    <rPh sb="0" eb="1">
      <t>ホン</t>
    </rPh>
    <rPh sb="1" eb="3">
      <t>ネンド</t>
    </rPh>
    <rPh sb="3" eb="5">
      <t>ヨサン</t>
    </rPh>
    <rPh sb="5" eb="6">
      <t>ガク</t>
    </rPh>
    <phoneticPr fontId="3"/>
  </si>
  <si>
    <t>前年度予算額</t>
    <rPh sb="0" eb="3">
      <t>ゼンネンド</t>
    </rPh>
    <rPh sb="3" eb="5">
      <t>ヨサン</t>
    </rPh>
    <rPh sb="5" eb="6">
      <t>ガク</t>
    </rPh>
    <phoneticPr fontId="3"/>
  </si>
  <si>
    <t>説　　　　　　　　　明</t>
    <rPh sb="0" eb="1">
      <t>セツ</t>
    </rPh>
    <rPh sb="10" eb="11">
      <t>メイ</t>
    </rPh>
    <phoneticPr fontId="3"/>
  </si>
  <si>
    <t>科　　　　　目</t>
    <rPh sb="0" eb="1">
      <t>カ</t>
    </rPh>
    <rPh sb="6" eb="7">
      <t>モク</t>
    </rPh>
    <phoneticPr fontId="3"/>
  </si>
  <si>
    <t>増（△減）</t>
    <rPh sb="0" eb="1">
      <t>ゾウ</t>
    </rPh>
    <rPh sb="3" eb="4">
      <t>ゲン</t>
    </rPh>
    <phoneticPr fontId="3"/>
  </si>
  <si>
    <t>6．繰越金</t>
    <rPh sb="2" eb="4">
      <t>クリコシ</t>
    </rPh>
    <rPh sb="4" eb="5">
      <t>キン</t>
    </rPh>
    <phoneticPr fontId="3"/>
  </si>
  <si>
    <t>（単位：　円）</t>
    <rPh sb="1" eb="2">
      <t>タン</t>
    </rPh>
    <rPh sb="2" eb="3">
      <t>イ</t>
    </rPh>
    <rPh sb="5" eb="6">
      <t>エン</t>
    </rPh>
    <phoneticPr fontId="3"/>
  </si>
  <si>
    <t xml:space="preserve"> </t>
    <phoneticPr fontId="3"/>
  </si>
  <si>
    <t>3．事業収入</t>
    <rPh sb="2" eb="4">
      <t>ジギョウ</t>
    </rPh>
    <rPh sb="4" eb="6">
      <t>シュウニュウ</t>
    </rPh>
    <phoneticPr fontId="3"/>
  </si>
  <si>
    <t xml:space="preserve">  (2) 街路防犯灯</t>
    <rPh sb="6" eb="8">
      <t>ガイロ</t>
    </rPh>
    <rPh sb="8" eb="10">
      <t>ボウハン</t>
    </rPh>
    <rPh sb="10" eb="11">
      <t>トウ</t>
    </rPh>
    <phoneticPr fontId="3"/>
  </si>
  <si>
    <t>　　  関係補助金</t>
    <rPh sb="4" eb="6">
      <t>カンケイ</t>
    </rPh>
    <rPh sb="6" eb="9">
      <t>ホジョキン</t>
    </rPh>
    <phoneticPr fontId="3"/>
  </si>
  <si>
    <t xml:space="preserve">  (1)ｺﾐｭﾆﾃｨ関連</t>
    <rPh sb="11" eb="13">
      <t>カンレン</t>
    </rPh>
    <phoneticPr fontId="3"/>
  </si>
  <si>
    <t>　   補助金</t>
    <rPh sb="4" eb="6">
      <t>ホジョ</t>
    </rPh>
    <rPh sb="6" eb="7">
      <t>キン</t>
    </rPh>
    <phoneticPr fontId="3"/>
  </si>
  <si>
    <t>　　　整備補助金</t>
    <rPh sb="3" eb="5">
      <t>セイビ</t>
    </rPh>
    <rPh sb="5" eb="8">
      <t>ホジョキン</t>
    </rPh>
    <phoneticPr fontId="3"/>
  </si>
  <si>
    <t>　　   ・奨励金</t>
    <rPh sb="6" eb="8">
      <t>ショウレイ</t>
    </rPh>
    <rPh sb="8" eb="9">
      <t>キン</t>
    </rPh>
    <phoneticPr fontId="3"/>
  </si>
  <si>
    <t>4．諸収入</t>
    <rPh sb="2" eb="3">
      <t>ショ</t>
    </rPh>
    <rPh sb="3" eb="5">
      <t>シュウニュウ</t>
    </rPh>
    <phoneticPr fontId="3"/>
  </si>
  <si>
    <t>　(2) 繰入金</t>
    <rPh sb="5" eb="7">
      <t>クリイレ</t>
    </rPh>
    <rPh sb="7" eb="8">
      <t>キン</t>
    </rPh>
    <phoneticPr fontId="3"/>
  </si>
  <si>
    <t>　(1) 寄付金</t>
    <rPh sb="5" eb="8">
      <t>キフキン</t>
    </rPh>
    <phoneticPr fontId="3"/>
  </si>
  <si>
    <t xml:space="preserve">  (3) その他諸収入</t>
    <rPh sb="8" eb="9">
      <t>タ</t>
    </rPh>
    <rPh sb="9" eb="10">
      <t>ショ</t>
    </rPh>
    <rPh sb="10" eb="12">
      <t>シュウニュウ</t>
    </rPh>
    <phoneticPr fontId="3"/>
  </si>
  <si>
    <t>5．積立金取崩収入</t>
    <rPh sb="2" eb="4">
      <t>ツミタテ</t>
    </rPh>
    <rPh sb="4" eb="5">
      <t>キン</t>
    </rPh>
    <rPh sb="5" eb="7">
      <t>トリクズ</t>
    </rPh>
    <rPh sb="7" eb="9">
      <t>シュウニュウ</t>
    </rPh>
    <phoneticPr fontId="3"/>
  </si>
  <si>
    <t>収入合計</t>
    <rPh sb="0" eb="2">
      <t>シュウニュウ</t>
    </rPh>
    <rPh sb="2" eb="3">
      <t>ゴウ</t>
    </rPh>
    <rPh sb="3" eb="4">
      <t>ケイ</t>
    </rPh>
    <phoneticPr fontId="3"/>
  </si>
  <si>
    <t>（収　入）</t>
    <rPh sb="1" eb="2">
      <t>オサム</t>
    </rPh>
    <rPh sb="3" eb="4">
      <t>ニュウ</t>
    </rPh>
    <phoneticPr fontId="3"/>
  </si>
  <si>
    <t>R.4</t>
    <phoneticPr fontId="3"/>
  </si>
  <si>
    <t>R.3</t>
    <phoneticPr fontId="3"/>
  </si>
  <si>
    <t xml:space="preserve">※街路防犯灯の管理は横須賀市へ   </t>
    <rPh sb="1" eb="3">
      <t>ガイロ</t>
    </rPh>
    <rPh sb="3" eb="5">
      <t>ボウハン</t>
    </rPh>
    <rPh sb="5" eb="6">
      <t>トウ</t>
    </rPh>
    <rPh sb="7" eb="9">
      <t>カンリ</t>
    </rPh>
    <rPh sb="10" eb="14">
      <t>ヨコスカシ</t>
    </rPh>
    <phoneticPr fontId="3"/>
  </si>
  <si>
    <t>※別途会計からの繰入金</t>
    <phoneticPr fontId="3"/>
  </si>
  <si>
    <t xml:space="preserve">  (2) 防災器材等</t>
    <rPh sb="6" eb="8">
      <t>ボウサイ</t>
    </rPh>
    <rPh sb="8" eb="10">
      <t>キザイ</t>
    </rPh>
    <rPh sb="10" eb="11">
      <t>トウ</t>
    </rPh>
    <phoneticPr fontId="3"/>
  </si>
  <si>
    <t xml:space="preserve">  (3) その他補助金</t>
    <phoneticPr fontId="3"/>
  </si>
  <si>
    <t>▼本年度</t>
    <rPh sb="1" eb="4">
      <t>ホンネンド</t>
    </rPh>
    <phoneticPr fontId="3"/>
  </si>
  <si>
    <t>▼前年度</t>
    <rPh sb="1" eb="4">
      <t>ゼンネンド</t>
    </rPh>
    <phoneticPr fontId="3"/>
  </si>
  <si>
    <t>前年度 6/30入金</t>
    <rPh sb="8" eb="10">
      <t>ニュウキン</t>
    </rPh>
    <phoneticPr fontId="3"/>
  </si>
  <si>
    <t>　公園清掃報償金 4月 11月</t>
    <rPh sb="1" eb="3">
      <t>コウエン</t>
    </rPh>
    <rPh sb="3" eb="5">
      <t>セイソウ</t>
    </rPh>
    <rPh sb="5" eb="8">
      <t>ホウショウキン</t>
    </rPh>
    <rPh sb="10" eb="11">
      <t>ガツ</t>
    </rPh>
    <rPh sb="14" eb="15">
      <t>ガツ</t>
    </rPh>
    <phoneticPr fontId="3"/>
  </si>
  <si>
    <t xml:space="preserve">  広報よこすか配布手数料 5月 11月</t>
    <rPh sb="15" eb="16">
      <t>ガツ</t>
    </rPh>
    <rPh sb="19" eb="20">
      <t>ガツ</t>
    </rPh>
    <phoneticPr fontId="3"/>
  </si>
  <si>
    <t xml:space="preserve">  資源回収奨励金 5月 8月 11月 2月</t>
    <rPh sb="11" eb="12">
      <t>ガツ</t>
    </rPh>
    <rPh sb="14" eb="15">
      <t>ガツ</t>
    </rPh>
    <rPh sb="18" eb="19">
      <t>ガツ</t>
    </rPh>
    <rPh sb="21" eb="22">
      <t>ガツ</t>
    </rPh>
    <phoneticPr fontId="3"/>
  </si>
  <si>
    <t>+ 会館修繕補助金  400万円</t>
    <rPh sb="2" eb="4">
      <t>カイカン</t>
    </rPh>
    <rPh sb="4" eb="6">
      <t>シュウゼン</t>
    </rPh>
    <rPh sb="6" eb="9">
      <t>ホジョキン</t>
    </rPh>
    <phoneticPr fontId="3"/>
  </si>
  <si>
    <t xml:space="preserve"> 190世帯 × 12ヶ月 × 300</t>
    <rPh sb="4" eb="6">
      <t>セタイ</t>
    </rPh>
    <rPh sb="12" eb="13">
      <t>ツキ</t>
    </rPh>
    <phoneticPr fontId="3"/>
  </si>
  <si>
    <t>前年度補助金 113,400円</t>
    <rPh sb="0" eb="3">
      <t>ゼンネンド</t>
    </rPh>
    <rPh sb="3" eb="6">
      <t>ホジョキン</t>
    </rPh>
    <rPh sb="14" eb="15">
      <t>エン</t>
    </rPh>
    <phoneticPr fontId="3"/>
  </si>
  <si>
    <t xml:space="preserve"> 前年度収入：　23,000 円（芋煮会）</t>
    <rPh sb="4" eb="6">
      <t>シュウニュウ</t>
    </rPh>
    <rPh sb="17" eb="20">
      <t>イモニカイ</t>
    </rPh>
    <phoneticPr fontId="3"/>
  </si>
  <si>
    <t xml:space="preserve"> 懇親餅つき大会ご祝儀</t>
    <rPh sb="1" eb="3">
      <t>コンシン</t>
    </rPh>
    <rPh sb="3" eb="4">
      <t>モチ</t>
    </rPh>
    <rPh sb="6" eb="8">
      <t>タイカイ</t>
    </rPh>
    <rPh sb="9" eb="11">
      <t>シュウギ</t>
    </rPh>
    <phoneticPr fontId="3"/>
  </si>
  <si>
    <t>2．補助金収入</t>
    <rPh sb="2" eb="5">
      <t>ホジョキン</t>
    </rPh>
    <rPh sb="5" eb="7">
      <t>シュウニュウ</t>
    </rPh>
    <phoneticPr fontId="3"/>
  </si>
  <si>
    <t>1．会費収入</t>
    <rPh sb="2" eb="4">
      <t>カイヒ</t>
    </rPh>
    <rPh sb="4" eb="6">
      <t>シュウニュウ</t>
    </rPh>
    <phoneticPr fontId="3"/>
  </si>
  <si>
    <t>会館修繕費：湘南信金からの融資</t>
    <rPh sb="6" eb="10">
      <t>ショウナンシンキン</t>
    </rPh>
    <rPh sb="13" eb="15">
      <t>ユウシ</t>
    </rPh>
    <phoneticPr fontId="3"/>
  </si>
  <si>
    <t>会館修繕費：一般会計定期預金より</t>
    <rPh sb="0" eb="2">
      <t>カイカン</t>
    </rPh>
    <rPh sb="2" eb="5">
      <t>シュウゼンヒ</t>
    </rPh>
    <rPh sb="6" eb="8">
      <t>イッパン</t>
    </rPh>
    <phoneticPr fontId="3"/>
  </si>
  <si>
    <t>前年度からの繰越金</t>
    <rPh sb="0" eb="3">
      <t>ゼンネンド</t>
    </rPh>
    <rPh sb="6" eb="8">
      <t>クリコシ</t>
    </rPh>
    <rPh sb="8" eb="9">
      <t>キン</t>
    </rPh>
    <phoneticPr fontId="3"/>
  </si>
  <si>
    <r>
      <t>会館修繕費：会館定期+普通預金</t>
    </r>
    <r>
      <rPr>
        <sz val="8"/>
        <rFont val="ＭＳ Ｐゴシック"/>
        <family val="3"/>
        <charset val="128"/>
      </rPr>
      <t>より</t>
    </r>
    <rPh sb="6" eb="8">
      <t>カイカン</t>
    </rPh>
    <rPh sb="8" eb="10">
      <t>テイキ</t>
    </rPh>
    <rPh sb="11" eb="13">
      <t>フツウ</t>
    </rPh>
    <rPh sb="13" eb="15">
      <t>ヨキン</t>
    </rPh>
    <phoneticPr fontId="3"/>
  </si>
  <si>
    <t>（前年度防災器材購入費約20万円）</t>
    <rPh sb="1" eb="4">
      <t>ゼンネンド</t>
    </rPh>
    <rPh sb="4" eb="6">
      <t>ボウサイ</t>
    </rPh>
    <rPh sb="6" eb="8">
      <t>キザイ</t>
    </rPh>
    <rPh sb="8" eb="11">
      <t>コウニュウヒ</t>
    </rPh>
    <phoneticPr fontId="3"/>
  </si>
  <si>
    <t>+  防災訓練補助金 約3万円</t>
    <phoneticPr fontId="3"/>
  </si>
  <si>
    <t>前年度補助金：212,440円(約21万円)</t>
    <rPh sb="3" eb="6">
      <t>ホジョキン</t>
    </rPh>
    <rPh sb="16" eb="17">
      <t>ヤク</t>
    </rPh>
    <rPh sb="19" eb="20">
      <t>マン</t>
    </rPh>
    <rPh sb="20" eb="21">
      <t>エン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</si>
</sst>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#,##0;&quot;△ &quot;#,##0"/>
    <numFmt numFmtId="177" formatCode="#,##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4"/>
      <name val="ＭＳ Ｐゴシック"/>
      <family val="2"/>
      <charset val="128"/>
    </font>
    <font>
      <sz val="11"/>
      <name val="ＭＳ Ｐゴシック"/>
      <family val="2"/>
      <charset val="128"/>
    </font>
    <font>
      <sz val="12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0"/>
      <color rgb="FFFF0000"/>
      <name val="ＭＳ Ｐゴシック"/>
      <family val="3"/>
      <charset val="128"/>
    </font>
    <font>
      <sz val="12"/>
      <color rgb="FFFF0000"/>
      <name val="ＭＳ Ｐゴシック"/>
      <family val="2"/>
      <charset val="128"/>
    </font>
    <font>
      <sz val="11"/>
      <color rgb="FF0070C0"/>
      <name val="ＭＳ Ｐゴシック"/>
      <family val="3"/>
      <charset val="128"/>
    </font>
    <font>
      <sz val="11"/>
      <color rgb="FF00B050"/>
      <name val="ＭＳ Ｐゴシック"/>
      <family val="3"/>
      <charset val="128"/>
    </font>
    <font>
      <sz val="10"/>
      <color rgb="FF00B050"/>
      <name val="ＭＳ Ｐゴシック"/>
      <family val="3"/>
      <charset val="128"/>
    </font>
    <font>
      <sz val="12"/>
      <color rgb="FF00B050"/>
      <name val="ＭＳ Ｐゴシック"/>
      <family val="2"/>
      <charset val="128"/>
    </font>
    <font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5" xfId="0" applyNumberFormat="1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76" fontId="4" fillId="0" borderId="8" xfId="0" applyNumberFormat="1" applyFont="1" applyBorder="1" applyAlignment="1">
      <alignment horizontal="right" vertical="center"/>
    </xf>
    <xf numFmtId="176" fontId="4" fillId="0" borderId="9" xfId="0" applyNumberFormat="1" applyFont="1" applyBorder="1" applyAlignment="1">
      <alignment horizontal="right" vertical="center"/>
    </xf>
    <xf numFmtId="176" fontId="4" fillId="0" borderId="10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0" xfId="0" applyNumberFormat="1"/>
    <xf numFmtId="0" fontId="9" fillId="0" borderId="0" xfId="0" applyFont="1"/>
    <xf numFmtId="0" fontId="13" fillId="0" borderId="0" xfId="0" applyFont="1"/>
    <xf numFmtId="38" fontId="4" fillId="0" borderId="12" xfId="1" applyFont="1" applyBorder="1" applyAlignment="1">
      <alignment horizontal="center" vertical="center"/>
    </xf>
    <xf numFmtId="38" fontId="0" fillId="0" borderId="0" xfId="0" applyNumberFormat="1"/>
    <xf numFmtId="0" fontId="5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" borderId="0" xfId="0" applyFont="1" applyFill="1"/>
    <xf numFmtId="5" fontId="0" fillId="2" borderId="0" xfId="0" applyNumberFormat="1" applyFill="1"/>
    <xf numFmtId="5" fontId="8" fillId="0" borderId="0" xfId="0" applyNumberFormat="1" applyFont="1"/>
    <xf numFmtId="5" fontId="16" fillId="0" borderId="0" xfId="0" applyNumberFormat="1" applyFont="1"/>
    <xf numFmtId="0" fontId="6" fillId="0" borderId="2" xfId="0" applyFont="1" applyBorder="1" applyAlignment="1">
      <alignment horizontal="left" vertical="center"/>
    </xf>
    <xf numFmtId="3" fontId="0" fillId="0" borderId="0" xfId="0" applyNumberFormat="1" applyAlignment="1">
      <alignment horizontal="right"/>
    </xf>
    <xf numFmtId="0" fontId="16" fillId="0" borderId="12" xfId="0" applyFont="1" applyBorder="1" applyAlignment="1">
      <alignment horizontal="left" vertical="center"/>
    </xf>
    <xf numFmtId="38" fontId="10" fillId="0" borderId="12" xfId="1" applyFont="1" applyBorder="1" applyAlignment="1">
      <alignment horizontal="center" vertical="center"/>
    </xf>
    <xf numFmtId="38" fontId="2" fillId="0" borderId="12" xfId="1" applyFont="1" applyBorder="1" applyAlignment="1">
      <alignment horizontal="center" vertical="center"/>
    </xf>
    <xf numFmtId="38" fontId="12" fillId="0" borderId="1" xfId="1" applyFont="1" applyBorder="1" applyAlignment="1">
      <alignment horizontal="right" vertical="center"/>
    </xf>
    <xf numFmtId="38" fontId="10" fillId="0" borderId="15" xfId="1" applyFont="1" applyBorder="1" applyAlignment="1">
      <alignment horizontal="right" vertical="center"/>
    </xf>
    <xf numFmtId="38" fontId="15" fillId="0" borderId="13" xfId="1" applyFont="1" applyBorder="1" applyAlignment="1">
      <alignment horizontal="center" vertical="center"/>
    </xf>
    <xf numFmtId="38" fontId="4" fillId="0" borderId="13" xfId="1" applyFont="1" applyBorder="1" applyAlignment="1">
      <alignment horizontal="center" vertical="center"/>
    </xf>
    <xf numFmtId="38" fontId="11" fillId="0" borderId="10" xfId="1" applyFont="1" applyBorder="1" applyAlignment="1">
      <alignment horizontal="right" vertical="center"/>
    </xf>
    <xf numFmtId="38" fontId="12" fillId="0" borderId="6" xfId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38" fontId="4" fillId="0" borderId="14" xfId="1" applyFont="1" applyBorder="1" applyAlignment="1">
      <alignment horizontal="right" vertical="center"/>
    </xf>
    <xf numFmtId="38" fontId="19" fillId="0" borderId="14" xfId="1" applyFont="1" applyBorder="1" applyAlignment="1">
      <alignment horizontal="left" vertical="center"/>
    </xf>
    <xf numFmtId="38" fontId="12" fillId="0" borderId="12" xfId="1" applyFont="1" applyBorder="1" applyAlignment="1">
      <alignment horizontal="right" vertical="center"/>
    </xf>
    <xf numFmtId="38" fontId="12" fillId="0" borderId="2" xfId="1" applyFont="1" applyBorder="1" applyAlignment="1">
      <alignment horizontal="right" vertical="center"/>
    </xf>
    <xf numFmtId="38" fontId="4" fillId="0" borderId="12" xfId="1" applyFont="1" applyBorder="1" applyAlignment="1">
      <alignment horizontal="right" vertical="center"/>
    </xf>
    <xf numFmtId="38" fontId="4" fillId="0" borderId="2" xfId="1" applyFont="1" applyBorder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8" fontId="4" fillId="0" borderId="20" xfId="1" applyFont="1" applyBorder="1" applyAlignment="1">
      <alignment horizontal="right" vertical="center"/>
    </xf>
    <xf numFmtId="38" fontId="4" fillId="0" borderId="1" xfId="1" applyFont="1" applyBorder="1" applyAlignment="1">
      <alignment horizontal="right" vertical="center"/>
    </xf>
    <xf numFmtId="38" fontId="12" fillId="0" borderId="20" xfId="1" applyFont="1" applyBorder="1" applyAlignment="1">
      <alignment horizontal="right" vertical="center"/>
    </xf>
    <xf numFmtId="38" fontId="10" fillId="0" borderId="3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38" fontId="12" fillId="0" borderId="2" xfId="1" applyFont="1" applyBorder="1" applyAlignment="1">
      <alignment horizontal="right"/>
    </xf>
    <xf numFmtId="38" fontId="4" fillId="0" borderId="2" xfId="1" applyFont="1" applyBorder="1" applyAlignment="1">
      <alignment horizontal="right"/>
    </xf>
    <xf numFmtId="38" fontId="4" fillId="0" borderId="21" xfId="1" applyFont="1" applyBorder="1" applyAlignment="1">
      <alignment horizontal="right" vertical="center"/>
    </xf>
    <xf numFmtId="38" fontId="12" fillId="0" borderId="21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11" fillId="0" borderId="14" xfId="1" applyFont="1" applyBorder="1" applyAlignment="1">
      <alignment horizontal="right" vertical="center"/>
    </xf>
    <xf numFmtId="38" fontId="11" fillId="0" borderId="20" xfId="1" applyFont="1" applyBorder="1" applyAlignment="1">
      <alignment horizontal="right" vertical="center"/>
    </xf>
    <xf numFmtId="38" fontId="0" fillId="0" borderId="14" xfId="1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38" fontId="10" fillId="0" borderId="17" xfId="1" applyFont="1" applyBorder="1" applyAlignment="1">
      <alignment horizontal="right" vertical="center"/>
    </xf>
    <xf numFmtId="176" fontId="10" fillId="0" borderId="15" xfId="1" applyNumberFormat="1" applyFont="1" applyBorder="1" applyAlignment="1">
      <alignment horizontal="right" vertical="center"/>
    </xf>
    <xf numFmtId="38" fontId="10" fillId="0" borderId="4" xfId="1" applyFont="1" applyBorder="1" applyAlignment="1">
      <alignment horizontal="right" vertical="center"/>
    </xf>
    <xf numFmtId="0" fontId="6" fillId="0" borderId="12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7" fontId="5" fillId="0" borderId="2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77" fontId="5" fillId="0" borderId="26" xfId="0" applyNumberFormat="1" applyFont="1" applyBorder="1" applyAlignment="1">
      <alignment horizontal="left" vertical="center"/>
    </xf>
    <xf numFmtId="177" fontId="5" fillId="0" borderId="27" xfId="0" applyNumberFormat="1" applyFont="1" applyBorder="1" applyAlignment="1">
      <alignment horizontal="left" vertical="center"/>
    </xf>
    <xf numFmtId="177" fontId="5" fillId="0" borderId="2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view="pageBreakPreview" zoomScale="115" zoomScaleNormal="100" zoomScaleSheetLayoutView="115" workbookViewId="0">
      <selection activeCell="L2" sqref="L2"/>
    </sheetView>
  </sheetViews>
  <sheetFormatPr defaultColWidth="8.875" defaultRowHeight="13.5" x14ac:dyDescent="0.15"/>
  <cols>
    <col min="1" max="1" width="10.625" customWidth="1"/>
    <col min="2" max="2" width="8.125" customWidth="1"/>
    <col min="3" max="5" width="13" customWidth="1"/>
    <col min="8" max="8" width="9.875" customWidth="1"/>
    <col min="9" max="9" width="13.5" bestFit="1" customWidth="1"/>
    <col min="10" max="10" width="13.75" customWidth="1"/>
  </cols>
  <sheetData>
    <row r="1" spans="1:10" ht="18" customHeight="1" x14ac:dyDescent="0.15">
      <c r="A1" s="132" t="s">
        <v>21</v>
      </c>
      <c r="B1" s="132"/>
      <c r="G1" s="2"/>
      <c r="H1" s="2"/>
    </row>
    <row r="2" spans="1:10" ht="18" customHeight="1" thickBot="1" x14ac:dyDescent="0.2">
      <c r="A2" s="139" t="s">
        <v>7</v>
      </c>
      <c r="B2" s="139"/>
      <c r="C2" s="12" t="s">
        <v>22</v>
      </c>
      <c r="D2" s="13" t="s">
        <v>23</v>
      </c>
      <c r="G2" s="139" t="s">
        <v>6</v>
      </c>
      <c r="H2" s="139"/>
    </row>
    <row r="3" spans="1:10" ht="20.100000000000001" customHeight="1" thickBot="1" x14ac:dyDescent="0.2">
      <c r="A3" s="140" t="s">
        <v>3</v>
      </c>
      <c r="B3" s="140"/>
      <c r="C3" s="58" t="s">
        <v>0</v>
      </c>
      <c r="D3" s="59" t="s">
        <v>1</v>
      </c>
      <c r="E3" s="10" t="s">
        <v>4</v>
      </c>
      <c r="F3" s="140" t="s">
        <v>2</v>
      </c>
      <c r="G3" s="140"/>
      <c r="H3" s="140"/>
    </row>
    <row r="4" spans="1:10" ht="20.100000000000001" customHeight="1" x14ac:dyDescent="0.15">
      <c r="A4" s="82" t="s">
        <v>40</v>
      </c>
      <c r="B4" s="82"/>
      <c r="C4" s="30">
        <f>190*12*300</f>
        <v>684000</v>
      </c>
      <c r="D4" s="30">
        <f>190*12*300</f>
        <v>684000</v>
      </c>
      <c r="E4" s="30">
        <f>C4-D4</f>
        <v>0</v>
      </c>
      <c r="F4" s="137" t="s">
        <v>35</v>
      </c>
      <c r="G4" s="138"/>
      <c r="H4" s="138"/>
    </row>
    <row r="5" spans="1:10" ht="20.100000000000001" customHeight="1" thickBot="1" x14ac:dyDescent="0.2">
      <c r="A5" s="134"/>
      <c r="B5" s="134"/>
      <c r="C5" s="55"/>
      <c r="D5" s="57"/>
      <c r="E5" s="8"/>
      <c r="F5" s="133"/>
      <c r="G5" s="134"/>
      <c r="H5" s="134"/>
    </row>
    <row r="6" spans="1:10" ht="20.100000000000001" customHeight="1" x14ac:dyDescent="0.15">
      <c r="A6" s="102" t="s">
        <v>39</v>
      </c>
      <c r="B6" s="102"/>
      <c r="C6" s="62">
        <f>C7+C11+C13</f>
        <v>4679000</v>
      </c>
      <c r="D6" s="62">
        <v>1794000</v>
      </c>
      <c r="E6" s="62">
        <f>C6-D6</f>
        <v>2885000</v>
      </c>
      <c r="F6" s="135"/>
      <c r="G6" s="136"/>
      <c r="H6" s="136"/>
    </row>
    <row r="7" spans="1:10" ht="20.100000000000001" customHeight="1" x14ac:dyDescent="0.15">
      <c r="A7" s="105" t="s">
        <v>11</v>
      </c>
      <c r="B7" s="105"/>
      <c r="C7" s="39">
        <v>319000</v>
      </c>
      <c r="D7" s="41">
        <v>319000</v>
      </c>
      <c r="E7" s="7">
        <f>C7-D7</f>
        <v>0</v>
      </c>
      <c r="F7" s="77" t="s">
        <v>30</v>
      </c>
      <c r="G7" s="121"/>
      <c r="H7" s="121"/>
      <c r="I7" s="11"/>
    </row>
    <row r="8" spans="1:10" ht="20.100000000000001" customHeight="1" x14ac:dyDescent="0.15">
      <c r="A8" s="131" t="s">
        <v>12</v>
      </c>
      <c r="B8" s="131"/>
      <c r="C8" s="56"/>
      <c r="D8" s="54"/>
      <c r="E8" s="6"/>
      <c r="F8" s="131"/>
      <c r="G8" s="131"/>
      <c r="H8" s="131"/>
    </row>
    <row r="9" spans="1:10" ht="20.100000000000001" hidden="1" customHeight="1" x14ac:dyDescent="0.15">
      <c r="A9" s="115" t="s">
        <v>9</v>
      </c>
      <c r="B9" s="115"/>
      <c r="C9" s="39">
        <v>0</v>
      </c>
      <c r="D9" s="41">
        <v>0</v>
      </c>
      <c r="E9" s="7">
        <f>C9-D9</f>
        <v>0</v>
      </c>
      <c r="F9" s="77" t="s">
        <v>24</v>
      </c>
      <c r="G9" s="121"/>
      <c r="H9" s="121"/>
    </row>
    <row r="10" spans="1:10" ht="20.100000000000001" hidden="1" customHeight="1" x14ac:dyDescent="0.15">
      <c r="A10" s="124" t="s">
        <v>10</v>
      </c>
      <c r="B10" s="124"/>
      <c r="C10" s="50"/>
      <c r="D10" s="51"/>
      <c r="E10" s="6"/>
      <c r="F10" s="97"/>
      <c r="G10" s="97"/>
      <c r="H10" s="97"/>
    </row>
    <row r="11" spans="1:10" ht="20.100000000000001" customHeight="1" x14ac:dyDescent="0.15">
      <c r="A11" s="125" t="s">
        <v>26</v>
      </c>
      <c r="B11" s="126"/>
      <c r="C11" s="53">
        <v>120000</v>
      </c>
      <c r="D11" s="52">
        <v>200000</v>
      </c>
      <c r="E11" s="7">
        <f>C11-D11</f>
        <v>-80000</v>
      </c>
      <c r="F11" s="122" t="s">
        <v>36</v>
      </c>
      <c r="G11" s="123"/>
      <c r="H11" s="123"/>
      <c r="I11" s="11"/>
    </row>
    <row r="12" spans="1:10" ht="20.100000000000001" customHeight="1" x14ac:dyDescent="0.15">
      <c r="A12" s="131" t="s">
        <v>13</v>
      </c>
      <c r="B12" s="124"/>
      <c r="C12" s="47"/>
      <c r="D12" s="45"/>
      <c r="E12" s="6"/>
      <c r="F12" s="97" t="s">
        <v>45</v>
      </c>
      <c r="G12" s="97"/>
      <c r="H12" s="97"/>
      <c r="I12" s="25" t="s">
        <v>28</v>
      </c>
      <c r="J12" s="25" t="s">
        <v>29</v>
      </c>
    </row>
    <row r="13" spans="1:10" ht="20.100000000000001" customHeight="1" x14ac:dyDescent="0.15">
      <c r="A13" s="105" t="s">
        <v>27</v>
      </c>
      <c r="B13" s="115"/>
      <c r="C13" s="39">
        <f>210000+30000+4000000</f>
        <v>4240000</v>
      </c>
      <c r="D13" s="41">
        <v>1275000</v>
      </c>
      <c r="E13" s="7">
        <f>C13-D13</f>
        <v>2965000</v>
      </c>
      <c r="F13" s="127" t="s">
        <v>47</v>
      </c>
      <c r="G13" s="128"/>
      <c r="H13" s="129"/>
      <c r="I13" s="11">
        <f>SUM(I14:I19)</f>
        <v>4241540</v>
      </c>
      <c r="J13" s="11">
        <f>SUM(J14:J17)</f>
        <v>212440</v>
      </c>
    </row>
    <row r="14" spans="1:10" ht="20.100000000000001" customHeight="1" x14ac:dyDescent="0.15">
      <c r="A14" s="105" t="s">
        <v>14</v>
      </c>
      <c r="B14" s="115"/>
      <c r="C14" s="39"/>
      <c r="D14" s="41"/>
      <c r="E14" s="9"/>
      <c r="F14" s="130" t="s">
        <v>32</v>
      </c>
      <c r="G14" s="107"/>
      <c r="H14" s="98"/>
      <c r="I14" s="11">
        <f>52440</f>
        <v>52440</v>
      </c>
      <c r="J14" s="11">
        <f>52440</f>
        <v>52440</v>
      </c>
    </row>
    <row r="15" spans="1:10" ht="20.100000000000001" customHeight="1" x14ac:dyDescent="0.15">
      <c r="A15" s="71"/>
      <c r="B15" s="72"/>
      <c r="C15" s="26"/>
      <c r="D15" s="14"/>
      <c r="E15" s="9"/>
      <c r="F15" s="65" t="s">
        <v>31</v>
      </c>
      <c r="G15" s="64"/>
      <c r="H15" s="24"/>
      <c r="I15" s="11">
        <v>66800</v>
      </c>
      <c r="J15" s="11">
        <v>66800</v>
      </c>
    </row>
    <row r="16" spans="1:10" ht="20.100000000000001" customHeight="1" x14ac:dyDescent="0.15">
      <c r="A16" s="73"/>
      <c r="B16" s="74"/>
      <c r="C16" s="26"/>
      <c r="D16" s="14"/>
      <c r="E16" s="9"/>
      <c r="F16" s="83" t="s">
        <v>33</v>
      </c>
      <c r="G16" s="84"/>
      <c r="H16" s="85"/>
      <c r="I16" s="11">
        <v>93200</v>
      </c>
      <c r="J16" s="11">
        <v>93200</v>
      </c>
    </row>
    <row r="17" spans="1:10" ht="20.100000000000001" customHeight="1" x14ac:dyDescent="0.15">
      <c r="A17" s="73"/>
      <c r="B17" s="74"/>
      <c r="C17" s="17"/>
      <c r="D17" s="14"/>
      <c r="E17" s="9"/>
      <c r="F17" s="63" t="s">
        <v>46</v>
      </c>
      <c r="G17" s="64"/>
      <c r="H17" s="24"/>
      <c r="I17" s="11">
        <v>29100</v>
      </c>
      <c r="J17" s="11">
        <v>0</v>
      </c>
    </row>
    <row r="18" spans="1:10" ht="20.100000000000001" customHeight="1" x14ac:dyDescent="0.15">
      <c r="A18" s="17"/>
      <c r="B18" s="18"/>
      <c r="C18" s="17"/>
      <c r="D18" s="14"/>
      <c r="E18" s="9"/>
      <c r="F18" s="65" t="s">
        <v>34</v>
      </c>
      <c r="G18" s="64"/>
      <c r="H18" s="24"/>
      <c r="I18" s="23"/>
      <c r="J18" s="23">
        <v>0</v>
      </c>
    </row>
    <row r="19" spans="1:10" ht="20.100000000000001" customHeight="1" thickBot="1" x14ac:dyDescent="0.2">
      <c r="A19" s="69"/>
      <c r="B19" s="70"/>
      <c r="C19" s="31"/>
      <c r="D19" s="32"/>
      <c r="E19" s="8"/>
      <c r="F19" s="66"/>
      <c r="G19" s="67"/>
      <c r="H19" s="68"/>
      <c r="I19" s="22">
        <v>4000000</v>
      </c>
      <c r="J19" s="22">
        <v>0</v>
      </c>
    </row>
    <row r="20" spans="1:10" ht="20.100000000000001" customHeight="1" x14ac:dyDescent="0.15">
      <c r="A20" s="82" t="s">
        <v>8</v>
      </c>
      <c r="B20" s="82"/>
      <c r="C20" s="30">
        <v>20000</v>
      </c>
      <c r="D20" s="30">
        <v>10000</v>
      </c>
      <c r="E20" s="30">
        <f>C20-D20</f>
        <v>10000</v>
      </c>
      <c r="F20" s="79" t="s">
        <v>38</v>
      </c>
      <c r="G20" s="79"/>
      <c r="H20" s="79"/>
    </row>
    <row r="21" spans="1:10" ht="20.100000000000001" customHeight="1" x14ac:dyDescent="0.15">
      <c r="A21" s="87"/>
      <c r="B21" s="88"/>
      <c r="C21" s="26"/>
      <c r="D21" s="14"/>
      <c r="E21" s="9"/>
      <c r="F21" s="24" t="s">
        <v>37</v>
      </c>
      <c r="G21" s="24"/>
      <c r="H21" s="24"/>
    </row>
    <row r="22" spans="1:10" ht="20.100000000000001" customHeight="1" thickBot="1" x14ac:dyDescent="0.2">
      <c r="A22" s="100"/>
      <c r="B22" s="101"/>
      <c r="C22" s="37"/>
      <c r="D22" s="36"/>
      <c r="E22" s="8"/>
      <c r="F22" s="93"/>
      <c r="G22" s="93"/>
      <c r="H22" s="93"/>
    </row>
    <row r="23" spans="1:10" ht="20.100000000000001" customHeight="1" x14ac:dyDescent="0.15">
      <c r="A23" s="102" t="s">
        <v>15</v>
      </c>
      <c r="B23" s="102"/>
      <c r="C23" s="30">
        <f>C24+C25+C26</f>
        <v>4880000</v>
      </c>
      <c r="D23" s="30">
        <v>880000</v>
      </c>
      <c r="E23" s="30">
        <f>C23-D23</f>
        <v>4000000</v>
      </c>
      <c r="F23" s="96"/>
      <c r="G23" s="97"/>
      <c r="H23" s="97"/>
    </row>
    <row r="24" spans="1:10" ht="20.100000000000001" customHeight="1" x14ac:dyDescent="0.15">
      <c r="A24" s="89" t="s">
        <v>17</v>
      </c>
      <c r="B24" s="90"/>
      <c r="C24" s="34">
        <v>0</v>
      </c>
      <c r="D24" s="35">
        <v>0</v>
      </c>
      <c r="E24" s="3">
        <f>C24-D24</f>
        <v>0</v>
      </c>
      <c r="F24" s="91"/>
      <c r="G24" s="91"/>
      <c r="H24" s="92"/>
    </row>
    <row r="25" spans="1:10" ht="20.100000000000001" customHeight="1" x14ac:dyDescent="0.15">
      <c r="A25" s="4" t="s">
        <v>16</v>
      </c>
      <c r="B25" s="5"/>
      <c r="C25" s="35">
        <v>1880000</v>
      </c>
      <c r="D25" s="35">
        <v>880000</v>
      </c>
      <c r="E25" s="3">
        <f>C25-D25</f>
        <v>1000000</v>
      </c>
      <c r="F25" s="80" t="s">
        <v>44</v>
      </c>
      <c r="G25" s="80"/>
      <c r="H25" s="81"/>
      <c r="I25" t="s">
        <v>25</v>
      </c>
    </row>
    <row r="26" spans="1:10" ht="20.100000000000001" customHeight="1" x14ac:dyDescent="0.15">
      <c r="A26" s="105" t="s">
        <v>18</v>
      </c>
      <c r="B26" s="105"/>
      <c r="C26" s="29">
        <v>3000000</v>
      </c>
      <c r="D26" s="46">
        <v>0</v>
      </c>
      <c r="E26" s="7">
        <f>C26-D26</f>
        <v>3000000</v>
      </c>
      <c r="F26" s="98" t="s">
        <v>41</v>
      </c>
      <c r="G26" s="99"/>
      <c r="H26" s="99"/>
    </row>
    <row r="27" spans="1:10" ht="20.100000000000001" customHeight="1" thickBot="1" x14ac:dyDescent="0.2">
      <c r="A27" s="103"/>
      <c r="B27" s="104"/>
      <c r="C27" s="38"/>
      <c r="D27" s="40"/>
      <c r="E27" s="8"/>
      <c r="F27" s="75"/>
      <c r="G27" s="76"/>
      <c r="H27" s="77"/>
      <c r="I27" s="11"/>
    </row>
    <row r="28" spans="1:10" ht="20.100000000000001" customHeight="1" x14ac:dyDescent="0.15">
      <c r="A28" s="82" t="s">
        <v>19</v>
      </c>
      <c r="B28" s="82"/>
      <c r="C28" s="30">
        <v>1490000</v>
      </c>
      <c r="D28" s="30">
        <v>1490000</v>
      </c>
      <c r="E28" s="30">
        <f>C28-D28</f>
        <v>0</v>
      </c>
      <c r="F28" s="78" t="s">
        <v>42</v>
      </c>
      <c r="G28" s="79"/>
      <c r="H28" s="79"/>
    </row>
    <row r="29" spans="1:10" ht="20.100000000000001" customHeight="1" x14ac:dyDescent="0.15">
      <c r="A29" s="87"/>
      <c r="B29" s="88"/>
      <c r="C29" s="27"/>
      <c r="D29" s="28"/>
      <c r="E29" s="9"/>
      <c r="F29" s="75"/>
      <c r="G29" s="76"/>
      <c r="H29" s="77"/>
      <c r="I29" s="20"/>
    </row>
    <row r="30" spans="1:10" ht="20.100000000000001" customHeight="1" thickBot="1" x14ac:dyDescent="0.2">
      <c r="A30" s="120" t="s">
        <v>7</v>
      </c>
      <c r="B30" s="120"/>
      <c r="C30" s="33"/>
      <c r="D30" s="49"/>
      <c r="E30" s="8"/>
      <c r="F30" s="86"/>
      <c r="G30" s="86"/>
      <c r="H30" s="86"/>
      <c r="I30" s="21"/>
    </row>
    <row r="31" spans="1:10" ht="20.100000000000001" customHeight="1" x14ac:dyDescent="0.15">
      <c r="A31" s="94" t="s">
        <v>5</v>
      </c>
      <c r="B31" s="95"/>
      <c r="C31" s="30">
        <v>1715254</v>
      </c>
      <c r="D31" s="30">
        <v>2584603</v>
      </c>
      <c r="E31" s="61">
        <f>C31-D31</f>
        <v>-869349</v>
      </c>
      <c r="F31" s="76" t="s">
        <v>43</v>
      </c>
      <c r="G31" s="76"/>
      <c r="H31" s="77"/>
      <c r="J31" s="15"/>
    </row>
    <row r="32" spans="1:10" ht="20.100000000000001" customHeight="1" x14ac:dyDescent="0.15">
      <c r="A32" s="103"/>
      <c r="B32" s="104"/>
      <c r="C32" s="27"/>
      <c r="D32" s="28"/>
      <c r="E32" s="9"/>
      <c r="F32" s="112"/>
      <c r="G32" s="113"/>
      <c r="H32" s="114"/>
    </row>
    <row r="33" spans="1:8" ht="20.100000000000001" customHeight="1" thickBot="1" x14ac:dyDescent="0.2">
      <c r="A33" s="115" t="s">
        <v>7</v>
      </c>
      <c r="B33" s="115"/>
      <c r="C33" s="29" t="s">
        <v>7</v>
      </c>
      <c r="D33" s="46" t="s">
        <v>7</v>
      </c>
      <c r="E33" s="8"/>
      <c r="F33" s="108"/>
      <c r="G33" s="108"/>
      <c r="H33" s="108"/>
    </row>
    <row r="34" spans="1:8" ht="20.100000000000001" customHeight="1" thickBot="1" x14ac:dyDescent="0.2">
      <c r="A34" s="116" t="s">
        <v>20</v>
      </c>
      <c r="B34" s="117"/>
      <c r="C34" s="30">
        <f>C4+C6+C20+C23+C28+C31</f>
        <v>13468254</v>
      </c>
      <c r="D34" s="48">
        <f>D4+D6+D20+D23+D28+D31</f>
        <v>7442603</v>
      </c>
      <c r="E34" s="60">
        <f>C34-D34</f>
        <v>6025651</v>
      </c>
      <c r="F34" s="109"/>
      <c r="G34" s="110"/>
      <c r="H34" s="110"/>
    </row>
    <row r="35" spans="1:8" ht="18" customHeight="1" x14ac:dyDescent="0.15">
      <c r="A35" s="119"/>
      <c r="B35" s="119"/>
      <c r="C35" s="43"/>
      <c r="D35" s="44"/>
      <c r="E35" s="1"/>
      <c r="F35" s="111"/>
      <c r="G35" s="111"/>
      <c r="H35" s="111"/>
    </row>
    <row r="36" spans="1:8" ht="18" customHeight="1" x14ac:dyDescent="0.15">
      <c r="A36" s="19"/>
      <c r="B36" s="16"/>
    </row>
    <row r="37" spans="1:8" ht="18" customHeight="1" x14ac:dyDescent="0.15">
      <c r="A37" s="118"/>
      <c r="B37" s="118"/>
      <c r="C37" s="1"/>
      <c r="D37" s="42"/>
      <c r="E37" s="1"/>
      <c r="F37" s="107"/>
      <c r="G37" s="107"/>
      <c r="H37" s="107"/>
    </row>
    <row r="38" spans="1:8" ht="18" customHeight="1" x14ac:dyDescent="0.15">
      <c r="A38" s="76"/>
      <c r="B38" s="76"/>
      <c r="C38" s="42"/>
      <c r="D38" s="1"/>
      <c r="E38" s="1"/>
      <c r="F38" s="107"/>
      <c r="G38" s="107"/>
      <c r="H38" s="107"/>
    </row>
    <row r="39" spans="1:8" ht="18" customHeight="1" x14ac:dyDescent="0.15">
      <c r="A39" s="76"/>
      <c r="B39" s="76"/>
      <c r="C39" s="1"/>
      <c r="D39" s="1"/>
      <c r="E39" s="1"/>
      <c r="F39" s="106"/>
      <c r="G39" s="106"/>
      <c r="H39" s="106"/>
    </row>
    <row r="40" spans="1:8" ht="18" customHeight="1" x14ac:dyDescent="0.15">
      <c r="A40" s="106"/>
      <c r="B40" s="106"/>
      <c r="C40" s="1"/>
      <c r="D40" s="1"/>
      <c r="E40" s="1"/>
      <c r="F40" s="106"/>
      <c r="G40" s="106"/>
      <c r="H40" s="106"/>
    </row>
    <row r="41" spans="1:8" ht="18" customHeight="1" x14ac:dyDescent="0.15">
      <c r="A41" s="106"/>
      <c r="B41" s="106"/>
      <c r="C41" s="1"/>
      <c r="D41" s="1"/>
      <c r="E41" s="1"/>
      <c r="F41" s="106"/>
      <c r="G41" s="106"/>
      <c r="H41" s="106"/>
    </row>
    <row r="42" spans="1:8" ht="18" customHeight="1" x14ac:dyDescent="0.15">
      <c r="A42" s="106"/>
      <c r="B42" s="106"/>
      <c r="C42" s="1"/>
      <c r="D42" s="1"/>
      <c r="E42" s="1"/>
      <c r="F42" s="106"/>
      <c r="G42" s="106"/>
      <c r="H42" s="106"/>
    </row>
    <row r="43" spans="1:8" x14ac:dyDescent="0.15">
      <c r="A43" s="106"/>
      <c r="B43" s="106"/>
      <c r="C43" s="1"/>
      <c r="D43" s="1"/>
      <c r="E43" s="1"/>
      <c r="F43" s="106"/>
      <c r="G43" s="106"/>
      <c r="H43" s="106"/>
    </row>
  </sheetData>
  <mergeCells count="76">
    <mergeCell ref="A1:B1"/>
    <mergeCell ref="F5:H5"/>
    <mergeCell ref="F6:H6"/>
    <mergeCell ref="F7:H7"/>
    <mergeCell ref="F8:H8"/>
    <mergeCell ref="A7:B7"/>
    <mergeCell ref="A8:B8"/>
    <mergeCell ref="A4:B4"/>
    <mergeCell ref="F4:H4"/>
    <mergeCell ref="A5:B5"/>
    <mergeCell ref="A6:B6"/>
    <mergeCell ref="G2:H2"/>
    <mergeCell ref="A3:B3"/>
    <mergeCell ref="F3:H3"/>
    <mergeCell ref="A2:B2"/>
    <mergeCell ref="A14:B14"/>
    <mergeCell ref="F9:H9"/>
    <mergeCell ref="F10:H10"/>
    <mergeCell ref="F11:H11"/>
    <mergeCell ref="A9:B9"/>
    <mergeCell ref="A10:B10"/>
    <mergeCell ref="A11:B11"/>
    <mergeCell ref="F12:H12"/>
    <mergeCell ref="F13:H13"/>
    <mergeCell ref="F14:H14"/>
    <mergeCell ref="A12:B12"/>
    <mergeCell ref="A13:B13"/>
    <mergeCell ref="A33:B33"/>
    <mergeCell ref="A34:B34"/>
    <mergeCell ref="A37:B37"/>
    <mergeCell ref="A35:B35"/>
    <mergeCell ref="A29:B29"/>
    <mergeCell ref="A30:B30"/>
    <mergeCell ref="A32:B32"/>
    <mergeCell ref="F33:H33"/>
    <mergeCell ref="F34:H34"/>
    <mergeCell ref="F35:H35"/>
    <mergeCell ref="F37:H37"/>
    <mergeCell ref="F32:H32"/>
    <mergeCell ref="F38:H38"/>
    <mergeCell ref="F39:H39"/>
    <mergeCell ref="A40:B40"/>
    <mergeCell ref="F40:H40"/>
    <mergeCell ref="A38:B38"/>
    <mergeCell ref="A39:B39"/>
    <mergeCell ref="F43:H43"/>
    <mergeCell ref="A42:B42"/>
    <mergeCell ref="A43:B43"/>
    <mergeCell ref="A41:B41"/>
    <mergeCell ref="F41:H41"/>
    <mergeCell ref="F42:H42"/>
    <mergeCell ref="F30:H30"/>
    <mergeCell ref="F31:H31"/>
    <mergeCell ref="A21:B21"/>
    <mergeCell ref="A24:B24"/>
    <mergeCell ref="F24:H24"/>
    <mergeCell ref="F22:H22"/>
    <mergeCell ref="A31:B31"/>
    <mergeCell ref="F23:H23"/>
    <mergeCell ref="F26:H26"/>
    <mergeCell ref="A22:B22"/>
    <mergeCell ref="A23:B23"/>
    <mergeCell ref="A27:B27"/>
    <mergeCell ref="F27:H27"/>
    <mergeCell ref="A28:B28"/>
    <mergeCell ref="A26:B26"/>
    <mergeCell ref="A19:B19"/>
    <mergeCell ref="A15:B15"/>
    <mergeCell ref="A16:B16"/>
    <mergeCell ref="A17:B17"/>
    <mergeCell ref="F29:H29"/>
    <mergeCell ref="F28:H28"/>
    <mergeCell ref="F25:H25"/>
    <mergeCell ref="A20:B20"/>
    <mergeCell ref="F20:H20"/>
    <mergeCell ref="F16:H16"/>
  </mergeCells>
  <phoneticPr fontId="3"/>
  <pageMargins left="0.98425196850393704" right="0.39370078740157483" top="1.1811023622047245" bottom="0.78740157480314965" header="0.51181102362204722" footer="0.51181102362204722"/>
  <pageSetup paperSize="9" orientation="portrait" r:id="rId1"/>
  <headerFooter alignWithMargins="0">
    <oddHeader>&amp;C&amp;16令和６年度 一般会計 収支予算書&amp;R
駒寄町内会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（収　入）</vt:lpstr>
      <vt:lpstr>'（収　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岳 橋本</cp:lastModifiedBy>
  <cp:lastPrinted>2024-05-11T01:57:22Z</cp:lastPrinted>
  <dcterms:created xsi:type="dcterms:W3CDTF">2004-03-14T01:44:11Z</dcterms:created>
  <dcterms:modified xsi:type="dcterms:W3CDTF">2024-05-11T01:57:27Z</dcterms:modified>
</cp:coreProperties>
</file>