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★会計★/②一般会計/2023-R5会計年度/"/>
    </mc:Choice>
  </mc:AlternateContent>
  <xr:revisionPtr revIDLastSave="198" documentId="8_{D3C493DB-4F36-49EB-A893-3DF5C3E98AE5}" xr6:coauthVersionLast="47" xr6:coauthVersionMax="47" xr10:uidLastSave="{B7CB5419-D0B0-450F-8786-913B219A5AEA}"/>
  <bookViews>
    <workbookView xWindow="-120" yWindow="-120" windowWidth="29040" windowHeight="15720" xr2:uid="{00000000-000D-0000-FFFF-FFFF00000000}"/>
  </bookViews>
  <sheets>
    <sheet name="2024.03.31" sheetId="1" r:id="rId1"/>
  </sheets>
  <definedNames>
    <definedName name="_xlnm.Print_Area" localSheetId="0">'2024.03.31'!$A$1:$H$47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46" i="1"/>
  <c r="D49" i="1" s="1"/>
  <c r="D26" i="1"/>
  <c r="E8" i="1"/>
  <c r="E10" i="1"/>
  <c r="E9" i="1"/>
  <c r="D22" i="1"/>
  <c r="E22" i="1" s="1"/>
  <c r="D37" i="1"/>
  <c r="C37" i="1"/>
  <c r="D19" i="1"/>
  <c r="E19" i="1" s="1"/>
  <c r="E26" i="1"/>
  <c r="C7" i="1"/>
  <c r="D29" i="1"/>
  <c r="E40" i="1"/>
  <c r="E47" i="1"/>
  <c r="E45" i="1"/>
  <c r="E44" i="1"/>
  <c r="E38" i="1"/>
  <c r="E39" i="1"/>
  <c r="E41" i="1"/>
  <c r="E42" i="1"/>
  <c r="E34" i="1"/>
  <c r="E35" i="1"/>
  <c r="D33" i="1"/>
  <c r="E30" i="1"/>
  <c r="E31" i="1"/>
  <c r="E15" i="1"/>
  <c r="D7" i="1"/>
  <c r="C29" i="1"/>
  <c r="C12" i="1"/>
  <c r="C33" i="1"/>
  <c r="E13" i="1"/>
  <c r="E17" i="1"/>
  <c r="E33" i="1" l="1"/>
  <c r="E29" i="1"/>
  <c r="E37" i="1"/>
  <c r="C46" i="1"/>
  <c r="E7" i="1"/>
  <c r="E12" i="1"/>
  <c r="E46" i="1" l="1"/>
</calcChain>
</file>

<file path=xl/sharedStrings.xml><?xml version="1.0" encoding="utf-8"?>
<sst xmlns="http://schemas.openxmlformats.org/spreadsheetml/2006/main" count="72" uniqueCount="61">
  <si>
    <t>科　　　　　目</t>
    <rPh sb="0" eb="1">
      <t>カ</t>
    </rPh>
    <rPh sb="6" eb="7">
      <t>メ</t>
    </rPh>
    <phoneticPr fontId="2"/>
  </si>
  <si>
    <t>本年度予算額</t>
    <rPh sb="0" eb="1">
      <t>ホン</t>
    </rPh>
    <rPh sb="1" eb="3">
      <t>ネンド</t>
    </rPh>
    <rPh sb="3" eb="5">
      <t>ヨサン</t>
    </rPh>
    <rPh sb="5" eb="6">
      <t>ガク</t>
    </rPh>
    <phoneticPr fontId="2"/>
  </si>
  <si>
    <t>本年度決算額</t>
    <rPh sb="0" eb="1">
      <t>ホン</t>
    </rPh>
    <rPh sb="1" eb="3">
      <t>ネンド</t>
    </rPh>
    <rPh sb="3" eb="5">
      <t>ケッサン</t>
    </rPh>
    <rPh sb="5" eb="6">
      <t>ガク</t>
    </rPh>
    <phoneticPr fontId="2"/>
  </si>
  <si>
    <t>説　　　　　　　　　明</t>
    <rPh sb="0" eb="1">
      <t>セツ</t>
    </rPh>
    <rPh sb="10" eb="11">
      <t>メイ</t>
    </rPh>
    <phoneticPr fontId="2"/>
  </si>
  <si>
    <t>増（△減）</t>
    <rPh sb="0" eb="1">
      <t>ゾウ</t>
    </rPh>
    <rPh sb="3" eb="4">
      <t>ゲン</t>
    </rPh>
    <phoneticPr fontId="2"/>
  </si>
  <si>
    <t>（単位：　　円）</t>
    <rPh sb="1" eb="2">
      <t>タン</t>
    </rPh>
    <rPh sb="2" eb="3">
      <t>イ</t>
    </rPh>
    <rPh sb="6" eb="7">
      <t>エン</t>
    </rPh>
    <phoneticPr fontId="2"/>
  </si>
  <si>
    <t>　</t>
    <phoneticPr fontId="2"/>
  </si>
  <si>
    <t>　（支　出）</t>
    <rPh sb="2" eb="3">
      <t>シ</t>
    </rPh>
    <rPh sb="4" eb="5">
      <t>デ</t>
    </rPh>
    <phoneticPr fontId="2"/>
  </si>
  <si>
    <t>　（1）事務連絡活動費</t>
    <rPh sb="4" eb="6">
      <t>ジム</t>
    </rPh>
    <rPh sb="6" eb="8">
      <t>レンラク</t>
    </rPh>
    <rPh sb="8" eb="10">
      <t>カツドウ</t>
    </rPh>
    <rPh sb="10" eb="11">
      <t>ヒ</t>
    </rPh>
    <phoneticPr fontId="2"/>
  </si>
  <si>
    <t>　（3）文化活動費</t>
    <rPh sb="4" eb="6">
      <t>ブンカ</t>
    </rPh>
    <rPh sb="6" eb="8">
      <t>カツドウ</t>
    </rPh>
    <rPh sb="8" eb="9">
      <t>ヒ</t>
    </rPh>
    <phoneticPr fontId="2"/>
  </si>
  <si>
    <t>　（6）福祉厚生費</t>
    <rPh sb="4" eb="6">
      <t>フクシ</t>
    </rPh>
    <rPh sb="6" eb="8">
      <t>コウセイ</t>
    </rPh>
    <rPh sb="8" eb="9">
      <t>ヒ</t>
    </rPh>
    <phoneticPr fontId="2"/>
  </si>
  <si>
    <t>3．広報活動費</t>
    <rPh sb="2" eb="4">
      <t>コウホウ</t>
    </rPh>
    <rPh sb="4" eb="6">
      <t>カツドウ</t>
    </rPh>
    <rPh sb="6" eb="7">
      <t>ヒ</t>
    </rPh>
    <phoneticPr fontId="2"/>
  </si>
  <si>
    <t>　（1）広報作成費</t>
    <rPh sb="4" eb="6">
      <t>コウホウ</t>
    </rPh>
    <rPh sb="6" eb="8">
      <t>サクセイ</t>
    </rPh>
    <rPh sb="8" eb="9">
      <t>ヒ</t>
    </rPh>
    <phoneticPr fontId="2"/>
  </si>
  <si>
    <t>　（2）配布費</t>
    <rPh sb="4" eb="6">
      <t>ハイフ</t>
    </rPh>
    <rPh sb="6" eb="7">
      <t>ヒ</t>
    </rPh>
    <phoneticPr fontId="2"/>
  </si>
  <si>
    <t>4．環境費</t>
    <rPh sb="2" eb="4">
      <t>カンキョウ</t>
    </rPh>
    <rPh sb="4" eb="5">
      <t>ヒ</t>
    </rPh>
    <phoneticPr fontId="2"/>
  </si>
  <si>
    <t>　(1)公園清掃費</t>
    <rPh sb="4" eb="6">
      <t>コウエン</t>
    </rPh>
    <rPh sb="6" eb="8">
      <t>セイソウ</t>
    </rPh>
    <rPh sb="8" eb="9">
      <t>ヒ</t>
    </rPh>
    <phoneticPr fontId="2"/>
  </si>
  <si>
    <t xml:space="preserve">  (2)クリーン活動費</t>
    <rPh sb="9" eb="11">
      <t>カツドウ</t>
    </rPh>
    <rPh sb="11" eb="12">
      <t>ヒ</t>
    </rPh>
    <phoneticPr fontId="2"/>
  </si>
  <si>
    <t>5.　運営費</t>
    <rPh sb="3" eb="5">
      <t>ウンエイ</t>
    </rPh>
    <rPh sb="5" eb="6">
      <t>ヒ</t>
    </rPh>
    <phoneticPr fontId="2"/>
  </si>
  <si>
    <t>　(1)会議費</t>
    <rPh sb="4" eb="7">
      <t>カイギヒ</t>
    </rPh>
    <phoneticPr fontId="2"/>
  </si>
  <si>
    <t>　(2)交通通信費</t>
    <rPh sb="4" eb="6">
      <t>コウツウ</t>
    </rPh>
    <rPh sb="6" eb="8">
      <t>ツウシン</t>
    </rPh>
    <rPh sb="8" eb="9">
      <t>ヒ</t>
    </rPh>
    <phoneticPr fontId="2"/>
  </si>
  <si>
    <t>　(3)諸負担金</t>
    <rPh sb="4" eb="5">
      <t>ショ</t>
    </rPh>
    <rPh sb="5" eb="8">
      <t>フタンキン</t>
    </rPh>
    <phoneticPr fontId="2"/>
  </si>
  <si>
    <t>　(4)渉外慶弔費</t>
    <rPh sb="4" eb="6">
      <t>ショウガイ</t>
    </rPh>
    <rPh sb="6" eb="8">
      <t>ケイチョウ</t>
    </rPh>
    <rPh sb="8" eb="9">
      <t>ヒ</t>
    </rPh>
    <phoneticPr fontId="2"/>
  </si>
  <si>
    <t>　(5)保険料</t>
    <rPh sb="4" eb="7">
      <t>ホケンリョウ</t>
    </rPh>
    <phoneticPr fontId="2"/>
  </si>
  <si>
    <t>6.　雑費(予備費)</t>
    <rPh sb="3" eb="5">
      <t>ザッピ</t>
    </rPh>
    <rPh sb="6" eb="9">
      <t>ヨビヒ</t>
    </rPh>
    <phoneticPr fontId="2"/>
  </si>
  <si>
    <t>7.　積立金</t>
    <rPh sb="3" eb="5">
      <t>ツミタテ</t>
    </rPh>
    <rPh sb="5" eb="6">
      <t>キン</t>
    </rPh>
    <phoneticPr fontId="2"/>
  </si>
  <si>
    <t>8. 次年度繰越金</t>
    <rPh sb="3" eb="6">
      <t>ジネンド</t>
    </rPh>
    <rPh sb="6" eb="8">
      <t>クリコシ</t>
    </rPh>
    <rPh sb="8" eb="9">
      <t>キン</t>
    </rPh>
    <phoneticPr fontId="2"/>
  </si>
  <si>
    <t>　支出合計</t>
    <rPh sb="1" eb="3">
      <t>シシュツ</t>
    </rPh>
    <rPh sb="3" eb="5">
      <t>ゴウケイ</t>
    </rPh>
    <phoneticPr fontId="2"/>
  </si>
  <si>
    <t>1．施設・器材費</t>
    <rPh sb="2" eb="4">
      <t>シセツ</t>
    </rPh>
    <rPh sb="5" eb="7">
      <t>キザイ</t>
    </rPh>
    <rPh sb="7" eb="8">
      <t>ヒ</t>
    </rPh>
    <phoneticPr fontId="2"/>
  </si>
  <si>
    <t>自治会総合保険</t>
    <rPh sb="0" eb="3">
      <t>ジチカイ</t>
    </rPh>
    <rPh sb="3" eb="5">
      <t>ソウゴウ</t>
    </rPh>
    <rPh sb="5" eb="7">
      <t>ホケン</t>
    </rPh>
    <phoneticPr fontId="2"/>
  </si>
  <si>
    <t>会館維持補填費(定期預金積立)</t>
    <rPh sb="0" eb="2">
      <t>カイカン</t>
    </rPh>
    <rPh sb="2" eb="4">
      <t>イジ</t>
    </rPh>
    <rPh sb="4" eb="6">
      <t>ホテン</t>
    </rPh>
    <rPh sb="6" eb="7">
      <t>ヒ</t>
    </rPh>
    <rPh sb="8" eb="10">
      <t>テイキ</t>
    </rPh>
    <rPh sb="10" eb="12">
      <t>ヨキン</t>
    </rPh>
    <rPh sb="12" eb="14">
      <t>ツミタテ</t>
    </rPh>
    <phoneticPr fontId="2"/>
  </si>
  <si>
    <t>少年部活動助成金　　   　</t>
    <rPh sb="0" eb="2">
      <t>ショウネン</t>
    </rPh>
    <rPh sb="2" eb="3">
      <t>ブ</t>
    </rPh>
    <rPh sb="3" eb="5">
      <t>カツドウ</t>
    </rPh>
    <rPh sb="5" eb="7">
      <t>ジョセイ</t>
    </rPh>
    <rPh sb="7" eb="8">
      <t>キン</t>
    </rPh>
    <phoneticPr fontId="2"/>
  </si>
  <si>
    <t>ソフトボール</t>
    <phoneticPr fontId="2"/>
  </si>
  <si>
    <t>健民運動会</t>
    <phoneticPr fontId="2"/>
  </si>
  <si>
    <t>夜警</t>
    <rPh sb="0" eb="2">
      <t xml:space="preserve">ヨウ ハンテン </t>
    </rPh>
    <phoneticPr fontId="2"/>
  </si>
  <si>
    <t>防犯カメラ設置費</t>
    <rPh sb="0" eb="2">
      <t xml:space="preserve">ボウハン </t>
    </rPh>
    <rPh sb="5" eb="7">
      <t xml:space="preserve">セッチ </t>
    </rPh>
    <rPh sb="7" eb="8">
      <t xml:space="preserve">ヒヨウ ヨウ ハンテン </t>
    </rPh>
    <phoneticPr fontId="2"/>
  </si>
  <si>
    <t>　（2)青少年育成活動費</t>
    <rPh sb="4" eb="7">
      <t>セイショウネン</t>
    </rPh>
    <rPh sb="7" eb="9">
      <t>イクセイ</t>
    </rPh>
    <rPh sb="9" eb="11">
      <t>カツドウ</t>
    </rPh>
    <rPh sb="11" eb="12">
      <t>ヒ</t>
    </rPh>
    <phoneticPr fontId="2"/>
  </si>
  <si>
    <t>　（4)体育振興費</t>
    <rPh sb="4" eb="6">
      <t>タイイク</t>
    </rPh>
    <rPh sb="6" eb="8">
      <t>シンコウ</t>
    </rPh>
    <rPh sb="8" eb="9">
      <t>ヒ</t>
    </rPh>
    <phoneticPr fontId="2"/>
  </si>
  <si>
    <t>　（5)安全活動費</t>
    <rPh sb="4" eb="6">
      <t>アンゼン</t>
    </rPh>
    <rPh sb="6" eb="8">
      <t>カツドウ</t>
    </rPh>
    <rPh sb="8" eb="9">
      <t>ヒ</t>
    </rPh>
    <phoneticPr fontId="2"/>
  </si>
  <si>
    <t>令和４年度　一般会計  収支決算書</t>
    <rPh sb="0" eb="2">
      <t>レイワ</t>
    </rPh>
    <rPh sb="3" eb="5">
      <t>ネンド</t>
    </rPh>
    <rPh sb="6" eb="7">
      <t>1</t>
    </rPh>
    <rPh sb="7" eb="8">
      <t>ハン</t>
    </rPh>
    <rPh sb="8" eb="10">
      <t>カイケイ</t>
    </rPh>
    <rPh sb="12" eb="14">
      <t>シュウシ</t>
    </rPh>
    <rPh sb="14" eb="16">
      <t>ケッサン</t>
    </rPh>
    <rPh sb="16" eb="17">
      <t>ショ</t>
    </rPh>
    <phoneticPr fontId="2"/>
  </si>
  <si>
    <t>防災訓練</t>
    <rPh sb="0" eb="2">
      <t>ボウサイ</t>
    </rPh>
    <rPh sb="2" eb="4">
      <t>クンレン</t>
    </rPh>
    <phoneticPr fontId="2"/>
  </si>
  <si>
    <t>連合町内会・会合</t>
    <phoneticPr fontId="2"/>
  </si>
  <si>
    <t>駒寄町内会　</t>
    <rPh sb="0" eb="1">
      <t>コマ</t>
    </rPh>
    <rPh sb="1" eb="2">
      <t>ヨ</t>
    </rPh>
    <rPh sb="2" eb="3">
      <t>チョウ</t>
    </rPh>
    <rPh sb="3" eb="4">
      <t>ナイ</t>
    </rPh>
    <rPh sb="4" eb="5">
      <t>カイ</t>
    </rPh>
    <phoneticPr fontId="2"/>
  </si>
  <si>
    <t>ネット、結束バンド、会館大掃除お茶</t>
    <rPh sb="4" eb="6">
      <t>ケッソク</t>
    </rPh>
    <rPh sb="10" eb="12">
      <t>カイカン</t>
    </rPh>
    <rPh sb="12" eb="15">
      <t>オオソウジ</t>
    </rPh>
    <rPh sb="16" eb="17">
      <t>チャ</t>
    </rPh>
    <phoneticPr fontId="2"/>
  </si>
  <si>
    <t>2．コミュニティ活動費</t>
    <rPh sb="8" eb="10">
      <t>カツドウ</t>
    </rPh>
    <rPh sb="10" eb="11">
      <t>ヒ</t>
    </rPh>
    <phoneticPr fontId="2"/>
  </si>
  <si>
    <t>交通費、ＦＡＸ</t>
    <rPh sb="0" eb="3">
      <t xml:space="preserve">コウツウヒ </t>
    </rPh>
    <phoneticPr fontId="2"/>
  </si>
  <si>
    <t>【参考】R4年度実績：</t>
    <rPh sb="0" eb="2">
      <t>サンコウ</t>
    </rPh>
    <rPh sb="4" eb="6">
      <t>ネンド</t>
    </rPh>
    <rPh sb="6" eb="8">
      <t>ジッセキ</t>
    </rPh>
    <phoneticPr fontId="2"/>
  </si>
  <si>
    <t>芋煮会</t>
    <rPh sb="0" eb="3">
      <t>イモニカイ</t>
    </rPh>
    <phoneticPr fontId="2"/>
  </si>
  <si>
    <t>　（1）防犯灯設置管理費</t>
    <rPh sb="4" eb="7">
      <t>ボウハントウ</t>
    </rPh>
    <rPh sb="7" eb="9">
      <t>セッチ</t>
    </rPh>
    <rPh sb="9" eb="12">
      <t>カンリヒ</t>
    </rPh>
    <phoneticPr fontId="2"/>
  </si>
  <si>
    <t>監理は横須賀市へ</t>
    <rPh sb="0" eb="2">
      <t>カンリ</t>
    </rPh>
    <rPh sb="3" eb="7">
      <t>ヨコスカシ</t>
    </rPh>
    <phoneticPr fontId="2"/>
  </si>
  <si>
    <t>　（2）防災器材購入費</t>
    <rPh sb="4" eb="6">
      <t>ボウサイ</t>
    </rPh>
    <rPh sb="6" eb="8">
      <t>キザイ</t>
    </rPh>
    <rPh sb="8" eb="11">
      <t>コウニュウヒ</t>
    </rPh>
    <phoneticPr fontId="2"/>
  </si>
  <si>
    <t>　（3）施設器材等整備費</t>
    <rPh sb="4" eb="6">
      <t>シセツ</t>
    </rPh>
    <rPh sb="6" eb="8">
      <t>キザイ</t>
    </rPh>
    <rPh sb="8" eb="9">
      <t>トウ</t>
    </rPh>
    <rPh sb="9" eb="11">
      <t>セイビ</t>
    </rPh>
    <rPh sb="11" eb="12">
      <t>ヒ</t>
    </rPh>
    <phoneticPr fontId="2"/>
  </si>
  <si>
    <t>折り畳み式リヤカー、ハンド型メガホン</t>
    <phoneticPr fontId="2"/>
  </si>
  <si>
    <t>会館診断設計監理費、冷蔵庫、座踏み台</t>
    <rPh sb="0" eb="2">
      <t>カイカン</t>
    </rPh>
    <rPh sb="2" eb="4">
      <t>シンダン</t>
    </rPh>
    <rPh sb="4" eb="6">
      <t>セッケイ</t>
    </rPh>
    <rPh sb="6" eb="8">
      <t>カンリ</t>
    </rPh>
    <rPh sb="8" eb="9">
      <t>ヒ</t>
    </rPh>
    <rPh sb="10" eb="13">
      <t>レイゾウコ</t>
    </rPh>
    <rPh sb="14" eb="15">
      <t>ザ</t>
    </rPh>
    <rPh sb="15" eb="16">
      <t>フ</t>
    </rPh>
    <rPh sb="17" eb="18">
      <t>ダイ</t>
    </rPh>
    <phoneticPr fontId="2"/>
  </si>
  <si>
    <t>ホワイトボード、コピー用紙、インク他</t>
    <rPh sb="11" eb="13">
      <t>ヨウシ</t>
    </rPh>
    <rPh sb="17" eb="18">
      <t>タ</t>
    </rPh>
    <phoneticPr fontId="2"/>
  </si>
  <si>
    <t>はたちの祝い 2名</t>
    <rPh sb="8" eb="9">
      <t>メイ</t>
    </rPh>
    <phoneticPr fontId="2"/>
  </si>
  <si>
    <t>敬老(75才以上)祝い 109名</t>
    <rPh sb="5" eb="6">
      <t>サイ</t>
    </rPh>
    <rPh sb="6" eb="8">
      <t>イジョウ</t>
    </rPh>
    <rPh sb="15" eb="16">
      <t>メイ</t>
    </rPh>
    <phoneticPr fontId="2"/>
  </si>
  <si>
    <t>ビニール手袋、お茶、草刈り機替刃</t>
    <rPh sb="4" eb="6">
      <t>テブクロ</t>
    </rPh>
    <phoneticPr fontId="2"/>
  </si>
  <si>
    <t>第３号議案 会計監査報告参照</t>
    <rPh sb="0" eb="1">
      <t>ダイ</t>
    </rPh>
    <rPh sb="2" eb="3">
      <t>ゴウ</t>
    </rPh>
    <rPh sb="3" eb="5">
      <t>ギアン</t>
    </rPh>
    <rPh sb="6" eb="8">
      <t>カイケイ</t>
    </rPh>
    <rPh sb="8" eb="10">
      <t>カンサ</t>
    </rPh>
    <rPh sb="10" eb="12">
      <t>ホウコク</t>
    </rPh>
    <rPh sb="12" eb="14">
      <t>サンショウ</t>
    </rPh>
    <phoneticPr fontId="2"/>
  </si>
  <si>
    <t>香典3件、祝儀14件</t>
    <rPh sb="0" eb="2">
      <t>コウデン</t>
    </rPh>
    <rPh sb="3" eb="4">
      <t>ケン</t>
    </rPh>
    <rPh sb="5" eb="7">
      <t>シュウギ</t>
    </rPh>
    <rPh sb="9" eb="10">
      <t>ケン</t>
    </rPh>
    <phoneticPr fontId="2"/>
  </si>
  <si>
    <t>←収入合計に等しい</t>
    <rPh sb="6" eb="7">
      <t>ヒト</t>
    </rPh>
    <phoneticPr fontId="2"/>
  </si>
  <si>
    <t>繰越金を除く支出合計：</t>
    <rPh sb="0" eb="3">
      <t>クリコシキン</t>
    </rPh>
    <rPh sb="4" eb="5">
      <t>ノゾ</t>
    </rPh>
    <rPh sb="6" eb="8">
      <t>シシュツ</t>
    </rPh>
    <rPh sb="8" eb="10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</si>
</sst>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6"/>
      <color theme="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tted">
        <color indexed="64"/>
      </bottom>
      <diagonal/>
    </border>
    <border>
      <left/>
      <right/>
      <top style="dash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38" fontId="7" fillId="0" borderId="3" xfId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38" fontId="4" fillId="0" borderId="7" xfId="1" applyFont="1" applyBorder="1" applyAlignment="1">
      <alignment horizontal="righ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38" fontId="7" fillId="0" borderId="12" xfId="1" applyFont="1" applyBorder="1" applyAlignment="1">
      <alignment horizontal="right" vertical="center"/>
    </xf>
    <xf numFmtId="176" fontId="4" fillId="0" borderId="3" xfId="1" applyNumberFormat="1" applyFont="1" applyBorder="1" applyAlignment="1">
      <alignment horizontal="right" vertical="center"/>
    </xf>
    <xf numFmtId="176" fontId="4" fillId="0" borderId="7" xfId="1" applyNumberFormat="1" applyFont="1" applyBorder="1" applyAlignment="1">
      <alignment horizontal="right" vertical="center"/>
    </xf>
    <xf numFmtId="176" fontId="4" fillId="0" borderId="14" xfId="1" applyNumberFormat="1" applyFont="1" applyBorder="1" applyAlignment="1">
      <alignment horizontal="right" vertical="center"/>
    </xf>
    <xf numFmtId="176" fontId="4" fillId="0" borderId="6" xfId="1" applyNumberFormat="1" applyFont="1" applyBorder="1" applyAlignment="1">
      <alignment horizontal="right" vertical="center"/>
    </xf>
    <xf numFmtId="176" fontId="7" fillId="0" borderId="3" xfId="1" applyNumberFormat="1" applyFont="1" applyBorder="1" applyAlignment="1">
      <alignment horizontal="right" vertical="center"/>
    </xf>
    <xf numFmtId="176" fontId="7" fillId="0" borderId="15" xfId="1" applyNumberFormat="1" applyFont="1" applyBorder="1" applyAlignment="1">
      <alignment horizontal="right" vertical="center"/>
    </xf>
    <xf numFmtId="38" fontId="4" fillId="0" borderId="16" xfId="1" applyFont="1" applyBorder="1" applyAlignment="1">
      <alignment horizontal="right" vertical="center"/>
    </xf>
    <xf numFmtId="176" fontId="4" fillId="0" borderId="16" xfId="1" applyNumberFormat="1" applyFont="1" applyBorder="1" applyAlignment="1">
      <alignment horizontal="right" vertical="center"/>
    </xf>
    <xf numFmtId="38" fontId="4" fillId="0" borderId="17" xfId="1" applyFont="1" applyBorder="1" applyAlignment="1">
      <alignment horizontal="right" vertical="center"/>
    </xf>
    <xf numFmtId="176" fontId="4" fillId="0" borderId="17" xfId="1" applyNumberFormat="1" applyFont="1" applyBorder="1" applyAlignment="1">
      <alignment horizontal="right" vertical="center"/>
    </xf>
    <xf numFmtId="176" fontId="3" fillId="0" borderId="18" xfId="0" applyNumberFormat="1" applyFont="1" applyBorder="1" applyAlignment="1">
      <alignment vertical="center"/>
    </xf>
    <xf numFmtId="176" fontId="3" fillId="0" borderId="19" xfId="0" applyNumberFormat="1" applyFont="1" applyBorder="1" applyAlignment="1">
      <alignment vertical="center"/>
    </xf>
    <xf numFmtId="38" fontId="4" fillId="0" borderId="21" xfId="1" applyFont="1" applyBorder="1" applyAlignment="1">
      <alignment horizontal="right" vertical="center"/>
    </xf>
    <xf numFmtId="176" fontId="4" fillId="0" borderId="21" xfId="1" applyNumberFormat="1" applyFont="1" applyBorder="1" applyAlignment="1">
      <alignment horizontal="right" vertical="center"/>
    </xf>
    <xf numFmtId="0" fontId="8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38" fontId="13" fillId="0" borderId="5" xfId="1" applyFont="1" applyBorder="1" applyAlignment="1">
      <alignment horizontal="right" vertical="center"/>
    </xf>
    <xf numFmtId="38" fontId="12" fillId="0" borderId="17" xfId="1" applyFont="1" applyBorder="1" applyAlignment="1">
      <alignment horizontal="right" vertical="center"/>
    </xf>
    <xf numFmtId="38" fontId="12" fillId="0" borderId="21" xfId="1" applyFont="1" applyBorder="1" applyAlignment="1">
      <alignment horizontal="right" vertical="center"/>
    </xf>
    <xf numFmtId="38" fontId="12" fillId="0" borderId="6" xfId="1" applyFont="1" applyBorder="1" applyAlignment="1">
      <alignment horizontal="right" vertical="center"/>
    </xf>
    <xf numFmtId="38" fontId="4" fillId="0" borderId="45" xfId="1" applyFont="1" applyBorder="1" applyAlignment="1">
      <alignment horizontal="right" vertical="center"/>
    </xf>
    <xf numFmtId="38" fontId="12" fillId="0" borderId="45" xfId="1" applyFont="1" applyBorder="1" applyAlignment="1">
      <alignment horizontal="right" vertical="center"/>
    </xf>
    <xf numFmtId="176" fontId="4" fillId="0" borderId="45" xfId="1" applyNumberFormat="1" applyFont="1" applyBorder="1" applyAlignment="1">
      <alignment horizontal="right" vertical="center"/>
    </xf>
    <xf numFmtId="38" fontId="4" fillId="0" borderId="14" xfId="1" applyFont="1" applyBorder="1" applyAlignment="1">
      <alignment horizontal="right" vertical="center"/>
    </xf>
    <xf numFmtId="38" fontId="12" fillId="0" borderId="14" xfId="1" applyFont="1" applyBorder="1" applyAlignment="1">
      <alignment horizontal="right" vertical="center"/>
    </xf>
    <xf numFmtId="38" fontId="7" fillId="0" borderId="48" xfId="1" applyFont="1" applyBorder="1" applyAlignment="1">
      <alignment horizontal="right" vertical="center"/>
    </xf>
    <xf numFmtId="176" fontId="4" fillId="0" borderId="48" xfId="1" applyNumberFormat="1" applyFont="1" applyBorder="1" applyAlignment="1">
      <alignment horizontal="right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/>
    </xf>
    <xf numFmtId="38" fontId="4" fillId="2" borderId="7" xfId="1" applyFont="1" applyFill="1" applyBorder="1" applyAlignment="1">
      <alignment horizontal="right" vertical="center"/>
    </xf>
    <xf numFmtId="176" fontId="4" fillId="2" borderId="7" xfId="1" applyNumberFormat="1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38" fontId="4" fillId="0" borderId="8" xfId="1" applyFont="1" applyBorder="1" applyAlignment="1">
      <alignment horizontal="right" vertical="center"/>
    </xf>
    <xf numFmtId="38" fontId="4" fillId="2" borderId="8" xfId="1" applyFont="1" applyFill="1" applyBorder="1" applyAlignment="1">
      <alignment horizontal="right" vertical="center"/>
    </xf>
    <xf numFmtId="176" fontId="3" fillId="3" borderId="13" xfId="0" applyNumberFormat="1" applyFont="1" applyFill="1" applyBorder="1" applyAlignment="1">
      <alignment vertical="center"/>
    </xf>
    <xf numFmtId="38" fontId="1" fillId="0" borderId="16" xfId="1" applyFont="1" applyBorder="1" applyAlignment="1">
      <alignment horizontal="right" vertical="center"/>
    </xf>
    <xf numFmtId="176" fontId="3" fillId="3" borderId="44" xfId="0" applyNumberFormat="1" applyFont="1" applyFill="1" applyBorder="1" applyAlignment="1">
      <alignment vertical="center"/>
    </xf>
    <xf numFmtId="176" fontId="3" fillId="3" borderId="20" xfId="0" applyNumberFormat="1" applyFont="1" applyFill="1" applyBorder="1" applyAlignment="1">
      <alignment vertical="center"/>
    </xf>
    <xf numFmtId="176" fontId="3" fillId="3" borderId="22" xfId="0" applyNumberFormat="1" applyFont="1" applyFill="1" applyBorder="1" applyAlignment="1">
      <alignment vertical="center"/>
    </xf>
    <xf numFmtId="3" fontId="3" fillId="0" borderId="19" xfId="0" applyNumberFormat="1" applyFont="1" applyBorder="1" applyAlignment="1">
      <alignment vertical="center"/>
    </xf>
    <xf numFmtId="3" fontId="3" fillId="0" borderId="18" xfId="0" applyNumberFormat="1" applyFont="1" applyBorder="1" applyAlignment="1">
      <alignment vertical="center"/>
    </xf>
    <xf numFmtId="176" fontId="3" fillId="2" borderId="19" xfId="0" applyNumberFormat="1" applyFont="1" applyFill="1" applyBorder="1" applyAlignment="1">
      <alignment vertical="center"/>
    </xf>
    <xf numFmtId="38" fontId="12" fillId="0" borderId="4" xfId="1" applyFont="1" applyBorder="1" applyAlignment="1">
      <alignment horizontal="right" vertical="center"/>
    </xf>
    <xf numFmtId="176" fontId="4" fillId="0" borderId="4" xfId="1" applyNumberFormat="1" applyFont="1" applyBorder="1" applyAlignment="1">
      <alignment horizontal="right" vertical="center"/>
    </xf>
    <xf numFmtId="38" fontId="1" fillId="0" borderId="17" xfId="1" applyFont="1" applyBorder="1" applyAlignment="1">
      <alignment horizontal="right" vertical="center"/>
    </xf>
    <xf numFmtId="38" fontId="1" fillId="0" borderId="7" xfId="1" applyFont="1" applyBorder="1" applyAlignment="1">
      <alignment horizontal="right" vertical="center"/>
    </xf>
    <xf numFmtId="38" fontId="7" fillId="0" borderId="12" xfId="1" applyFont="1" applyBorder="1" applyAlignment="1">
      <alignment horizontal="right"/>
    </xf>
    <xf numFmtId="0" fontId="0" fillId="0" borderId="0" xfId="0" applyAlignment="1">
      <alignment horizontal="right"/>
    </xf>
    <xf numFmtId="38" fontId="0" fillId="0" borderId="0" xfId="0" applyNumberFormat="1"/>
    <xf numFmtId="0" fontId="9" fillId="0" borderId="21" xfId="0" applyFont="1" applyBorder="1" applyAlignment="1">
      <alignment horizontal="left" vertical="center"/>
    </xf>
    <xf numFmtId="0" fontId="3" fillId="3" borderId="40" xfId="0" quotePrefix="1" applyFont="1" applyFill="1" applyBorder="1" applyAlignment="1">
      <alignment horizontal="right" vertical="center"/>
    </xf>
    <xf numFmtId="0" fontId="3" fillId="3" borderId="41" xfId="0" applyFont="1" applyFill="1" applyBorder="1" applyAlignment="1">
      <alignment horizontal="righ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3" borderId="10" xfId="0" quotePrefix="1" applyFont="1" applyFill="1" applyBorder="1" applyAlignment="1">
      <alignment horizontal="right" vertical="center"/>
    </xf>
    <xf numFmtId="0" fontId="3" fillId="3" borderId="11" xfId="0" applyFont="1" applyFill="1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3" fillId="3" borderId="42" xfId="0" quotePrefix="1" applyFont="1" applyFill="1" applyBorder="1" applyAlignment="1">
      <alignment horizontal="right" vertical="center"/>
    </xf>
    <xf numFmtId="0" fontId="3" fillId="3" borderId="43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4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4" fillId="0" borderId="48" xfId="0" applyFont="1" applyBorder="1" applyAlignment="1">
      <alignment horizontal="left" vertical="center"/>
    </xf>
    <xf numFmtId="0" fontId="8" fillId="2" borderId="38" xfId="0" applyFont="1" applyFill="1" applyBorder="1" applyAlignment="1">
      <alignment horizontal="left" vertical="center"/>
    </xf>
    <xf numFmtId="0" fontId="8" fillId="2" borderId="39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3" fontId="8" fillId="0" borderId="33" xfId="0" applyNumberFormat="1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3" fontId="8" fillId="0" borderId="34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3" fontId="8" fillId="0" borderId="26" xfId="0" applyNumberFormat="1" applyFont="1" applyBorder="1" applyAlignment="1">
      <alignment horizontal="center" vertical="center"/>
    </xf>
    <xf numFmtId="3" fontId="8" fillId="0" borderId="27" xfId="0" applyNumberFormat="1" applyFont="1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3" fontId="8" fillId="0" borderId="8" xfId="0" applyNumberFormat="1" applyFont="1" applyBorder="1" applyAlignment="1">
      <alignment horizontal="left" vertical="center"/>
    </xf>
    <xf numFmtId="3" fontId="8" fillId="0" borderId="9" xfId="0" applyNumberFormat="1" applyFont="1" applyBorder="1" applyAlignment="1">
      <alignment horizontal="left" vertical="center"/>
    </xf>
    <xf numFmtId="3" fontId="8" fillId="0" borderId="23" xfId="0" applyNumberFormat="1" applyFont="1" applyBorder="1" applyAlignment="1">
      <alignment horizontal="left" vertical="center"/>
    </xf>
    <xf numFmtId="3" fontId="8" fillId="0" borderId="26" xfId="0" applyNumberFormat="1" applyFont="1" applyBorder="1" applyAlignment="1">
      <alignment horizontal="left" vertical="center"/>
    </xf>
    <xf numFmtId="3" fontId="8" fillId="0" borderId="27" xfId="0" applyNumberFormat="1" applyFont="1" applyBorder="1" applyAlignment="1">
      <alignment horizontal="left" vertical="center"/>
    </xf>
    <xf numFmtId="3" fontId="8" fillId="0" borderId="18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9"/>
  <sheetViews>
    <sheetView tabSelected="1" view="pageBreakPreview" topLeftCell="A3" zoomScaleNormal="133" zoomScaleSheetLayoutView="100" workbookViewId="0">
      <selection activeCell="P19" sqref="P19"/>
    </sheetView>
  </sheetViews>
  <sheetFormatPr defaultColWidth="8.875" defaultRowHeight="13.5" x14ac:dyDescent="0.15"/>
  <cols>
    <col min="1" max="1" width="8.875" customWidth="1"/>
    <col min="2" max="4" width="13.125" customWidth="1"/>
    <col min="5" max="5" width="15.125" bestFit="1" customWidth="1"/>
    <col min="7" max="7" width="9.875" customWidth="1"/>
  </cols>
  <sheetData>
    <row r="1" spans="1:9" ht="18" hidden="1" customHeight="1" x14ac:dyDescent="0.15">
      <c r="A1" s="89" t="s">
        <v>38</v>
      </c>
      <c r="B1" s="89"/>
      <c r="C1" s="89"/>
      <c r="D1" s="89"/>
      <c r="E1" s="89"/>
      <c r="F1" s="89"/>
      <c r="G1" s="89"/>
      <c r="H1" s="89"/>
      <c r="I1" s="1"/>
    </row>
    <row r="2" spans="1:9" ht="18" hidden="1" customHeight="1" x14ac:dyDescent="0.15">
      <c r="A2" s="2"/>
      <c r="B2" s="2"/>
      <c r="C2" s="2"/>
      <c r="D2" s="2"/>
      <c r="E2" s="2"/>
      <c r="F2" s="2"/>
      <c r="G2" s="2"/>
      <c r="H2" s="2"/>
      <c r="I2" s="1"/>
    </row>
    <row r="3" spans="1:9" ht="18" customHeight="1" x14ac:dyDescent="0.15">
      <c r="A3" s="94" t="s">
        <v>41</v>
      </c>
      <c r="B3" s="94"/>
      <c r="C3" s="94"/>
      <c r="D3" s="94"/>
      <c r="E3" s="94"/>
      <c r="F3" s="94"/>
      <c r="G3" s="94"/>
      <c r="H3" s="94"/>
      <c r="I3" s="1"/>
    </row>
    <row r="4" spans="1:9" ht="18" customHeight="1" x14ac:dyDescent="0.15">
      <c r="A4" s="88" t="s">
        <v>7</v>
      </c>
      <c r="B4" s="88"/>
      <c r="G4" s="3"/>
      <c r="H4" s="3"/>
      <c r="I4" s="1"/>
    </row>
    <row r="5" spans="1:9" ht="18" customHeight="1" thickBot="1" x14ac:dyDescent="0.2">
      <c r="A5" s="1" t="s">
        <v>6</v>
      </c>
      <c r="G5" s="99" t="s">
        <v>5</v>
      </c>
      <c r="H5" s="99"/>
      <c r="I5" s="1"/>
    </row>
    <row r="6" spans="1:9" ht="18.75" customHeight="1" thickBot="1" x14ac:dyDescent="0.2">
      <c r="A6" s="100" t="s">
        <v>0</v>
      </c>
      <c r="B6" s="100"/>
      <c r="C6" s="4" t="s">
        <v>1</v>
      </c>
      <c r="D6" s="46" t="s">
        <v>2</v>
      </c>
      <c r="E6" s="4" t="s">
        <v>4</v>
      </c>
      <c r="F6" s="100" t="s">
        <v>3</v>
      </c>
      <c r="G6" s="100"/>
      <c r="H6" s="100"/>
    </row>
    <row r="7" spans="1:9" ht="18.75" customHeight="1" x14ac:dyDescent="0.15">
      <c r="A7" s="101" t="s">
        <v>27</v>
      </c>
      <c r="B7" s="101"/>
      <c r="C7" s="5">
        <f>C9+C10+C11</f>
        <v>5000000</v>
      </c>
      <c r="D7" s="5">
        <f>D9+D10+D11</f>
        <v>1071483</v>
      </c>
      <c r="E7" s="12">
        <f>E9+E10+E11</f>
        <v>-3928517</v>
      </c>
      <c r="F7" s="102"/>
      <c r="G7" s="103"/>
      <c r="H7" s="104"/>
    </row>
    <row r="8" spans="1:9" ht="18.75" customHeight="1" x14ac:dyDescent="0.15">
      <c r="A8" s="47" t="s">
        <v>47</v>
      </c>
      <c r="B8" s="47"/>
      <c r="C8" s="48">
        <v>0</v>
      </c>
      <c r="D8" s="54">
        <v>0</v>
      </c>
      <c r="E8" s="49">
        <f>D8-C8</f>
        <v>0</v>
      </c>
      <c r="F8" s="50" t="s">
        <v>48</v>
      </c>
      <c r="G8" s="51"/>
      <c r="H8" s="52"/>
    </row>
    <row r="9" spans="1:9" ht="18.75" customHeight="1" x14ac:dyDescent="0.15">
      <c r="A9" s="31" t="s">
        <v>49</v>
      </c>
      <c r="B9" s="31"/>
      <c r="C9" s="8">
        <v>200000</v>
      </c>
      <c r="D9" s="53">
        <v>198550</v>
      </c>
      <c r="E9" s="13">
        <f>D9-C9</f>
        <v>-1450</v>
      </c>
      <c r="F9" s="28" t="s">
        <v>51</v>
      </c>
      <c r="G9" s="29"/>
      <c r="H9" s="30"/>
    </row>
    <row r="10" spans="1:9" ht="18.75" customHeight="1" x14ac:dyDescent="0.15">
      <c r="A10" s="93" t="s">
        <v>50</v>
      </c>
      <c r="B10" s="93"/>
      <c r="C10" s="18">
        <v>4800000</v>
      </c>
      <c r="D10" s="18">
        <v>872933</v>
      </c>
      <c r="E10" s="14">
        <f>D10-C10</f>
        <v>-3927067</v>
      </c>
      <c r="F10" s="90" t="s">
        <v>52</v>
      </c>
      <c r="G10" s="91"/>
      <c r="H10" s="92"/>
    </row>
    <row r="11" spans="1:9" ht="18.75" customHeight="1" thickBot="1" x14ac:dyDescent="0.2">
      <c r="A11" s="105"/>
      <c r="B11" s="105"/>
      <c r="C11" s="6"/>
      <c r="D11" s="32"/>
      <c r="E11" s="14"/>
      <c r="F11" s="95" t="s">
        <v>45</v>
      </c>
      <c r="G11" s="96"/>
      <c r="H11" s="55">
        <v>565172</v>
      </c>
    </row>
    <row r="12" spans="1:9" ht="18.75" customHeight="1" x14ac:dyDescent="0.15">
      <c r="A12" s="111" t="s">
        <v>43</v>
      </c>
      <c r="B12" s="111"/>
      <c r="C12" s="5">
        <f>C13+C15+C17+C19+C22+C26</f>
        <v>930000</v>
      </c>
      <c r="D12" s="5">
        <f>D13+D15+D17+D19+D22+D26</f>
        <v>633229</v>
      </c>
      <c r="E12" s="12">
        <f>E13+E15+E17+E19+E22+E26</f>
        <v>-296771</v>
      </c>
      <c r="F12" s="109"/>
      <c r="G12" s="109"/>
      <c r="H12" s="109"/>
    </row>
    <row r="13" spans="1:9" ht="18.75" customHeight="1" x14ac:dyDescent="0.15">
      <c r="A13" s="106" t="s">
        <v>8</v>
      </c>
      <c r="B13" s="106"/>
      <c r="C13" s="18">
        <v>80000</v>
      </c>
      <c r="D13" s="56">
        <v>105427</v>
      </c>
      <c r="E13" s="19">
        <f>D13-C13</f>
        <v>25427</v>
      </c>
      <c r="F13" s="110" t="s">
        <v>53</v>
      </c>
      <c r="G13" s="110"/>
      <c r="H13" s="110"/>
    </row>
    <row r="14" spans="1:9" ht="18.75" customHeight="1" x14ac:dyDescent="0.15">
      <c r="A14" s="97"/>
      <c r="B14" s="98"/>
      <c r="C14" s="20"/>
      <c r="D14" s="33"/>
      <c r="E14" s="21"/>
      <c r="F14" s="107" t="s">
        <v>45</v>
      </c>
      <c r="G14" s="108"/>
      <c r="H14" s="57">
        <v>73208</v>
      </c>
    </row>
    <row r="15" spans="1:9" ht="18.75" customHeight="1" x14ac:dyDescent="0.15">
      <c r="A15" s="145" t="s">
        <v>35</v>
      </c>
      <c r="B15" s="146"/>
      <c r="C15" s="18">
        <v>150000</v>
      </c>
      <c r="D15" s="56">
        <v>160953</v>
      </c>
      <c r="E15" s="19">
        <f t="shared" ref="E15:E47" si="0">D15-C15</f>
        <v>10953</v>
      </c>
      <c r="F15" s="110" t="s">
        <v>30</v>
      </c>
      <c r="G15" s="110"/>
      <c r="H15" s="110"/>
    </row>
    <row r="16" spans="1:9" ht="18.75" customHeight="1" x14ac:dyDescent="0.15">
      <c r="A16" s="144"/>
      <c r="B16" s="144"/>
      <c r="C16" s="20"/>
      <c r="D16" s="33"/>
      <c r="E16" s="21"/>
      <c r="F16" s="107" t="s">
        <v>45</v>
      </c>
      <c r="G16" s="108"/>
      <c r="H16" s="57">
        <v>85231</v>
      </c>
    </row>
    <row r="17" spans="1:8" ht="18.75" customHeight="1" x14ac:dyDescent="0.15">
      <c r="A17" s="106" t="s">
        <v>9</v>
      </c>
      <c r="B17" s="106"/>
      <c r="C17" s="18">
        <v>100000</v>
      </c>
      <c r="D17" s="56">
        <v>75629</v>
      </c>
      <c r="E17" s="19">
        <f t="shared" si="0"/>
        <v>-24371</v>
      </c>
      <c r="F17" s="73" t="s">
        <v>46</v>
      </c>
      <c r="G17" s="74"/>
      <c r="H17" s="60">
        <v>75629</v>
      </c>
    </row>
    <row r="18" spans="1:8" ht="18.75" customHeight="1" x14ac:dyDescent="0.15">
      <c r="A18" s="144"/>
      <c r="B18" s="144"/>
      <c r="C18" s="20"/>
      <c r="D18" s="33"/>
      <c r="E18" s="21"/>
      <c r="F18" s="107" t="s">
        <v>45</v>
      </c>
      <c r="G18" s="108"/>
      <c r="H18" s="57">
        <v>0</v>
      </c>
    </row>
    <row r="19" spans="1:8" ht="18.75" customHeight="1" x14ac:dyDescent="0.15">
      <c r="A19" s="145" t="s">
        <v>36</v>
      </c>
      <c r="B19" s="146"/>
      <c r="C19" s="18">
        <v>150000</v>
      </c>
      <c r="D19" s="56">
        <f>SUM(H19:H20)</f>
        <v>92081</v>
      </c>
      <c r="E19" s="19">
        <f t="shared" si="0"/>
        <v>-57919</v>
      </c>
      <c r="F19" s="73" t="s">
        <v>31</v>
      </c>
      <c r="G19" s="74"/>
      <c r="H19" s="61">
        <v>10664</v>
      </c>
    </row>
    <row r="20" spans="1:8" ht="18.75" customHeight="1" x14ac:dyDescent="0.15">
      <c r="A20" s="105"/>
      <c r="B20" s="105"/>
      <c r="C20" s="36"/>
      <c r="D20" s="37"/>
      <c r="E20" s="38"/>
      <c r="F20" s="117" t="s">
        <v>32</v>
      </c>
      <c r="G20" s="118"/>
      <c r="H20" s="60">
        <v>81417</v>
      </c>
    </row>
    <row r="21" spans="1:8" ht="18.75" customHeight="1" x14ac:dyDescent="0.15">
      <c r="A21" s="144"/>
      <c r="B21" s="144"/>
      <c r="C21" s="39"/>
      <c r="D21" s="40"/>
      <c r="E21" s="14"/>
      <c r="F21" s="107" t="s">
        <v>45</v>
      </c>
      <c r="G21" s="108"/>
      <c r="H21" s="57">
        <v>5643</v>
      </c>
    </row>
    <row r="22" spans="1:8" ht="18.75" customHeight="1" x14ac:dyDescent="0.15">
      <c r="A22" s="145" t="s">
        <v>37</v>
      </c>
      <c r="B22" s="146"/>
      <c r="C22" s="18">
        <v>300000</v>
      </c>
      <c r="D22" s="56">
        <f>SUM(H22:H24)</f>
        <v>48665</v>
      </c>
      <c r="E22" s="19">
        <f t="shared" si="0"/>
        <v>-251335</v>
      </c>
      <c r="F22" s="26" t="s">
        <v>33</v>
      </c>
      <c r="G22" s="27"/>
      <c r="H22" s="23">
        <v>10526</v>
      </c>
    </row>
    <row r="23" spans="1:8" ht="18.75" customHeight="1" x14ac:dyDescent="0.15">
      <c r="A23" s="105"/>
      <c r="B23" s="105"/>
      <c r="C23" s="36"/>
      <c r="D23" s="37"/>
      <c r="E23" s="38"/>
      <c r="F23" s="117" t="s">
        <v>39</v>
      </c>
      <c r="G23" s="118"/>
      <c r="H23" s="23">
        <v>38139</v>
      </c>
    </row>
    <row r="24" spans="1:8" ht="18.75" customHeight="1" x14ac:dyDescent="0.15">
      <c r="A24" s="105"/>
      <c r="B24" s="105"/>
      <c r="C24" s="6"/>
      <c r="D24" s="63"/>
      <c r="E24" s="64"/>
      <c r="F24" s="123" t="s">
        <v>34</v>
      </c>
      <c r="G24" s="124"/>
      <c r="H24" s="62">
        <v>0</v>
      </c>
    </row>
    <row r="25" spans="1:8" ht="18.75" customHeight="1" x14ac:dyDescent="0.15">
      <c r="A25" s="144"/>
      <c r="B25" s="144"/>
      <c r="C25" s="39"/>
      <c r="D25" s="40"/>
      <c r="E25" s="14"/>
      <c r="F25" s="107" t="s">
        <v>45</v>
      </c>
      <c r="G25" s="108"/>
      <c r="H25" s="58">
        <v>35293</v>
      </c>
    </row>
    <row r="26" spans="1:8" ht="18.75" customHeight="1" x14ac:dyDescent="0.15">
      <c r="A26" s="106" t="s">
        <v>10</v>
      </c>
      <c r="B26" s="106"/>
      <c r="C26" s="18">
        <v>150000</v>
      </c>
      <c r="D26" s="56">
        <f>SUM(H26:H27)</f>
        <v>150474</v>
      </c>
      <c r="E26" s="19">
        <f t="shared" si="0"/>
        <v>474</v>
      </c>
      <c r="F26" s="73" t="s">
        <v>55</v>
      </c>
      <c r="G26" s="74"/>
      <c r="H26" s="22">
        <v>144474</v>
      </c>
    </row>
    <row r="27" spans="1:8" ht="18.75" customHeight="1" x14ac:dyDescent="0.15">
      <c r="A27" s="105"/>
      <c r="B27" s="105"/>
      <c r="C27" s="36"/>
      <c r="D27" s="37"/>
      <c r="E27" s="38"/>
      <c r="F27" s="117" t="s">
        <v>54</v>
      </c>
      <c r="G27" s="118"/>
      <c r="H27" s="23">
        <v>6000</v>
      </c>
    </row>
    <row r="28" spans="1:8" ht="18.75" customHeight="1" thickBot="1" x14ac:dyDescent="0.2">
      <c r="A28" s="113"/>
      <c r="B28" s="113"/>
      <c r="C28" s="7"/>
      <c r="D28" s="35"/>
      <c r="E28" s="15"/>
      <c r="F28" s="71" t="s">
        <v>45</v>
      </c>
      <c r="G28" s="72"/>
      <c r="H28" s="59">
        <v>132313</v>
      </c>
    </row>
    <row r="29" spans="1:8" ht="18.75" customHeight="1" x14ac:dyDescent="0.15">
      <c r="A29" s="122" t="s">
        <v>11</v>
      </c>
      <c r="B29" s="122"/>
      <c r="C29" s="41">
        <f>C30+C31</f>
        <v>20000</v>
      </c>
      <c r="D29" s="41">
        <f>D30+D31</f>
        <v>0</v>
      </c>
      <c r="E29" s="42">
        <f t="shared" si="0"/>
        <v>-20000</v>
      </c>
      <c r="F29" s="119"/>
      <c r="G29" s="120"/>
      <c r="H29" s="121"/>
    </row>
    <row r="30" spans="1:8" ht="18.75" customHeight="1" x14ac:dyDescent="0.15">
      <c r="A30" s="112" t="s">
        <v>12</v>
      </c>
      <c r="B30" s="112"/>
      <c r="C30" s="20">
        <v>20000</v>
      </c>
      <c r="D30" s="65">
        <v>0</v>
      </c>
      <c r="E30" s="21">
        <f t="shared" si="0"/>
        <v>-20000</v>
      </c>
      <c r="F30" s="129"/>
      <c r="G30" s="130"/>
      <c r="H30" s="131"/>
    </row>
    <row r="31" spans="1:8" ht="18.75" customHeight="1" x14ac:dyDescent="0.15">
      <c r="A31" s="93" t="s">
        <v>13</v>
      </c>
      <c r="B31" s="93"/>
      <c r="C31" s="18">
        <v>0</v>
      </c>
      <c r="D31" s="56">
        <v>0</v>
      </c>
      <c r="E31" s="19">
        <f t="shared" si="0"/>
        <v>0</v>
      </c>
      <c r="F31" s="132"/>
      <c r="G31" s="133"/>
      <c r="H31" s="134"/>
    </row>
    <row r="32" spans="1:8" ht="18.75" customHeight="1" thickBot="1" x14ac:dyDescent="0.2">
      <c r="A32" s="70"/>
      <c r="B32" s="70"/>
      <c r="C32" s="24"/>
      <c r="D32" s="34"/>
      <c r="E32" s="25"/>
      <c r="F32" s="71" t="s">
        <v>45</v>
      </c>
      <c r="G32" s="72"/>
      <c r="H32" s="59">
        <v>0</v>
      </c>
    </row>
    <row r="33" spans="1:9" ht="18.75" customHeight="1" x14ac:dyDescent="0.15">
      <c r="A33" s="101" t="s">
        <v>14</v>
      </c>
      <c r="B33" s="101"/>
      <c r="C33" s="5">
        <f>C34+C35</f>
        <v>90000</v>
      </c>
      <c r="D33" s="5">
        <f>D34+D35</f>
        <v>64346</v>
      </c>
      <c r="E33" s="16">
        <f t="shared" si="0"/>
        <v>-25654</v>
      </c>
      <c r="F33" s="135"/>
      <c r="G33" s="136"/>
      <c r="H33" s="137"/>
    </row>
    <row r="34" spans="1:9" ht="18.75" customHeight="1" x14ac:dyDescent="0.15">
      <c r="A34" s="9" t="s">
        <v>15</v>
      </c>
      <c r="B34" s="10"/>
      <c r="C34" s="8">
        <v>70000</v>
      </c>
      <c r="D34" s="66">
        <v>59546</v>
      </c>
      <c r="E34" s="13">
        <f t="shared" si="0"/>
        <v>-10454</v>
      </c>
      <c r="F34" s="138" t="s">
        <v>56</v>
      </c>
      <c r="G34" s="139"/>
      <c r="H34" s="140"/>
    </row>
    <row r="35" spans="1:9" ht="18.75" customHeight="1" x14ac:dyDescent="0.15">
      <c r="A35" s="43" t="s">
        <v>16</v>
      </c>
      <c r="B35" s="44"/>
      <c r="C35" s="18">
        <v>20000</v>
      </c>
      <c r="D35" s="56">
        <v>4800</v>
      </c>
      <c r="E35" s="19">
        <f t="shared" si="0"/>
        <v>-15200</v>
      </c>
      <c r="F35" s="141" t="s">
        <v>42</v>
      </c>
      <c r="G35" s="142"/>
      <c r="H35" s="143"/>
    </row>
    <row r="36" spans="1:9" ht="18.75" customHeight="1" thickBot="1" x14ac:dyDescent="0.2">
      <c r="A36" s="70"/>
      <c r="B36" s="70"/>
      <c r="C36" s="24"/>
      <c r="D36" s="34"/>
      <c r="E36" s="25"/>
      <c r="F36" s="71" t="s">
        <v>45</v>
      </c>
      <c r="G36" s="72"/>
      <c r="H36" s="59">
        <v>66719</v>
      </c>
    </row>
    <row r="37" spans="1:9" ht="18.75" customHeight="1" x14ac:dyDescent="0.15">
      <c r="A37" s="82" t="s">
        <v>17</v>
      </c>
      <c r="B37" s="83"/>
      <c r="C37" s="5">
        <f>SUM(C38:C42)</f>
        <v>338000</v>
      </c>
      <c r="D37" s="5">
        <f>SUM(D38:D42)</f>
        <v>307477</v>
      </c>
      <c r="E37" s="16">
        <f t="shared" si="0"/>
        <v>-30523</v>
      </c>
      <c r="F37" s="126"/>
      <c r="G37" s="127"/>
      <c r="H37" s="128"/>
    </row>
    <row r="38" spans="1:9" ht="18.75" customHeight="1" x14ac:dyDescent="0.15">
      <c r="A38" s="86" t="s">
        <v>18</v>
      </c>
      <c r="B38" s="87"/>
      <c r="C38" s="8">
        <v>10000</v>
      </c>
      <c r="D38" s="66">
        <v>5927</v>
      </c>
      <c r="E38" s="13">
        <f t="shared" si="0"/>
        <v>-4073</v>
      </c>
      <c r="F38" s="125" t="s">
        <v>40</v>
      </c>
      <c r="G38" s="125"/>
      <c r="H38" s="125"/>
    </row>
    <row r="39" spans="1:9" ht="18.75" customHeight="1" x14ac:dyDescent="0.15">
      <c r="A39" s="86" t="s">
        <v>19</v>
      </c>
      <c r="B39" s="87"/>
      <c r="C39" s="8">
        <v>10000</v>
      </c>
      <c r="D39" s="66">
        <v>14710</v>
      </c>
      <c r="E39" s="13">
        <f t="shared" si="0"/>
        <v>4710</v>
      </c>
      <c r="F39" s="125" t="s">
        <v>44</v>
      </c>
      <c r="G39" s="125"/>
      <c r="H39" s="125"/>
    </row>
    <row r="40" spans="1:9" ht="18.75" customHeight="1" x14ac:dyDescent="0.15">
      <c r="A40" s="86" t="s">
        <v>20</v>
      </c>
      <c r="B40" s="87"/>
      <c r="C40" s="8">
        <v>188000</v>
      </c>
      <c r="D40" s="66">
        <v>180820</v>
      </c>
      <c r="E40" s="13">
        <f t="shared" si="0"/>
        <v>-7180</v>
      </c>
      <c r="F40" s="125" t="s">
        <v>57</v>
      </c>
      <c r="G40" s="125"/>
      <c r="H40" s="125"/>
    </row>
    <row r="41" spans="1:9" ht="18.75" customHeight="1" x14ac:dyDescent="0.15">
      <c r="A41" s="86" t="s">
        <v>21</v>
      </c>
      <c r="B41" s="87"/>
      <c r="C41" s="8">
        <v>100000</v>
      </c>
      <c r="D41" s="66">
        <v>83500</v>
      </c>
      <c r="E41" s="13">
        <f t="shared" si="0"/>
        <v>-16500</v>
      </c>
      <c r="F41" s="125" t="s">
        <v>58</v>
      </c>
      <c r="G41" s="125"/>
      <c r="H41" s="125"/>
    </row>
    <row r="42" spans="1:9" ht="18.75" customHeight="1" x14ac:dyDescent="0.15">
      <c r="A42" s="43" t="s">
        <v>22</v>
      </c>
      <c r="B42" s="45"/>
      <c r="C42" s="18">
        <v>30000</v>
      </c>
      <c r="D42" s="56">
        <v>22520</v>
      </c>
      <c r="E42" s="19">
        <f t="shared" si="0"/>
        <v>-7480</v>
      </c>
      <c r="F42" s="73" t="s">
        <v>28</v>
      </c>
      <c r="G42" s="74"/>
      <c r="H42" s="75"/>
    </row>
    <row r="43" spans="1:9" ht="18.75" customHeight="1" thickBot="1" x14ac:dyDescent="0.2">
      <c r="A43" s="70"/>
      <c r="B43" s="70"/>
      <c r="C43" s="24"/>
      <c r="D43" s="34"/>
      <c r="E43" s="25"/>
      <c r="F43" s="71" t="s">
        <v>45</v>
      </c>
      <c r="G43" s="72"/>
      <c r="H43" s="59">
        <v>295157</v>
      </c>
    </row>
    <row r="44" spans="1:9" ht="18.75" customHeight="1" thickBot="1" x14ac:dyDescent="0.2">
      <c r="A44" s="84" t="s">
        <v>23</v>
      </c>
      <c r="B44" s="85"/>
      <c r="C44" s="11">
        <v>100000</v>
      </c>
      <c r="D44" s="11">
        <v>46372</v>
      </c>
      <c r="E44" s="17">
        <f t="shared" si="0"/>
        <v>-53628</v>
      </c>
      <c r="F44" s="76"/>
      <c r="G44" s="77"/>
      <c r="H44" s="78"/>
    </row>
    <row r="45" spans="1:9" ht="18.75" customHeight="1" thickBot="1" x14ac:dyDescent="0.2">
      <c r="A45" s="84" t="s">
        <v>24</v>
      </c>
      <c r="B45" s="85"/>
      <c r="C45" s="11">
        <v>98000</v>
      </c>
      <c r="D45" s="11">
        <v>98000</v>
      </c>
      <c r="E45" s="17">
        <f t="shared" si="0"/>
        <v>0</v>
      </c>
      <c r="F45" s="79" t="s">
        <v>29</v>
      </c>
      <c r="G45" s="80"/>
      <c r="H45" s="81"/>
    </row>
    <row r="46" spans="1:9" ht="18.75" customHeight="1" thickBot="1" x14ac:dyDescent="0.2">
      <c r="A46" s="116" t="s">
        <v>25</v>
      </c>
      <c r="B46" s="116"/>
      <c r="C46" s="11">
        <f>C47-C7-C12-C29-C33-C37-C44-C45</f>
        <v>866603</v>
      </c>
      <c r="D46" s="11">
        <f>D47-D7-D12-D29-D33-D37-D44-D45</f>
        <v>1715254</v>
      </c>
      <c r="E46" s="17">
        <f t="shared" si="0"/>
        <v>848651</v>
      </c>
      <c r="F46" s="71" t="s">
        <v>45</v>
      </c>
      <c r="G46" s="72"/>
      <c r="H46" s="59">
        <v>2584603</v>
      </c>
    </row>
    <row r="47" spans="1:9" ht="18.75" customHeight="1" thickBot="1" x14ac:dyDescent="0.25">
      <c r="A47" s="114" t="s">
        <v>26</v>
      </c>
      <c r="B47" s="115"/>
      <c r="C47" s="11">
        <v>7442603</v>
      </c>
      <c r="D47" s="67">
        <v>3936161</v>
      </c>
      <c r="E47" s="17">
        <f t="shared" si="0"/>
        <v>-3506442</v>
      </c>
      <c r="F47" s="71" t="s">
        <v>45</v>
      </c>
      <c r="G47" s="72"/>
      <c r="H47" s="59">
        <v>4043339</v>
      </c>
      <c r="I47" t="s">
        <v>59</v>
      </c>
    </row>
    <row r="49" spans="3:4" x14ac:dyDescent="0.15">
      <c r="C49" s="68" t="s">
        <v>60</v>
      </c>
      <c r="D49" s="69">
        <f>D47-D46</f>
        <v>2220907</v>
      </c>
    </row>
  </sheetData>
  <mergeCells count="80">
    <mergeCell ref="F15:H15"/>
    <mergeCell ref="A15:B15"/>
    <mergeCell ref="A22:B22"/>
    <mergeCell ref="F17:G17"/>
    <mergeCell ref="A17:B17"/>
    <mergeCell ref="F16:G16"/>
    <mergeCell ref="A16:B16"/>
    <mergeCell ref="F32:G32"/>
    <mergeCell ref="A18:B18"/>
    <mergeCell ref="F18:G18"/>
    <mergeCell ref="A23:B23"/>
    <mergeCell ref="F23:G23"/>
    <mergeCell ref="F19:G19"/>
    <mergeCell ref="A27:B27"/>
    <mergeCell ref="A21:B21"/>
    <mergeCell ref="F21:G21"/>
    <mergeCell ref="A25:B25"/>
    <mergeCell ref="F25:G25"/>
    <mergeCell ref="A19:B19"/>
    <mergeCell ref="F33:H33"/>
    <mergeCell ref="F34:H34"/>
    <mergeCell ref="F35:H35"/>
    <mergeCell ref="F38:H38"/>
    <mergeCell ref="F39:H39"/>
    <mergeCell ref="F47:G47"/>
    <mergeCell ref="F26:G26"/>
    <mergeCell ref="F27:G27"/>
    <mergeCell ref="F29:H29"/>
    <mergeCell ref="A20:B20"/>
    <mergeCell ref="A31:B31"/>
    <mergeCell ref="A24:B24"/>
    <mergeCell ref="A29:B29"/>
    <mergeCell ref="F20:G20"/>
    <mergeCell ref="F24:G24"/>
    <mergeCell ref="F28:G28"/>
    <mergeCell ref="F40:H40"/>
    <mergeCell ref="F41:H41"/>
    <mergeCell ref="F37:H37"/>
    <mergeCell ref="F30:H30"/>
    <mergeCell ref="F31:H31"/>
    <mergeCell ref="A47:B47"/>
    <mergeCell ref="A40:B40"/>
    <mergeCell ref="A41:B41"/>
    <mergeCell ref="A45:B45"/>
    <mergeCell ref="A39:B39"/>
    <mergeCell ref="A46:B46"/>
    <mergeCell ref="A33:B33"/>
    <mergeCell ref="A30:B30"/>
    <mergeCell ref="A26:B26"/>
    <mergeCell ref="A28:B28"/>
    <mergeCell ref="A32:B32"/>
    <mergeCell ref="F11:G11"/>
    <mergeCell ref="A14:B14"/>
    <mergeCell ref="G5:H5"/>
    <mergeCell ref="A6:B6"/>
    <mergeCell ref="F6:H6"/>
    <mergeCell ref="A7:B7"/>
    <mergeCell ref="F7:H7"/>
    <mergeCell ref="A11:B11"/>
    <mergeCell ref="A13:B13"/>
    <mergeCell ref="F14:G14"/>
    <mergeCell ref="F12:H12"/>
    <mergeCell ref="F13:H13"/>
    <mergeCell ref="A12:B12"/>
    <mergeCell ref="A4:B4"/>
    <mergeCell ref="A1:H1"/>
    <mergeCell ref="F10:H10"/>
    <mergeCell ref="A10:B10"/>
    <mergeCell ref="A3:H3"/>
    <mergeCell ref="A36:B36"/>
    <mergeCell ref="F36:G36"/>
    <mergeCell ref="A43:B43"/>
    <mergeCell ref="F43:G43"/>
    <mergeCell ref="F46:G46"/>
    <mergeCell ref="F42:H42"/>
    <mergeCell ref="F44:H44"/>
    <mergeCell ref="F45:H45"/>
    <mergeCell ref="A37:B37"/>
    <mergeCell ref="A44:B44"/>
    <mergeCell ref="A38:B38"/>
  </mergeCells>
  <phoneticPr fontId="2"/>
  <printOptions horizontalCentered="1"/>
  <pageMargins left="0.78740157480314965" right="0.59055118110236227" top="0.98425196850393704" bottom="0.98425196850393704" header="0.51181102362204722" footer="0.51181102362204722"/>
  <pageSetup paperSize="9" scale="91" orientation="portrait" r:id="rId1"/>
  <headerFooter alignWithMargins="0"/>
  <ignoredErrors>
    <ignoredError sqref="C37:D37 D23:D24 D19:D22" formulaRange="1"/>
    <ignoredError sqref="E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2024.03.31</vt:lpstr>
      <vt:lpstr>'2024.03.31'!Print_Area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岳 橋本</cp:lastModifiedBy>
  <cp:lastPrinted>2024-05-11T01:49:37Z</cp:lastPrinted>
  <dcterms:created xsi:type="dcterms:W3CDTF">2004-03-17T08:59:27Z</dcterms:created>
  <dcterms:modified xsi:type="dcterms:W3CDTF">2024-05-11T01:50:36Z</dcterms:modified>
</cp:coreProperties>
</file>