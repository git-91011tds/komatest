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②一般会計/2024-R6会計年度/ねた/"/>
    </mc:Choice>
  </mc:AlternateContent>
  <xr:revisionPtr revIDLastSave="759" documentId="8_{13909B44-1133-40D1-9588-E97C053CC1A7}" xr6:coauthVersionLast="47" xr6:coauthVersionMax="47" xr10:uidLastSave="{EF2EA3D1-7DB2-492A-A7ED-DE1A9355154E}"/>
  <bookViews>
    <workbookView xWindow="2970" yWindow="990" windowWidth="23490" windowHeight="14250" activeTab="1" xr2:uid="{00000000-000D-0000-FFFF-FFFF00000000}"/>
  </bookViews>
  <sheets>
    <sheet name="決算収入" sheetId="1" r:id="rId1"/>
    <sheet name="決算支出" sheetId="2" r:id="rId2"/>
    <sheet name="一般会計報告" sheetId="3" r:id="rId3"/>
  </sheets>
  <definedNames>
    <definedName name="_xlnm.Print_Area" localSheetId="2">一般会計報告!$A$1:$G$31</definedName>
    <definedName name="_xlnm.Print_Area" localSheetId="1">決算支出!$A$1:$H$52</definedName>
    <definedName name="_xlnm.Print_Area" localSheetId="0">決算収入!$A$1:$H$43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32" i="1"/>
  <c r="D47" i="2"/>
  <c r="H32" i="1"/>
  <c r="H18" i="2" l="1"/>
  <c r="D20" i="2" l="1"/>
  <c r="D25" i="1"/>
  <c r="F31" i="3"/>
  <c r="D29" i="2"/>
  <c r="D23" i="2" l="1"/>
  <c r="E50" i="2" l="1"/>
  <c r="E47" i="2"/>
  <c r="E45" i="2"/>
  <c r="E44" i="2"/>
  <c r="E43" i="2"/>
  <c r="E42" i="2"/>
  <c r="E41" i="2"/>
  <c r="D40" i="2"/>
  <c r="C40" i="2"/>
  <c r="E38" i="2"/>
  <c r="E37" i="2"/>
  <c r="D36" i="2"/>
  <c r="C36" i="2"/>
  <c r="E34" i="2"/>
  <c r="E33" i="2"/>
  <c r="D32" i="2"/>
  <c r="C32" i="2"/>
  <c r="E26" i="2"/>
  <c r="E20" i="2"/>
  <c r="E15" i="2"/>
  <c r="E13" i="2"/>
  <c r="C12" i="2"/>
  <c r="E10" i="2"/>
  <c r="E9" i="2"/>
  <c r="E8" i="2"/>
  <c r="D7" i="2"/>
  <c r="C7" i="2"/>
  <c r="E32" i="2" l="1"/>
  <c r="E36" i="2"/>
  <c r="E29" i="2"/>
  <c r="D12" i="2"/>
  <c r="E40" i="2"/>
  <c r="E7" i="2"/>
  <c r="E23" i="2"/>
  <c r="E12" i="2" l="1"/>
  <c r="H7" i="1" l="1"/>
  <c r="D7" i="1" s="1"/>
  <c r="H19" i="1"/>
  <c r="H18" i="1"/>
  <c r="D18" i="1" s="1"/>
  <c r="D16" i="1"/>
  <c r="D14" i="1"/>
  <c r="C29" i="1"/>
  <c r="E32" i="1" l="1"/>
  <c r="E31" i="1"/>
  <c r="C13" i="1"/>
  <c r="C42" i="1" s="1"/>
  <c r="D39" i="1" l="1"/>
  <c r="E39" i="1" s="1"/>
  <c r="E30" i="1"/>
  <c r="E25" i="1"/>
  <c r="E36" i="1"/>
  <c r="E16" i="1"/>
  <c r="E14" i="1"/>
  <c r="E18" i="1" l="1"/>
  <c r="E13" i="1" s="1"/>
  <c r="D13" i="1"/>
  <c r="E7" i="1"/>
  <c r="C52" i="2"/>
  <c r="C51" i="2" s="1"/>
  <c r="D29" i="1"/>
  <c r="D42" i="1" l="1"/>
  <c r="E29" i="1"/>
  <c r="E42" i="1" l="1"/>
  <c r="D45" i="1"/>
  <c r="D52" i="2"/>
  <c r="D51" i="2" s="1"/>
  <c r="D58" i="2" s="1"/>
  <c r="E51" i="2" l="1"/>
  <c r="E52" i="2"/>
</calcChain>
</file>

<file path=xl/sharedStrings.xml><?xml version="1.0" encoding="utf-8"?>
<sst xmlns="http://schemas.openxmlformats.org/spreadsheetml/2006/main" count="164" uniqueCount="135">
  <si>
    <t>科　　　　　目</t>
    <rPh sb="0" eb="1">
      <t>カ</t>
    </rPh>
    <rPh sb="6" eb="7">
      <t>モク</t>
    </rPh>
    <phoneticPr fontId="2"/>
  </si>
  <si>
    <t>本年度予算額</t>
    <rPh sb="0" eb="3">
      <t>ホンネンド</t>
    </rPh>
    <rPh sb="3" eb="5">
      <t>ヨサン</t>
    </rPh>
    <rPh sb="5" eb="6">
      <t>ガク</t>
    </rPh>
    <phoneticPr fontId="2"/>
  </si>
  <si>
    <t>説　　　　　　　　明</t>
    <rPh sb="0" eb="1">
      <t>セツ</t>
    </rPh>
    <rPh sb="9" eb="10">
      <t>メイ</t>
    </rPh>
    <phoneticPr fontId="2"/>
  </si>
  <si>
    <t>１．会費収入</t>
    <rPh sb="2" eb="4">
      <t>カイヒ</t>
    </rPh>
    <rPh sb="4" eb="6">
      <t>シュウニュウ</t>
    </rPh>
    <phoneticPr fontId="2"/>
  </si>
  <si>
    <t>２．補助金収入</t>
    <rPh sb="2" eb="5">
      <t>ホジョキン</t>
    </rPh>
    <rPh sb="5" eb="7">
      <t>シュウニュウ</t>
    </rPh>
    <phoneticPr fontId="2"/>
  </si>
  <si>
    <t>増（△減）</t>
    <rPh sb="0" eb="1">
      <t>ゾウ</t>
    </rPh>
    <rPh sb="3" eb="4">
      <t>ゲン</t>
    </rPh>
    <phoneticPr fontId="2"/>
  </si>
  <si>
    <t>　</t>
    <phoneticPr fontId="2"/>
  </si>
  <si>
    <t>　（1）ｺﾐｭﾆﾃｨ関連補助金</t>
    <rPh sb="10" eb="12">
      <t>カンレン</t>
    </rPh>
    <rPh sb="12" eb="15">
      <t>ホジョキン</t>
    </rPh>
    <phoneticPr fontId="2"/>
  </si>
  <si>
    <t>３．事業収入</t>
    <rPh sb="2" eb="4">
      <t>ジギョウ</t>
    </rPh>
    <rPh sb="4" eb="6">
      <t>シュウニュウ</t>
    </rPh>
    <phoneticPr fontId="2"/>
  </si>
  <si>
    <t>６．繰越金</t>
    <rPh sb="2" eb="4">
      <t>クリコシ</t>
    </rPh>
    <rPh sb="4" eb="5">
      <t>キン</t>
    </rPh>
    <phoneticPr fontId="2"/>
  </si>
  <si>
    <t>（単位：　　円）</t>
    <rPh sb="1" eb="2">
      <t>タン</t>
    </rPh>
    <rPh sb="2" eb="3">
      <t>イ</t>
    </rPh>
    <rPh sb="6" eb="7">
      <t>エン</t>
    </rPh>
    <phoneticPr fontId="2"/>
  </si>
  <si>
    <t xml:space="preserve"> </t>
    <phoneticPr fontId="2"/>
  </si>
  <si>
    <t>本年度決算額</t>
    <rPh sb="0" eb="3">
      <t>ホンネンド</t>
    </rPh>
    <rPh sb="3" eb="5">
      <t>ケッサン</t>
    </rPh>
    <rPh sb="5" eb="6">
      <t>ガク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</si>
  <si>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(1) 寄付金</t>
    </r>
    <rPh sb="6" eb="9">
      <t>キフキン</t>
    </rPh>
    <phoneticPr fontId="2"/>
  </si>
  <si>
    <r>
      <t>　(</t>
    </r>
    <r>
      <rPr>
        <sz val="11"/>
        <rFont val="ＭＳ Ｐゴシック"/>
        <family val="3"/>
        <charset val="128"/>
      </rPr>
      <t>2) 繰入金</t>
    </r>
    <rPh sb="5" eb="7">
      <t>クリイレ</t>
    </rPh>
    <rPh sb="7" eb="8">
      <t>キン</t>
    </rPh>
    <phoneticPr fontId="2"/>
  </si>
  <si>
    <t>　(3) その他諸収入</t>
    <rPh sb="7" eb="8">
      <t>タ</t>
    </rPh>
    <rPh sb="8" eb="9">
      <t>ショ</t>
    </rPh>
    <rPh sb="9" eb="11">
      <t>シュウニュウ</t>
    </rPh>
    <phoneticPr fontId="2"/>
  </si>
  <si>
    <t>５．積立金取崩収入</t>
    <rPh sb="2" eb="4">
      <t>ツミタテ</t>
    </rPh>
    <rPh sb="4" eb="5">
      <t>キン</t>
    </rPh>
    <rPh sb="5" eb="7">
      <t>トリクズシ</t>
    </rPh>
    <rPh sb="7" eb="9">
      <t>シュウニュウ</t>
    </rPh>
    <phoneticPr fontId="2"/>
  </si>
  <si>
    <t>４．諸収入</t>
    <rPh sb="2" eb="3">
      <t>ショ</t>
    </rPh>
    <rPh sb="3" eb="5">
      <t>シュウニュウ</t>
    </rPh>
    <phoneticPr fontId="2"/>
  </si>
  <si>
    <t>　（収　入）</t>
    <rPh sb="2" eb="3">
      <t>オサム</t>
    </rPh>
    <rPh sb="4" eb="5">
      <t>ニュウ</t>
    </rPh>
    <phoneticPr fontId="2"/>
  </si>
  <si>
    <t>収入合計</t>
    <rPh sb="0" eb="2">
      <t>シュウニュウ</t>
    </rPh>
    <rPh sb="2" eb="4">
      <t>ゴウケイ</t>
    </rPh>
    <phoneticPr fontId="2"/>
  </si>
  <si>
    <t>　資源回収奨励金</t>
    <rPh sb="1" eb="3">
      <t>コウエン</t>
    </rPh>
    <rPh sb="3" eb="5">
      <t>セイソウ</t>
    </rPh>
    <rPh sb="5" eb="8">
      <t>ホウショウキン</t>
    </rPh>
    <phoneticPr fontId="2"/>
  </si>
  <si>
    <t>　防犯カメラ設置補助金</t>
    <rPh sb="1" eb="3">
      <t xml:space="preserve">ボウハｎ </t>
    </rPh>
    <rPh sb="6" eb="8">
      <t xml:space="preserve">セッチ </t>
    </rPh>
    <rPh sb="8" eb="11">
      <t xml:space="preserve">ホジョキン </t>
    </rPh>
    <phoneticPr fontId="2"/>
  </si>
  <si>
    <t>駒寄町内会　</t>
    <rPh sb="0" eb="1">
      <t>コマ</t>
    </rPh>
    <rPh sb="1" eb="2">
      <t>ヨ</t>
    </rPh>
    <rPh sb="2" eb="3">
      <t>チョウ</t>
    </rPh>
    <rPh sb="3" eb="4">
      <t>ナイ</t>
    </rPh>
    <rPh sb="4" eb="5">
      <t>カイ</t>
    </rPh>
    <phoneticPr fontId="2"/>
  </si>
  <si>
    <t>　公園清掃報償金</t>
    <phoneticPr fontId="2"/>
  </si>
  <si>
    <t>　広報よこすか配付手数料</t>
    <phoneticPr fontId="2"/>
  </si>
  <si>
    <t>　1世帯×300×2ヶ月分</t>
    <rPh sb="12" eb="13">
      <t>ブン</t>
    </rPh>
    <phoneticPr fontId="2"/>
  </si>
  <si>
    <t>　少年部活動費として</t>
    <rPh sb="1" eb="3">
      <t>ショウネン</t>
    </rPh>
    <rPh sb="3" eb="4">
      <t>ブ</t>
    </rPh>
    <rPh sb="4" eb="6">
      <t>カツドウ</t>
    </rPh>
    <rPh sb="6" eb="7">
      <t>ヒ</t>
    </rPh>
    <phoneticPr fontId="2"/>
  </si>
  <si>
    <t>令和６年度　 一般会計　収支決算書</t>
    <rPh sb="0" eb="2">
      <t>レイワ</t>
    </rPh>
    <rPh sb="3" eb="5">
      <t>ネンド</t>
    </rPh>
    <rPh sb="7" eb="8">
      <t>1</t>
    </rPh>
    <rPh sb="8" eb="9">
      <t>ハン</t>
    </rPh>
    <rPh sb="9" eb="11">
      <t>カイケイ</t>
    </rPh>
    <rPh sb="12" eb="14">
      <t>シュウシ</t>
    </rPh>
    <rPh sb="14" eb="16">
      <t>ケッサン</t>
    </rPh>
    <rPh sb="16" eb="17">
      <t>ショ</t>
    </rPh>
    <phoneticPr fontId="2"/>
  </si>
  <si>
    <t>　185世帯×300×12ヶ月分</t>
    <rPh sb="15" eb="16">
      <t>ブン</t>
    </rPh>
    <phoneticPr fontId="2"/>
  </si>
  <si>
    <t>　1世帯×300×4ヶ月分返金</t>
    <rPh sb="12" eb="13">
      <t>ブン</t>
    </rPh>
    <rPh sb="13" eb="15">
      <t>ヘンキン</t>
    </rPh>
    <phoneticPr fontId="2"/>
  </si>
  <si>
    <t>　1世帯×300×1ヶ月分</t>
    <rPh sb="12" eb="13">
      <t>ブン</t>
    </rPh>
    <phoneticPr fontId="2"/>
  </si>
  <si>
    <t>【参考】R5年度実績：</t>
    <rPh sb="0" eb="2">
      <t>サンコウ</t>
    </rPh>
    <rPh sb="6" eb="8">
      <t>ジッセキ</t>
    </rPh>
    <phoneticPr fontId="2"/>
  </si>
  <si>
    <t>　（2）防災器材整備費補助金</t>
    <rPh sb="4" eb="6">
      <t>ボウサイ</t>
    </rPh>
    <rPh sb="6" eb="8">
      <t>キザイ</t>
    </rPh>
    <rPh sb="8" eb="11">
      <t>セイビヒ</t>
    </rPh>
    <phoneticPr fontId="2"/>
  </si>
  <si>
    <t>　（3）その他補助金・奨励金</t>
    <rPh sb="6" eb="7">
      <t>タ</t>
    </rPh>
    <rPh sb="7" eb="10">
      <t>ホジョキン</t>
    </rPh>
    <phoneticPr fontId="2"/>
  </si>
  <si>
    <t>令和４年度　一般会計  収支決算書</t>
    <rPh sb="0" eb="2">
      <t>レイワ</t>
    </rPh>
    <rPh sb="3" eb="5">
      <t>ネンド</t>
    </rPh>
    <rPh sb="6" eb="7">
      <t>1</t>
    </rPh>
    <rPh sb="7" eb="8">
      <t>ハン</t>
    </rPh>
    <rPh sb="8" eb="10">
      <t>カイケイ</t>
    </rPh>
    <rPh sb="12" eb="14">
      <t>シュウシ</t>
    </rPh>
    <rPh sb="14" eb="16">
      <t>ケッサン</t>
    </rPh>
    <rPh sb="16" eb="17">
      <t>ショ</t>
    </rPh>
    <phoneticPr fontId="2"/>
  </si>
  <si>
    <t>　（支　出）</t>
    <rPh sb="2" eb="3">
      <t>シ</t>
    </rPh>
    <rPh sb="4" eb="5">
      <t>デ</t>
    </rPh>
    <phoneticPr fontId="2"/>
  </si>
  <si>
    <t>科　　　　　目</t>
    <rPh sb="0" eb="1">
      <t>カ</t>
    </rPh>
    <rPh sb="6" eb="7">
      <t>メ</t>
    </rPh>
    <phoneticPr fontId="2"/>
  </si>
  <si>
    <t>本年度予算額</t>
    <rPh sb="0" eb="1">
      <t>ホン</t>
    </rPh>
    <rPh sb="1" eb="3">
      <t>ネンド</t>
    </rPh>
    <rPh sb="3" eb="5">
      <t>ヨサン</t>
    </rPh>
    <rPh sb="5" eb="6">
      <t>ガク</t>
    </rPh>
    <phoneticPr fontId="2"/>
  </si>
  <si>
    <t>本年度決算額</t>
    <rPh sb="0" eb="1">
      <t>ホン</t>
    </rPh>
    <rPh sb="1" eb="3">
      <t>ネンド</t>
    </rPh>
    <rPh sb="3" eb="5">
      <t>ケッサン</t>
    </rPh>
    <rPh sb="5" eb="6">
      <t>ガク</t>
    </rPh>
    <phoneticPr fontId="2"/>
  </si>
  <si>
    <t>説　　　　　　　　　明</t>
    <rPh sb="0" eb="1">
      <t>セツ</t>
    </rPh>
    <rPh sb="10" eb="11">
      <t>メイ</t>
    </rPh>
    <phoneticPr fontId="2"/>
  </si>
  <si>
    <t>1．施設・器材費</t>
    <rPh sb="2" eb="4">
      <t>シセツ</t>
    </rPh>
    <rPh sb="5" eb="7">
      <t>キザイ</t>
    </rPh>
    <rPh sb="7" eb="8">
      <t>ヒ</t>
    </rPh>
    <phoneticPr fontId="2"/>
  </si>
  <si>
    <t>　（1）防犯灯設置管理費</t>
    <rPh sb="4" eb="7">
      <t>ボウハントウ</t>
    </rPh>
    <rPh sb="7" eb="9">
      <t>セッチ</t>
    </rPh>
    <rPh sb="9" eb="12">
      <t>カンリヒ</t>
    </rPh>
    <phoneticPr fontId="2"/>
  </si>
  <si>
    <t>監理は横須賀市へ</t>
    <rPh sb="0" eb="2">
      <t>カンリ</t>
    </rPh>
    <rPh sb="3" eb="7">
      <t>ヨコスカシ</t>
    </rPh>
    <phoneticPr fontId="2"/>
  </si>
  <si>
    <t>　（2）防災器材購入費</t>
    <rPh sb="4" eb="6">
      <t>ボウサイ</t>
    </rPh>
    <rPh sb="6" eb="8">
      <t>キザイ</t>
    </rPh>
    <rPh sb="8" eb="11">
      <t>コウニュウヒ</t>
    </rPh>
    <phoneticPr fontId="2"/>
  </si>
  <si>
    <t>　（3）施設器材等整備費</t>
    <rPh sb="4" eb="6">
      <t>シセツ</t>
    </rPh>
    <rPh sb="6" eb="8">
      <t>キザイ</t>
    </rPh>
    <rPh sb="8" eb="9">
      <t>トウ</t>
    </rPh>
    <rPh sb="9" eb="11">
      <t>セイビ</t>
    </rPh>
    <rPh sb="11" eb="12">
      <t>ヒ</t>
    </rPh>
    <phoneticPr fontId="2"/>
  </si>
  <si>
    <t>2．コミュニティ活動費</t>
    <rPh sb="8" eb="10">
      <t>カツドウ</t>
    </rPh>
    <rPh sb="10" eb="11">
      <t>ヒ</t>
    </rPh>
    <phoneticPr fontId="2"/>
  </si>
  <si>
    <t>　（1）事務連絡活動費</t>
    <rPh sb="4" eb="6">
      <t>ジム</t>
    </rPh>
    <rPh sb="6" eb="8">
      <t>レンラク</t>
    </rPh>
    <rPh sb="8" eb="10">
      <t>カツドウ</t>
    </rPh>
    <rPh sb="10" eb="11">
      <t>ヒ</t>
    </rPh>
    <phoneticPr fontId="2"/>
  </si>
  <si>
    <t>　（2)青少年育成活動費</t>
    <rPh sb="4" eb="7">
      <t>セイショウネン</t>
    </rPh>
    <rPh sb="7" eb="9">
      <t>イクセイ</t>
    </rPh>
    <rPh sb="9" eb="11">
      <t>カツドウ</t>
    </rPh>
    <rPh sb="11" eb="12">
      <t>ヒ</t>
    </rPh>
    <phoneticPr fontId="2"/>
  </si>
  <si>
    <t>　（3）文化活動費</t>
    <rPh sb="4" eb="6">
      <t>ブンカ</t>
    </rPh>
    <rPh sb="6" eb="8">
      <t>カツドウ</t>
    </rPh>
    <rPh sb="8" eb="9">
      <t>ヒ</t>
    </rPh>
    <phoneticPr fontId="2"/>
  </si>
  <si>
    <t>　（4)体育振興費</t>
    <rPh sb="4" eb="6">
      <t>タイイク</t>
    </rPh>
    <rPh sb="6" eb="8">
      <t>シンコウ</t>
    </rPh>
    <rPh sb="8" eb="9">
      <t>ヒ</t>
    </rPh>
    <phoneticPr fontId="2"/>
  </si>
  <si>
    <t>　（5)安全活動費</t>
    <rPh sb="4" eb="6">
      <t>アンゼン</t>
    </rPh>
    <rPh sb="6" eb="8">
      <t>カツドウ</t>
    </rPh>
    <rPh sb="8" eb="9">
      <t>ヒ</t>
    </rPh>
    <phoneticPr fontId="2"/>
  </si>
  <si>
    <t>　（6）福祉厚生費</t>
    <rPh sb="4" eb="6">
      <t>フクシ</t>
    </rPh>
    <rPh sb="6" eb="8">
      <t>コウセイ</t>
    </rPh>
    <rPh sb="8" eb="9">
      <t>ヒ</t>
    </rPh>
    <phoneticPr fontId="2"/>
  </si>
  <si>
    <t>3．広報活動費</t>
    <rPh sb="2" eb="4">
      <t>コウホウ</t>
    </rPh>
    <rPh sb="4" eb="6">
      <t>カツドウ</t>
    </rPh>
    <rPh sb="6" eb="7">
      <t>ヒ</t>
    </rPh>
    <phoneticPr fontId="2"/>
  </si>
  <si>
    <t>　（1）広報作成費</t>
    <rPh sb="4" eb="6">
      <t>コウホウ</t>
    </rPh>
    <rPh sb="6" eb="8">
      <t>サクセイ</t>
    </rPh>
    <rPh sb="8" eb="9">
      <t>ヒ</t>
    </rPh>
    <phoneticPr fontId="2"/>
  </si>
  <si>
    <t>　（2）配布費</t>
    <rPh sb="4" eb="6">
      <t>ハイフ</t>
    </rPh>
    <rPh sb="6" eb="7">
      <t>ヒ</t>
    </rPh>
    <phoneticPr fontId="2"/>
  </si>
  <si>
    <t>4．環境費</t>
    <rPh sb="2" eb="4">
      <t>カンキョウ</t>
    </rPh>
    <rPh sb="4" eb="5">
      <t>ヒ</t>
    </rPh>
    <phoneticPr fontId="2"/>
  </si>
  <si>
    <t>　(1)公園清掃費</t>
    <rPh sb="4" eb="6">
      <t>コウエン</t>
    </rPh>
    <rPh sb="6" eb="8">
      <t>セイソウ</t>
    </rPh>
    <rPh sb="8" eb="9">
      <t>ヒ</t>
    </rPh>
    <phoneticPr fontId="2"/>
  </si>
  <si>
    <t xml:space="preserve">  (2)クリーン活動費</t>
    <rPh sb="9" eb="11">
      <t>カツドウ</t>
    </rPh>
    <rPh sb="11" eb="12">
      <t>ヒ</t>
    </rPh>
    <phoneticPr fontId="2"/>
  </si>
  <si>
    <t>5.　運営費</t>
    <rPh sb="3" eb="5">
      <t>ウンエイ</t>
    </rPh>
    <rPh sb="5" eb="6">
      <t>ヒ</t>
    </rPh>
    <phoneticPr fontId="2"/>
  </si>
  <si>
    <t>　(1)会議費</t>
    <rPh sb="4" eb="7">
      <t>カイギヒ</t>
    </rPh>
    <phoneticPr fontId="2"/>
  </si>
  <si>
    <t>　(2)交通通信費</t>
    <rPh sb="4" eb="6">
      <t>コウツウ</t>
    </rPh>
    <rPh sb="6" eb="8">
      <t>ツウシン</t>
    </rPh>
    <rPh sb="8" eb="9">
      <t>ヒ</t>
    </rPh>
    <phoneticPr fontId="2"/>
  </si>
  <si>
    <t>　(3)諸負担金</t>
    <rPh sb="4" eb="5">
      <t>ショ</t>
    </rPh>
    <rPh sb="5" eb="8">
      <t>フタンキン</t>
    </rPh>
    <phoneticPr fontId="2"/>
  </si>
  <si>
    <t>　(4)渉外慶弔費</t>
    <rPh sb="4" eb="6">
      <t>ショウガイ</t>
    </rPh>
    <rPh sb="6" eb="8">
      <t>ケイチョウ</t>
    </rPh>
    <rPh sb="8" eb="9">
      <t>ヒ</t>
    </rPh>
    <phoneticPr fontId="2"/>
  </si>
  <si>
    <t>　(5)保険料</t>
    <rPh sb="4" eb="7">
      <t>ホケンリョウ</t>
    </rPh>
    <phoneticPr fontId="2"/>
  </si>
  <si>
    <t>自治会総合保険</t>
    <rPh sb="0" eb="3">
      <t>ジチカイ</t>
    </rPh>
    <rPh sb="3" eb="5">
      <t>ソウゴウ</t>
    </rPh>
    <rPh sb="5" eb="7">
      <t>ホケン</t>
    </rPh>
    <phoneticPr fontId="2"/>
  </si>
  <si>
    <t>6.　雑費(予備費)</t>
    <rPh sb="3" eb="5">
      <t>ザッピ</t>
    </rPh>
    <rPh sb="6" eb="9">
      <t>ヨビヒ</t>
    </rPh>
    <phoneticPr fontId="2"/>
  </si>
  <si>
    <t>7.　積立金</t>
    <rPh sb="3" eb="5">
      <t>ツミタテ</t>
    </rPh>
    <rPh sb="5" eb="6">
      <t>キン</t>
    </rPh>
    <phoneticPr fontId="2"/>
  </si>
  <si>
    <t>会館維持補填費(定期預金積立)</t>
    <rPh sb="0" eb="2">
      <t>カイカン</t>
    </rPh>
    <rPh sb="2" eb="4">
      <t>イジ</t>
    </rPh>
    <rPh sb="4" eb="6">
      <t>ホテン</t>
    </rPh>
    <rPh sb="6" eb="7">
      <t>ヒ</t>
    </rPh>
    <rPh sb="8" eb="10">
      <t>テイキ</t>
    </rPh>
    <rPh sb="10" eb="12">
      <t>ヨキン</t>
    </rPh>
    <rPh sb="12" eb="14">
      <t>ツミタテ</t>
    </rPh>
    <phoneticPr fontId="2"/>
  </si>
  <si>
    <t>8. 次年度繰越金</t>
    <rPh sb="3" eb="6">
      <t>ジネンド</t>
    </rPh>
    <rPh sb="6" eb="8">
      <t>クリコシ</t>
    </rPh>
    <rPh sb="8" eb="9">
      <t>キン</t>
    </rPh>
    <phoneticPr fontId="2"/>
  </si>
  <si>
    <t>　支出合計</t>
    <rPh sb="1" eb="3">
      <t>シシュツ</t>
    </rPh>
    <rPh sb="3" eb="5">
      <t>ゴウケイ</t>
    </rPh>
    <phoneticPr fontId="2"/>
  </si>
  <si>
    <t>←収入合計に等しい</t>
    <rPh sb="6" eb="7">
      <t>ヒト</t>
    </rPh>
    <phoneticPr fontId="2"/>
  </si>
  <si>
    <t>繰越金を除く支出合計：</t>
    <rPh sb="0" eb="3">
      <t>クリコシキン</t>
    </rPh>
    <rPh sb="4" eb="5">
      <t>ノゾ</t>
    </rPh>
    <rPh sb="6" eb="8">
      <t>シシュツ</t>
    </rPh>
    <rPh sb="8" eb="10">
      <t>ゴウケイ</t>
    </rPh>
    <phoneticPr fontId="2"/>
  </si>
  <si>
    <t>5/17、12/19、12/26入金</t>
    <rPh sb="16" eb="18">
      <t>ニュウキン</t>
    </rPh>
    <phoneticPr fontId="2"/>
  </si>
  <si>
    <t>7/31入金</t>
    <rPh sb="4" eb="6">
      <t>ニュウキン</t>
    </rPh>
    <phoneticPr fontId="2"/>
  </si>
  <si>
    <t>　防災訓練補助金※R5年度分</t>
    <rPh sb="1" eb="2">
      <t xml:space="preserve">ボウサイ </t>
    </rPh>
    <rPh sb="3" eb="5">
      <t xml:space="preserve">クンレン </t>
    </rPh>
    <rPh sb="5" eb="8">
      <t xml:space="preserve">ホジョキン </t>
    </rPh>
    <rPh sb="11" eb="13">
      <t>ネンド</t>
    </rPh>
    <rPh sb="13" eb="14">
      <t>ブン</t>
    </rPh>
    <phoneticPr fontId="2"/>
  </si>
  <si>
    <t>　会館補修費として会館会計から</t>
    <rPh sb="1" eb="3">
      <t>カイカン</t>
    </rPh>
    <rPh sb="3" eb="5">
      <t>ホシュウ</t>
    </rPh>
    <rPh sb="5" eb="6">
      <t>ヒ</t>
    </rPh>
    <rPh sb="9" eb="11">
      <t>カイカン</t>
    </rPh>
    <rPh sb="11" eb="13">
      <t>カイケイ</t>
    </rPh>
    <phoneticPr fontId="2"/>
  </si>
  <si>
    <t>　一般会計定期預金から</t>
    <rPh sb="1" eb="3">
      <t>イッパン</t>
    </rPh>
    <rPh sb="3" eb="5">
      <t>カイケイ</t>
    </rPh>
    <rPh sb="5" eb="7">
      <t>テイキ</t>
    </rPh>
    <rPh sb="7" eb="9">
      <t>ヨキン</t>
    </rPh>
    <phoneticPr fontId="2"/>
  </si>
  <si>
    <t>　会館修繕等整備費</t>
    <rPh sb="1" eb="3">
      <t>カイカン</t>
    </rPh>
    <rPh sb="3" eb="5">
      <t>シュウゼン</t>
    </rPh>
    <rPh sb="5" eb="6">
      <t>トウ</t>
    </rPh>
    <rPh sb="6" eb="8">
      <t>セイビ</t>
    </rPh>
    <rPh sb="8" eb="9">
      <t>ヒ</t>
    </rPh>
    <phoneticPr fontId="2"/>
  </si>
  <si>
    <t>会館修繕、冷蔵庫、エアコン</t>
    <rPh sb="0" eb="2">
      <t>カイカン</t>
    </rPh>
    <rPh sb="2" eb="4">
      <t>シュウゼン</t>
    </rPh>
    <rPh sb="5" eb="8">
      <t>レイゾウコ</t>
    </rPh>
    <phoneticPr fontId="2"/>
  </si>
  <si>
    <t>ポータブル蓄電池、ポップアップ式テント</t>
    <rPh sb="5" eb="8">
      <t>チクデンチ</t>
    </rPh>
    <rPh sb="15" eb="16">
      <t>シキ</t>
    </rPh>
    <phoneticPr fontId="2"/>
  </si>
  <si>
    <t>コピー用紙、プリンタインク他</t>
    <rPh sb="3" eb="5">
      <t>ヨウシ</t>
    </rPh>
    <rPh sb="13" eb="14">
      <t>タ</t>
    </rPh>
    <phoneticPr fontId="2"/>
  </si>
  <si>
    <t>掃除用具、お茶等</t>
    <rPh sb="0" eb="2">
      <t>ソウジ</t>
    </rPh>
    <rPh sb="2" eb="4">
      <t>ヨウグ</t>
    </rPh>
    <rPh sb="7" eb="8">
      <t>トウ</t>
    </rPh>
    <phoneticPr fontId="2"/>
  </si>
  <si>
    <t>連合町内会・会合等</t>
    <rPh sb="8" eb="9">
      <t>トウ</t>
    </rPh>
    <phoneticPr fontId="2"/>
  </si>
  <si>
    <t>交通費、郵便代</t>
    <rPh sb="0" eb="3">
      <t xml:space="preserve">コウツウヒ </t>
    </rPh>
    <rPh sb="4" eb="7">
      <t>ユウビンダイ</t>
    </rPh>
    <phoneticPr fontId="2"/>
  </si>
  <si>
    <t>繰越金を除く収入合計：</t>
    <rPh sb="0" eb="3">
      <t>クリコシキン</t>
    </rPh>
    <rPh sb="4" eb="5">
      <t>ノゾ</t>
    </rPh>
    <rPh sb="6" eb="8">
      <t>シュウニュウ</t>
    </rPh>
    <rPh sb="8" eb="10">
      <t>ゴウケイ</t>
    </rPh>
    <phoneticPr fontId="2"/>
  </si>
  <si>
    <t>　　</t>
    <phoneticPr fontId="2"/>
  </si>
  <si>
    <t>次年度繰越金（618,993 円）の保管（内訳）</t>
    <rPh sb="0" eb="3">
      <t>ジネンド</t>
    </rPh>
    <rPh sb="3" eb="5">
      <t>クリコシ</t>
    </rPh>
    <rPh sb="5" eb="6">
      <t>キン</t>
    </rPh>
    <rPh sb="15" eb="16">
      <t xml:space="preserve">エン </t>
    </rPh>
    <rPh sb="17" eb="18">
      <t>ホカン</t>
    </rPh>
    <rPh sb="19" eb="21">
      <t xml:space="preserve">ウチワケ </t>
    </rPh>
    <phoneticPr fontId="2"/>
  </si>
  <si>
    <t>現金（197,911 円）会計　橋本岳　保管</t>
    <rPh sb="0" eb="2">
      <t xml:space="preserve">ゲンキン </t>
    </rPh>
    <rPh sb="11" eb="12">
      <t xml:space="preserve">エン </t>
    </rPh>
    <rPh sb="13" eb="15">
      <t xml:space="preserve">カイケイ </t>
    </rPh>
    <rPh sb="16" eb="18">
      <t xml:space="preserve">ハシモト </t>
    </rPh>
    <rPh sb="18" eb="19">
      <t xml:space="preserve">タケ </t>
    </rPh>
    <rPh sb="20" eb="22">
      <t xml:space="preserve">ホカン </t>
    </rPh>
    <phoneticPr fontId="2"/>
  </si>
  <si>
    <t>小　計：</t>
    <rPh sb="0" eb="1">
      <t>ショウ</t>
    </rPh>
    <rPh sb="2" eb="3">
      <t>ケイ</t>
    </rPh>
    <phoneticPr fontId="2"/>
  </si>
  <si>
    <t>体育振興会 分担金</t>
    <rPh sb="0" eb="2">
      <t>タイイク</t>
    </rPh>
    <rPh sb="2" eb="4">
      <t>シンコウ</t>
    </rPh>
    <rPh sb="4" eb="5">
      <t>カイ</t>
    </rPh>
    <rPh sb="6" eb="9">
      <t>ブンタンキン</t>
    </rPh>
    <phoneticPr fontId="2"/>
  </si>
  <si>
    <t>第８分団 後援会費</t>
    <rPh sb="0" eb="1">
      <t>ダイ</t>
    </rPh>
    <rPh sb="2" eb="4">
      <t>ブンダン</t>
    </rPh>
    <rPh sb="5" eb="8">
      <t>コウエンカイ</t>
    </rPh>
    <rPh sb="8" eb="9">
      <t>ヒ</t>
    </rPh>
    <phoneticPr fontId="2"/>
  </si>
  <si>
    <t>船越連合町内会</t>
    <rPh sb="0" eb="2">
      <t>フナコシ</t>
    </rPh>
    <rPh sb="2" eb="4">
      <t>レンゴウ</t>
    </rPh>
    <rPh sb="4" eb="6">
      <t>チョウナイ</t>
    </rPh>
    <rPh sb="6" eb="7">
      <t>カイ</t>
    </rPh>
    <phoneticPr fontId="2"/>
  </si>
  <si>
    <t>有志の会　分担金</t>
    <phoneticPr fontId="2"/>
  </si>
  <si>
    <t>田浦観光協会　会費・分担金</t>
    <rPh sb="0" eb="2">
      <t>タウラ</t>
    </rPh>
    <rPh sb="2" eb="4">
      <t>カンコウ</t>
    </rPh>
    <rPh sb="4" eb="6">
      <t>キョウカイ</t>
    </rPh>
    <rPh sb="7" eb="9">
      <t>カイヒ</t>
    </rPh>
    <rPh sb="10" eb="13">
      <t>ブンタンキン</t>
    </rPh>
    <phoneticPr fontId="2"/>
  </si>
  <si>
    <t>田浦防犯協会 年会費</t>
    <rPh sb="0" eb="2">
      <t>タウラ</t>
    </rPh>
    <rPh sb="2" eb="4">
      <t>ボウハン</t>
    </rPh>
    <rPh sb="4" eb="6">
      <t>キョウカイ</t>
    </rPh>
    <rPh sb="7" eb="10">
      <t>ネンカイヒ</t>
    </rPh>
    <phoneticPr fontId="2"/>
  </si>
  <si>
    <t>船越神社 維持管理費</t>
    <rPh sb="0" eb="2">
      <t>フナコシ</t>
    </rPh>
    <rPh sb="2" eb="4">
      <t>ジンジャ</t>
    </rPh>
    <rPh sb="5" eb="7">
      <t>イジ</t>
    </rPh>
    <rPh sb="7" eb="10">
      <t>カンリヒ</t>
    </rPh>
    <phoneticPr fontId="2"/>
  </si>
  <si>
    <t>(¥)</t>
    <phoneticPr fontId="19"/>
  </si>
  <si>
    <t xml:space="preserve"> 　　　　　　　　　　　　　　(年会費・分担金・行事参加費等)</t>
    <rPh sb="24" eb="26">
      <t>ギョウジ</t>
    </rPh>
    <phoneticPr fontId="2"/>
  </si>
  <si>
    <t>　　　　※参考　　　　　令和６年度　外郭団体への支出金</t>
    <rPh sb="5" eb="7">
      <t>サンコウ</t>
    </rPh>
    <rPh sb="12" eb="14">
      <t>レイワ</t>
    </rPh>
    <rPh sb="15" eb="17">
      <t>ネンド</t>
    </rPh>
    <rPh sb="18" eb="20">
      <t>ガイカク</t>
    </rPh>
    <rPh sb="20" eb="22">
      <t>ダンタイ</t>
    </rPh>
    <rPh sb="24" eb="26">
      <t>シシュツ</t>
    </rPh>
    <rPh sb="26" eb="27">
      <t>キン</t>
    </rPh>
    <phoneticPr fontId="2"/>
  </si>
  <si>
    <t>㊞</t>
    <phoneticPr fontId="2"/>
  </si>
  <si>
    <t>会　　計</t>
    <phoneticPr fontId="2"/>
  </si>
  <si>
    <t>町内会長</t>
    <phoneticPr fontId="2"/>
  </si>
  <si>
    <t>上記のとおり、一般会計収支決算報告をいたします。</t>
    <rPh sb="0" eb="2">
      <t>ジョウキ</t>
    </rPh>
    <rPh sb="7" eb="9">
      <t>イッパン</t>
    </rPh>
    <rPh sb="9" eb="11">
      <t>カイケイ</t>
    </rPh>
    <rPh sb="11" eb="13">
      <t>シュウシ</t>
    </rPh>
    <rPh sb="13" eb="15">
      <t>ケッサン</t>
    </rPh>
    <rPh sb="15" eb="17">
      <t>ホウコク</t>
    </rPh>
    <phoneticPr fontId="2"/>
  </si>
  <si>
    <t>予算に等しい</t>
    <phoneticPr fontId="2"/>
  </si>
  <si>
    <t>前年度決算時の繰越金であり、常に</t>
    <rPh sb="5" eb="6">
      <t>ジ</t>
    </rPh>
    <phoneticPr fontId="2"/>
  </si>
  <si>
    <r>
      <rPr>
        <b/>
        <sz val="14"/>
        <rFont val="ＭＳ Ｐゴシック"/>
        <family val="3"/>
        <charset val="128"/>
      </rPr>
      <t xml:space="preserve">令和７年　　　月　　  日	</t>
    </r>
    <phoneticPr fontId="2"/>
  </si>
  <si>
    <t>現金（212,114 円）会計　橋本岳　保管</t>
    <rPh sb="0" eb="2">
      <t xml:space="preserve">ゲンキン </t>
    </rPh>
    <rPh sb="11" eb="12">
      <t xml:space="preserve">エン </t>
    </rPh>
    <rPh sb="13" eb="15">
      <t xml:space="preserve">カイケイ </t>
    </rPh>
    <rPh sb="16" eb="18">
      <t xml:space="preserve">ハシモト </t>
    </rPh>
    <rPh sb="18" eb="19">
      <t xml:space="preserve">タケ </t>
    </rPh>
    <rPh sb="20" eb="22">
      <t xml:space="preserve">ホカン </t>
    </rPh>
    <phoneticPr fontId="2"/>
  </si>
  <si>
    <t>一般会計の次年度繰越金（713,196 円）の保管（内訳）</t>
    <rPh sb="0" eb="4">
      <t>イッパンカイケイ</t>
    </rPh>
    <rPh sb="5" eb="8">
      <t>ジネンド</t>
    </rPh>
    <rPh sb="8" eb="10">
      <t>クリコシ</t>
    </rPh>
    <rPh sb="10" eb="11">
      <t>キン</t>
    </rPh>
    <rPh sb="20" eb="21">
      <t xml:space="preserve">エン </t>
    </rPh>
    <rPh sb="22" eb="23">
      <t>ホカン</t>
    </rPh>
    <rPh sb="24" eb="26">
      <t xml:space="preserve">ウチワケ </t>
    </rPh>
    <phoneticPr fontId="2"/>
  </si>
  <si>
    <t>預金（501,082 円）湘南信用金庫田浦支店　（普）9091018　「駒寄町内会」名義</t>
    <rPh sb="0" eb="2">
      <t xml:space="preserve">ヨキン </t>
    </rPh>
    <rPh sb="11" eb="12">
      <t xml:space="preserve">エン </t>
    </rPh>
    <rPh sb="13" eb="15">
      <t>ショウナン</t>
    </rPh>
    <rPh sb="15" eb="17">
      <t>シンヨウ</t>
    </rPh>
    <rPh sb="17" eb="19">
      <t>キンコ</t>
    </rPh>
    <rPh sb="19" eb="21">
      <t>タウラ</t>
    </rPh>
    <rPh sb="21" eb="23">
      <t>シテン</t>
    </rPh>
    <rPh sb="25" eb="26">
      <t>アマネ</t>
    </rPh>
    <rPh sb="36" eb="37">
      <t>コマ</t>
    </rPh>
    <rPh sb="37" eb="38">
      <t>キ</t>
    </rPh>
    <rPh sb="38" eb="40">
      <t>チョウナイ</t>
    </rPh>
    <rPh sb="40" eb="41">
      <t>カイ</t>
    </rPh>
    <rPh sb="42" eb="44">
      <t>メイギ</t>
    </rPh>
    <phoneticPr fontId="2"/>
  </si>
  <si>
    <t>香典５件、祝儀１８件</t>
    <rPh sb="0" eb="2">
      <t>コウデン</t>
    </rPh>
    <rPh sb="3" eb="4">
      <t>ケン</t>
    </rPh>
    <rPh sb="5" eb="7">
      <t>シュウギ</t>
    </rPh>
    <rPh sb="9" eb="10">
      <t>ケン</t>
    </rPh>
    <phoneticPr fontId="2"/>
  </si>
  <si>
    <t>預金（501,082 円）湘南信用金庫田浦支店　（普）9091018　「駒寄町内会」名義</t>
    <rPh sb="0" eb="2">
      <t xml:space="preserve">ヨキン </t>
    </rPh>
    <rPh sb="11" eb="12">
      <t xml:space="preserve">エン </t>
    </rPh>
    <rPh sb="13" eb="15">
      <t>ショウナン</t>
    </rPh>
    <rPh sb="15" eb="17">
      <t>シンヨウ</t>
    </rPh>
    <rPh sb="17" eb="19">
      <t>キンコ</t>
    </rPh>
    <rPh sb="19" eb="21">
      <t>タウラ</t>
    </rPh>
    <rPh sb="21" eb="23">
      <t>シテン</t>
    </rPh>
    <rPh sb="25" eb="26">
      <t>フ</t>
    </rPh>
    <rPh sb="36" eb="37">
      <t>コマ</t>
    </rPh>
    <rPh sb="37" eb="38">
      <t>ヨ</t>
    </rPh>
    <rPh sb="38" eb="40">
      <t>チョウナイ</t>
    </rPh>
    <rPh sb="40" eb="41">
      <t>カイ</t>
    </rPh>
    <rPh sb="42" eb="44">
      <t>メイギ</t>
    </rPh>
    <phoneticPr fontId="2"/>
  </si>
  <si>
    <t>船越防火防災クラブ 分担金</t>
    <rPh sb="0" eb="2">
      <t>フナコシ</t>
    </rPh>
    <rPh sb="2" eb="4">
      <t>ボウカ</t>
    </rPh>
    <rPh sb="4" eb="6">
      <t>ボウサイ</t>
    </rPh>
    <rPh sb="10" eb="13">
      <t>ブンタンキン</t>
    </rPh>
    <phoneticPr fontId="2"/>
  </si>
  <si>
    <t>その他</t>
    <rPh sb="2" eb="3">
      <t>タ</t>
    </rPh>
    <phoneticPr fontId="2"/>
  </si>
  <si>
    <t>少年部活動費用</t>
    <rPh sb="0" eb="2">
      <t>ショウネン</t>
    </rPh>
    <rPh sb="2" eb="3">
      <t>ブ</t>
    </rPh>
    <rPh sb="3" eb="5">
      <t>カツドウ</t>
    </rPh>
    <rPh sb="5" eb="7">
      <t>ヒヨウ</t>
    </rPh>
    <phoneticPr fontId="2"/>
  </si>
  <si>
    <t>　会館補修費(借入)※除く利息</t>
    <rPh sb="1" eb="3">
      <t>カイカン</t>
    </rPh>
    <rPh sb="3" eb="5">
      <t>ホシュウ</t>
    </rPh>
    <rPh sb="5" eb="6">
      <t>ヒ</t>
    </rPh>
    <rPh sb="7" eb="9">
      <t>カリイレ</t>
    </rPh>
    <rPh sb="11" eb="12">
      <t>ノゾ</t>
    </rPh>
    <rPh sb="13" eb="15">
      <t>リソク</t>
    </rPh>
    <phoneticPr fontId="2"/>
  </si>
  <si>
    <t>　通知預金※含む利息</t>
    <rPh sb="1" eb="3">
      <t>ツウチ</t>
    </rPh>
    <rPh sb="3" eb="5">
      <t>ヨキン</t>
    </rPh>
    <rPh sb="8" eb="10">
      <t>リソク</t>
    </rPh>
    <phoneticPr fontId="2"/>
  </si>
  <si>
    <t>会館補修費(借入)の返済</t>
    <rPh sb="10" eb="12">
      <t>ヘンサイ</t>
    </rPh>
    <phoneticPr fontId="2"/>
  </si>
  <si>
    <t>通知預金</t>
    <rPh sb="0" eb="2">
      <t>ツウチ</t>
    </rPh>
    <rPh sb="2" eb="4">
      <t>ヨキン</t>
    </rPh>
    <phoneticPr fontId="2"/>
  </si>
  <si>
    <t>　普通預金利息</t>
    <rPh sb="1" eb="5">
      <t>フツウヨキン</t>
    </rPh>
    <rPh sb="5" eb="7">
      <t>リソク</t>
    </rPh>
    <phoneticPr fontId="2"/>
  </si>
  <si>
    <t>R5年度の未納分（25,500円）を含む</t>
    <rPh sb="2" eb="4">
      <t>ネンド</t>
    </rPh>
    <rPh sb="5" eb="7">
      <t>ミノウ</t>
    </rPh>
    <rPh sb="7" eb="8">
      <t>ブン</t>
    </rPh>
    <rPh sb="15" eb="16">
      <t>エン</t>
    </rPh>
    <rPh sb="18" eb="19">
      <t>フク</t>
    </rPh>
    <phoneticPr fontId="2"/>
  </si>
  <si>
    <t>会館工事時の貸倉庫代等</t>
    <rPh sb="0" eb="2">
      <t>カイカン</t>
    </rPh>
    <rPh sb="2" eb="4">
      <t>コウジ</t>
    </rPh>
    <rPh sb="4" eb="5">
      <t>ジ</t>
    </rPh>
    <rPh sb="6" eb="7">
      <t>カシ</t>
    </rPh>
    <rPh sb="7" eb="9">
      <t>ソウコ</t>
    </rPh>
    <rPh sb="9" eb="10">
      <t>ダイ</t>
    </rPh>
    <rPh sb="10" eb="11">
      <t>トウ</t>
    </rPh>
    <phoneticPr fontId="2"/>
  </si>
  <si>
    <t>4/14 新１年生を迎える会</t>
    <rPh sb="5" eb="6">
      <t>シン</t>
    </rPh>
    <rPh sb="7" eb="9">
      <t>ネンセイ</t>
    </rPh>
    <rPh sb="10" eb="11">
      <t>ムカ</t>
    </rPh>
    <rPh sb="13" eb="14">
      <t>カイ</t>
    </rPh>
    <phoneticPr fontId="2"/>
  </si>
  <si>
    <t>9/15 ボーリング、10/26 ハロウィン</t>
    <phoneticPr fontId="2"/>
  </si>
  <si>
    <t xml:space="preserve"> 5/12、6/9、9/8 ソフトボール</t>
    <phoneticPr fontId="2"/>
  </si>
  <si>
    <t xml:space="preserve"> 11/24 芋煮会</t>
    <rPh sb="7" eb="10">
      <t>イモニカイ</t>
    </rPh>
    <phoneticPr fontId="2"/>
  </si>
  <si>
    <t xml:space="preserve">  3/23 桜まつり</t>
    <rPh sb="7" eb="8">
      <t>サクラ</t>
    </rPh>
    <phoneticPr fontId="2"/>
  </si>
  <si>
    <t xml:space="preserve"> 10/6 健民運動会</t>
    <phoneticPr fontId="2"/>
  </si>
  <si>
    <t xml:space="preserve"> 12月25-30日、1月8-15日 夜警</t>
    <rPh sb="3" eb="4">
      <t>ガツ</t>
    </rPh>
    <rPh sb="9" eb="10">
      <t>ニチ</t>
    </rPh>
    <rPh sb="12" eb="13">
      <t>ガツ</t>
    </rPh>
    <rPh sb="17" eb="18">
      <t>ニチ</t>
    </rPh>
    <rPh sb="19" eb="21">
      <t xml:space="preserve">ヨウ ハンテン </t>
    </rPh>
    <phoneticPr fontId="2"/>
  </si>
  <si>
    <t xml:space="preserve"> 2/2（中止）防災訓練</t>
    <rPh sb="5" eb="7">
      <t>チュウシ</t>
    </rPh>
    <rPh sb="8" eb="10">
      <t>ボウサイ</t>
    </rPh>
    <rPh sb="10" eb="12">
      <t>クンレン</t>
    </rPh>
    <phoneticPr fontId="2"/>
  </si>
  <si>
    <t xml:space="preserve"> 9/16 敬老(75才以上)祝い 109名</t>
    <rPh sb="11" eb="12">
      <t>サイ</t>
    </rPh>
    <rPh sb="12" eb="14">
      <t>イジョウ</t>
    </rPh>
    <rPh sb="21" eb="22">
      <t>メイ</t>
    </rPh>
    <phoneticPr fontId="2"/>
  </si>
  <si>
    <t xml:space="preserve"> 1/13 はたちの祝い３名</t>
    <rPh sb="13" eb="14">
      <t>メイ</t>
    </rPh>
    <phoneticPr fontId="2"/>
  </si>
  <si>
    <t>　11/10 ファミリーフェスティバル</t>
    <phoneticPr fontId="2"/>
  </si>
  <si>
    <t>　11/24 芋煮会・ご祝儀</t>
    <rPh sb="7" eb="10">
      <t>イモニカイ</t>
    </rPh>
    <rPh sb="12" eb="14">
      <t>シュウギ</t>
    </rPh>
    <phoneticPr fontId="2"/>
  </si>
  <si>
    <t>　3/23 桜まつり</t>
    <rPh sb="6" eb="7">
      <t>サクラ</t>
    </rPh>
    <phoneticPr fontId="2"/>
  </si>
  <si>
    <t>大型ゴミ処分費、道路清掃・会館清掃（お茶代）等</t>
    <rPh sb="0" eb="2">
      <t>オオガタ</t>
    </rPh>
    <rPh sb="4" eb="6">
      <t>ショブン</t>
    </rPh>
    <rPh sb="6" eb="7">
      <t>ヒ</t>
    </rPh>
    <rPh sb="8" eb="10">
      <t>ドウロ</t>
    </rPh>
    <rPh sb="10" eb="12">
      <t>セイソウ</t>
    </rPh>
    <rPh sb="13" eb="15">
      <t>カイカン</t>
    </rPh>
    <rPh sb="15" eb="17">
      <t>セイソウ</t>
    </rPh>
    <rPh sb="19" eb="20">
      <t>チャ</t>
    </rPh>
    <rPh sb="20" eb="21">
      <t>ダイ</t>
    </rPh>
    <rPh sb="22" eb="23">
      <t>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</si>
</sst>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;&quot;△ &quot;#,##0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name val="ＭＳ Ｐゴシック"/>
      <family val="2"/>
      <charset val="128"/>
    </font>
    <font>
      <sz val="14"/>
      <name val="ＭＳ Ｐゴシック"/>
      <family val="2"/>
      <charset val="128"/>
    </font>
    <font>
      <sz val="16"/>
      <color theme="0"/>
      <name val="ＭＳ Ｐゴシック"/>
      <family val="3"/>
      <charset val="128"/>
    </font>
    <font>
      <sz val="11"/>
      <name val="ＭＳ Ｐゴシック"/>
      <family val="2"/>
      <charset val="128"/>
    </font>
    <font>
      <sz val="10"/>
      <color indexed="8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</cellStyleXfs>
  <cellXfs count="350">
    <xf numFmtId="0" fontId="0" fillId="0" borderId="0" xfId="0"/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5" xfId="0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3" fontId="5" fillId="0" borderId="7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76" fontId="7" fillId="0" borderId="10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right" vertical="center"/>
    </xf>
    <xf numFmtId="3" fontId="5" fillId="0" borderId="12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0" fillId="0" borderId="13" xfId="0" applyBorder="1" applyAlignment="1">
      <alignment horizontal="right" vertical="center"/>
    </xf>
    <xf numFmtId="3" fontId="5" fillId="0" borderId="14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6" fontId="5" fillId="0" borderId="8" xfId="0" applyNumberFormat="1" applyFont="1" applyBorder="1" applyAlignment="1">
      <alignment horizontal="right" vertical="center"/>
    </xf>
    <xf numFmtId="5" fontId="0" fillId="0" borderId="0" xfId="0" applyNumberFormat="1"/>
    <xf numFmtId="0" fontId="10" fillId="0" borderId="0" xfId="0" applyFont="1"/>
    <xf numFmtId="176" fontId="7" fillId="0" borderId="8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176" fontId="3" fillId="0" borderId="39" xfId="0" applyNumberFormat="1" applyFont="1" applyBorder="1" applyAlignment="1">
      <alignment vertical="center"/>
    </xf>
    <xf numFmtId="0" fontId="3" fillId="0" borderId="31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3" fontId="12" fillId="0" borderId="4" xfId="0" applyNumberFormat="1" applyFont="1" applyBorder="1" applyAlignment="1">
      <alignment horizontal="right" vertical="center"/>
    </xf>
    <xf numFmtId="3" fontId="12" fillId="0" borderId="2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3" fontId="12" fillId="0" borderId="3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76" fontId="3" fillId="0" borderId="9" xfId="0" applyNumberFormat="1" applyFont="1" applyBorder="1" applyAlignment="1">
      <alignment vertical="center"/>
    </xf>
    <xf numFmtId="176" fontId="3" fillId="0" borderId="16" xfId="0" applyNumberFormat="1" applyFont="1" applyBorder="1" applyAlignment="1">
      <alignment vertical="center"/>
    </xf>
    <xf numFmtId="3" fontId="7" fillId="0" borderId="15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176" fontId="3" fillId="0" borderId="18" xfId="0" applyNumberFormat="1" applyFont="1" applyBorder="1" applyAlignment="1">
      <alignment vertical="center"/>
    </xf>
    <xf numFmtId="176" fontId="3" fillId="0" borderId="17" xfId="0" applyNumberFormat="1" applyFont="1" applyBorder="1" applyAlignment="1">
      <alignment vertical="center"/>
    </xf>
    <xf numFmtId="3" fontId="5" fillId="0" borderId="8" xfId="0" applyNumberFormat="1" applyFont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3" fontId="0" fillId="0" borderId="20" xfId="0" applyNumberFormat="1" applyBorder="1" applyAlignment="1">
      <alignment horizontal="right" vertical="center"/>
    </xf>
    <xf numFmtId="176" fontId="0" fillId="0" borderId="22" xfId="0" applyNumberFormat="1" applyBorder="1" applyAlignment="1">
      <alignment horizontal="right" vertical="center"/>
    </xf>
    <xf numFmtId="3" fontId="0" fillId="0" borderId="23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8" fontId="13" fillId="0" borderId="27" xfId="1" applyFont="1" applyBorder="1" applyAlignment="1">
      <alignment horizontal="right" vertical="center"/>
    </xf>
    <xf numFmtId="38" fontId="14" fillId="0" borderId="26" xfId="1" applyFont="1" applyBorder="1" applyAlignment="1">
      <alignment horizontal="right" vertical="center"/>
    </xf>
    <xf numFmtId="38" fontId="13" fillId="0" borderId="43" xfId="1" applyFont="1" applyBorder="1" applyAlignment="1">
      <alignment horizontal="right" vertical="center"/>
    </xf>
    <xf numFmtId="38" fontId="7" fillId="0" borderId="43" xfId="1" applyFont="1" applyBorder="1" applyAlignment="1">
      <alignment horizontal="right" vertical="center"/>
    </xf>
    <xf numFmtId="38" fontId="13" fillId="0" borderId="2" xfId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8" fontId="5" fillId="0" borderId="8" xfId="2" applyFont="1" applyBorder="1" applyAlignment="1">
      <alignment horizontal="right" vertical="center"/>
    </xf>
    <xf numFmtId="176" fontId="7" fillId="0" borderId="8" xfId="2" applyNumberFormat="1" applyFont="1" applyBorder="1" applyAlignment="1">
      <alignment horizontal="right" vertical="center"/>
    </xf>
    <xf numFmtId="0" fontId="4" fillId="0" borderId="44" xfId="0" applyFont="1" applyBorder="1" applyAlignment="1">
      <alignment horizontal="left" vertical="center"/>
    </xf>
    <xf numFmtId="38" fontId="7" fillId="0" borderId="44" xfId="2" applyFont="1" applyBorder="1" applyAlignment="1">
      <alignment horizontal="right" vertical="center"/>
    </xf>
    <xf numFmtId="38" fontId="7" fillId="0" borderId="43" xfId="2" applyFont="1" applyBorder="1" applyAlignment="1">
      <alignment horizontal="right" vertical="center"/>
    </xf>
    <xf numFmtId="176" fontId="7" fillId="0" borderId="44" xfId="2" applyNumberFormat="1" applyFont="1" applyBorder="1" applyAlignment="1">
      <alignment horizontal="right" vertical="center"/>
    </xf>
    <xf numFmtId="38" fontId="7" fillId="0" borderId="22" xfId="2" applyFont="1" applyBorder="1" applyAlignment="1">
      <alignment horizontal="right" vertical="center"/>
    </xf>
    <xf numFmtId="176" fontId="7" fillId="0" borderId="4" xfId="2" applyNumberFormat="1" applyFont="1" applyBorder="1" applyAlignment="1">
      <alignment horizontal="right" vertical="center"/>
    </xf>
    <xf numFmtId="38" fontId="7" fillId="0" borderId="2" xfId="2" applyFont="1" applyBorder="1" applyAlignment="1">
      <alignment horizontal="right" vertical="center"/>
    </xf>
    <xf numFmtId="38" fontId="12" fillId="0" borderId="13" xfId="2" applyFont="1" applyBorder="1" applyAlignment="1">
      <alignment horizontal="right" vertical="center"/>
    </xf>
    <xf numFmtId="38" fontId="1" fillId="0" borderId="22" xfId="2" applyFont="1" applyBorder="1" applyAlignment="1">
      <alignment horizontal="right" vertical="center"/>
    </xf>
    <xf numFmtId="176" fontId="7" fillId="0" borderId="22" xfId="2" applyNumberFormat="1" applyFont="1" applyBorder="1" applyAlignment="1">
      <alignment horizontal="right" vertical="center"/>
    </xf>
    <xf numFmtId="38" fontId="7" fillId="0" borderId="47" xfId="2" applyFont="1" applyBorder="1" applyAlignment="1">
      <alignment horizontal="right" vertical="center"/>
    </xf>
    <xf numFmtId="38" fontId="10" fillId="0" borderId="47" xfId="2" applyFont="1" applyBorder="1" applyAlignment="1">
      <alignment horizontal="right" vertical="center"/>
    </xf>
    <xf numFmtId="176" fontId="7" fillId="0" borderId="47" xfId="2" applyNumberFormat="1" applyFont="1" applyBorder="1" applyAlignment="1">
      <alignment horizontal="right" vertical="center"/>
    </xf>
    <xf numFmtId="38" fontId="7" fillId="0" borderId="48" xfId="2" applyFont="1" applyBorder="1" applyAlignment="1">
      <alignment horizontal="right" vertical="center"/>
    </xf>
    <xf numFmtId="38" fontId="10" fillId="0" borderId="48" xfId="2" applyFont="1" applyBorder="1" applyAlignment="1">
      <alignment horizontal="right" vertical="center"/>
    </xf>
    <xf numFmtId="176" fontId="7" fillId="0" borderId="48" xfId="2" applyNumberFormat="1" applyFont="1" applyBorder="1" applyAlignment="1">
      <alignment horizontal="right" vertical="center"/>
    </xf>
    <xf numFmtId="38" fontId="7" fillId="0" borderId="4" xfId="2" applyFont="1" applyBorder="1" applyAlignment="1">
      <alignment horizontal="right" vertical="center"/>
    </xf>
    <xf numFmtId="38" fontId="10" fillId="0" borderId="4" xfId="2" applyFont="1" applyBorder="1" applyAlignment="1">
      <alignment horizontal="right" vertical="center"/>
    </xf>
    <xf numFmtId="176" fontId="7" fillId="0" borderId="2" xfId="2" applyNumberFormat="1" applyFont="1" applyBorder="1" applyAlignment="1">
      <alignment horizontal="right" vertical="center"/>
    </xf>
    <xf numFmtId="38" fontId="7" fillId="0" borderId="3" xfId="2" applyFont="1" applyBorder="1" applyAlignment="1">
      <alignment horizontal="right" vertical="center"/>
    </xf>
    <xf numFmtId="38" fontId="10" fillId="0" borderId="3" xfId="2" applyFont="1" applyBorder="1" applyAlignment="1">
      <alignment horizontal="right" vertical="center"/>
    </xf>
    <xf numFmtId="176" fontId="7" fillId="0" borderId="3" xfId="2" applyNumberFormat="1" applyFont="1" applyBorder="1" applyAlignment="1">
      <alignment horizontal="right" vertical="center"/>
    </xf>
    <xf numFmtId="38" fontId="5" fillId="0" borderId="50" xfId="2" applyFont="1" applyBorder="1" applyAlignment="1">
      <alignment horizontal="right" vertical="center"/>
    </xf>
    <xf numFmtId="176" fontId="7" fillId="0" borderId="50" xfId="2" applyNumberFormat="1" applyFont="1" applyBorder="1" applyAlignment="1">
      <alignment horizontal="right" vertical="center"/>
    </xf>
    <xf numFmtId="38" fontId="7" fillId="0" borderId="30" xfId="2" applyFont="1" applyBorder="1" applyAlignment="1">
      <alignment horizontal="right" vertical="center"/>
    </xf>
    <xf numFmtId="38" fontId="10" fillId="0" borderId="30" xfId="2" applyFont="1" applyBorder="1" applyAlignment="1">
      <alignment horizontal="right" vertical="center"/>
    </xf>
    <xf numFmtId="176" fontId="7" fillId="0" borderId="30" xfId="2" applyNumberFormat="1" applyFont="1" applyBorder="1" applyAlignment="1">
      <alignment horizontal="right" vertical="center"/>
    </xf>
    <xf numFmtId="176" fontId="5" fillId="0" borderId="8" xfId="2" applyNumberFormat="1" applyFont="1" applyBorder="1" applyAlignment="1">
      <alignment horizontal="right" vertical="center"/>
    </xf>
    <xf numFmtId="0" fontId="4" fillId="0" borderId="43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38" fontId="1" fillId="0" borderId="44" xfId="2" applyFont="1" applyBorder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38" fontId="5" fillId="0" borderId="1" xfId="2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38" fontId="5" fillId="0" borderId="1" xfId="2" applyFont="1" applyBorder="1" applyAlignment="1">
      <alignment horizontal="right"/>
    </xf>
    <xf numFmtId="0" fontId="0" fillId="0" borderId="0" xfId="0" applyAlignment="1">
      <alignment horizontal="right"/>
    </xf>
    <xf numFmtId="38" fontId="0" fillId="0" borderId="0" xfId="0" applyNumberFormat="1"/>
    <xf numFmtId="0" fontId="4" fillId="0" borderId="46" xfId="0" applyFont="1" applyBorder="1" applyAlignment="1">
      <alignment horizontal="left" vertical="center"/>
    </xf>
    <xf numFmtId="38" fontId="7" fillId="0" borderId="44" xfId="2" applyFont="1" applyFill="1" applyBorder="1" applyAlignment="1">
      <alignment horizontal="right" vertical="center"/>
    </xf>
    <xf numFmtId="38" fontId="7" fillId="0" borderId="43" xfId="2" applyFont="1" applyFill="1" applyBorder="1" applyAlignment="1">
      <alignment horizontal="right" vertical="center"/>
    </xf>
    <xf numFmtId="176" fontId="7" fillId="0" borderId="44" xfId="2" applyNumberFormat="1" applyFont="1" applyFill="1" applyBorder="1" applyAlignment="1">
      <alignment horizontal="right" vertical="center"/>
    </xf>
    <xf numFmtId="38" fontId="1" fillId="0" borderId="22" xfId="2" applyFont="1" applyFill="1" applyBorder="1" applyAlignment="1">
      <alignment horizontal="right" vertical="center"/>
    </xf>
    <xf numFmtId="0" fontId="13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16" fillId="0" borderId="0" xfId="0" applyFont="1" applyAlignment="1">
      <alignment vertical="center"/>
    </xf>
    <xf numFmtId="3" fontId="4" fillId="0" borderId="18" xfId="0" applyNumberFormat="1" applyFont="1" applyBorder="1" applyAlignment="1">
      <alignment vertical="center"/>
    </xf>
    <xf numFmtId="3" fontId="4" fillId="0" borderId="17" xfId="0" applyNumberFormat="1" applyFont="1" applyBorder="1" applyAlignment="1">
      <alignment vertical="center"/>
    </xf>
    <xf numFmtId="176" fontId="4" fillId="0" borderId="18" xfId="0" applyNumberFormat="1" applyFont="1" applyBorder="1" applyAlignment="1">
      <alignment vertical="center"/>
    </xf>
    <xf numFmtId="176" fontId="4" fillId="0" borderId="17" xfId="0" applyNumberFormat="1" applyFont="1" applyBorder="1" applyAlignment="1">
      <alignment vertical="center"/>
    </xf>
    <xf numFmtId="38" fontId="18" fillId="0" borderId="57" xfId="2" applyFont="1" applyBorder="1" applyAlignment="1">
      <alignment vertical="center"/>
    </xf>
    <xf numFmtId="38" fontId="18" fillId="0" borderId="0" xfId="2" applyFont="1" applyBorder="1" applyAlignment="1">
      <alignment horizontal="right" vertical="center"/>
    </xf>
    <xf numFmtId="38" fontId="18" fillId="0" borderId="0" xfId="2" applyFont="1" applyBorder="1" applyAlignment="1">
      <alignment horizontal="center" vertical="center"/>
    </xf>
    <xf numFmtId="38" fontId="5" fillId="0" borderId="58" xfId="2" applyFont="1" applyBorder="1" applyAlignment="1">
      <alignment vertical="center"/>
    </xf>
    <xf numFmtId="38" fontId="5" fillId="0" borderId="58" xfId="2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62" xfId="0" applyFont="1" applyBorder="1" applyAlignment="1">
      <alignment horizontal="right" vertical="center"/>
    </xf>
    <xf numFmtId="0" fontId="5" fillId="0" borderId="62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38" fontId="1" fillId="0" borderId="2" xfId="2" applyFont="1" applyFill="1" applyBorder="1" applyAlignment="1">
      <alignment horizontal="right" vertical="center"/>
    </xf>
    <xf numFmtId="176" fontId="7" fillId="0" borderId="2" xfId="2" applyNumberFormat="1" applyFont="1" applyFill="1" applyBorder="1" applyAlignment="1">
      <alignment horizontal="right" vertical="center"/>
    </xf>
    <xf numFmtId="58" fontId="5" fillId="0" borderId="0" xfId="0" quotePrefix="1" applyNumberFormat="1" applyFont="1" applyAlignment="1">
      <alignment vertical="center"/>
    </xf>
    <xf numFmtId="58" fontId="5" fillId="0" borderId="0" xfId="0" applyNumberFormat="1" applyFont="1" applyAlignment="1">
      <alignment vertical="center"/>
    </xf>
    <xf numFmtId="0" fontId="0" fillId="0" borderId="31" xfId="0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38" fontId="1" fillId="0" borderId="2" xfId="2" applyFont="1" applyBorder="1" applyAlignment="1">
      <alignment horizontal="right" vertical="center"/>
    </xf>
    <xf numFmtId="0" fontId="17" fillId="0" borderId="40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3" fontId="4" fillId="0" borderId="39" xfId="0" applyNumberFormat="1" applyFont="1" applyBorder="1" applyAlignment="1">
      <alignment vertical="center"/>
    </xf>
    <xf numFmtId="38" fontId="7" fillId="0" borderId="63" xfId="2" applyFont="1" applyBorder="1" applyAlignment="1">
      <alignment horizontal="right" vertical="center"/>
    </xf>
    <xf numFmtId="38" fontId="1" fillId="0" borderId="63" xfId="2" applyFont="1" applyBorder="1" applyAlignment="1">
      <alignment horizontal="right" vertical="center"/>
    </xf>
    <xf numFmtId="176" fontId="7" fillId="0" borderId="63" xfId="2" applyNumberFormat="1" applyFont="1" applyBorder="1" applyAlignment="1">
      <alignment horizontal="right" vertical="center"/>
    </xf>
    <xf numFmtId="176" fontId="4" fillId="0" borderId="39" xfId="0" applyNumberFormat="1" applyFont="1" applyBorder="1" applyAlignment="1">
      <alignment vertical="center"/>
    </xf>
    <xf numFmtId="3" fontId="7" fillId="0" borderId="38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176" fontId="7" fillId="0" borderId="13" xfId="0" applyNumberFormat="1" applyFont="1" applyBorder="1" applyAlignment="1">
      <alignment horizontal="right" vertical="center"/>
    </xf>
    <xf numFmtId="176" fontId="7" fillId="0" borderId="37" xfId="0" applyNumberFormat="1" applyFont="1" applyBorder="1" applyAlignment="1">
      <alignment horizontal="right" vertical="center"/>
    </xf>
    <xf numFmtId="176" fontId="5" fillId="0" borderId="51" xfId="2" applyNumberFormat="1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0" borderId="52" xfId="0" applyFont="1" applyBorder="1" applyAlignment="1">
      <alignment horizontal="left" vertical="center"/>
    </xf>
    <xf numFmtId="176" fontId="4" fillId="0" borderId="53" xfId="0" applyNumberFormat="1" applyFont="1" applyBorder="1" applyAlignment="1">
      <alignment vertical="center"/>
    </xf>
    <xf numFmtId="176" fontId="4" fillId="0" borderId="19" xfId="0" applyNumberFormat="1" applyFont="1" applyBorder="1" applyAlignment="1">
      <alignment vertical="center"/>
    </xf>
    <xf numFmtId="0" fontId="7" fillId="0" borderId="42" xfId="0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/>
    </xf>
    <xf numFmtId="38" fontId="5" fillId="0" borderId="48" xfId="2" applyFont="1" applyBorder="1" applyAlignment="1">
      <alignment horizontal="right" vertical="center"/>
    </xf>
    <xf numFmtId="176" fontId="5" fillId="0" borderId="48" xfId="2" applyNumberFormat="1" applyFont="1" applyBorder="1" applyAlignment="1">
      <alignment horizontal="righ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38" fontId="5" fillId="0" borderId="3" xfId="2" applyFont="1" applyBorder="1" applyAlignment="1">
      <alignment horizontal="right" vertical="center"/>
    </xf>
    <xf numFmtId="176" fontId="5" fillId="0" borderId="3" xfId="2" applyNumberFormat="1" applyFont="1" applyBorder="1" applyAlignment="1">
      <alignment horizontal="right" vertical="center"/>
    </xf>
    <xf numFmtId="38" fontId="11" fillId="0" borderId="48" xfId="2" applyFont="1" applyBorder="1" applyAlignment="1">
      <alignment horizontal="right" vertical="center"/>
    </xf>
    <xf numFmtId="38" fontId="7" fillId="0" borderId="25" xfId="2" applyFont="1" applyBorder="1" applyAlignment="1">
      <alignment horizontal="right" vertical="center"/>
    </xf>
    <xf numFmtId="38" fontId="1" fillId="0" borderId="25" xfId="2" applyFont="1" applyBorder="1" applyAlignment="1">
      <alignment horizontal="right" vertical="center"/>
    </xf>
    <xf numFmtId="176" fontId="7" fillId="0" borderId="25" xfId="2" applyNumberFormat="1" applyFont="1" applyBorder="1" applyAlignment="1">
      <alignment horizontal="right" vertical="center"/>
    </xf>
    <xf numFmtId="176" fontId="3" fillId="2" borderId="34" xfId="0" applyNumberFormat="1" applyFont="1" applyFill="1" applyBorder="1" applyAlignment="1">
      <alignment vertical="center"/>
    </xf>
    <xf numFmtId="176" fontId="3" fillId="2" borderId="35" xfId="0" applyNumberFormat="1" applyFont="1" applyFill="1" applyBorder="1" applyAlignment="1">
      <alignment vertical="center"/>
    </xf>
    <xf numFmtId="176" fontId="3" fillId="2" borderId="19" xfId="0" applyNumberFormat="1" applyFont="1" applyFill="1" applyBorder="1" applyAlignment="1">
      <alignment vertical="center"/>
    </xf>
    <xf numFmtId="176" fontId="4" fillId="2" borderId="34" xfId="0" applyNumberFormat="1" applyFont="1" applyFill="1" applyBorder="1" applyAlignment="1">
      <alignment vertical="center"/>
    </xf>
    <xf numFmtId="176" fontId="4" fillId="2" borderId="39" xfId="0" applyNumberFormat="1" applyFont="1" applyFill="1" applyBorder="1" applyAlignment="1">
      <alignment vertical="center"/>
    </xf>
    <xf numFmtId="176" fontId="4" fillId="2" borderId="35" xfId="0" applyNumberFormat="1" applyFont="1" applyFill="1" applyBorder="1" applyAlignment="1">
      <alignment vertical="center"/>
    </xf>
    <xf numFmtId="176" fontId="4" fillId="2" borderId="49" xfId="0" applyNumberFormat="1" applyFont="1" applyFill="1" applyBorder="1" applyAlignment="1">
      <alignment vertical="center"/>
    </xf>
    <xf numFmtId="176" fontId="4" fillId="2" borderId="19" xfId="0" applyNumberFormat="1" applyFont="1" applyFill="1" applyBorder="1" applyAlignment="1">
      <alignment vertical="center"/>
    </xf>
    <xf numFmtId="0" fontId="3" fillId="0" borderId="20" xfId="0" quotePrefix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2" borderId="28" xfId="0" quotePrefix="1" applyFont="1" applyFill="1" applyBorder="1" applyAlignment="1">
      <alignment horizontal="right" vertical="center"/>
    </xf>
    <xf numFmtId="0" fontId="3" fillId="2" borderId="29" xfId="0" applyFont="1" applyFill="1" applyBorder="1" applyAlignment="1">
      <alignment horizontal="right" vertical="center"/>
    </xf>
    <xf numFmtId="0" fontId="3" fillId="2" borderId="13" xfId="0" quotePrefix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0" borderId="1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2" borderId="33" xfId="0" quotePrefix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" fillId="0" borderId="37" xfId="0" quotePrefix="1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20" xfId="0" quotePrefix="1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2" borderId="33" xfId="0" quotePrefix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0" borderId="15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2" borderId="40" xfId="0" quotePrefix="1" applyFont="1" applyFill="1" applyBorder="1" applyAlignment="1">
      <alignment horizontal="right" vertical="center"/>
    </xf>
    <xf numFmtId="0" fontId="4" fillId="2" borderId="41" xfId="0" applyFont="1" applyFill="1" applyBorder="1" applyAlignment="1">
      <alignment horizontal="right" vertical="center"/>
    </xf>
    <xf numFmtId="0" fontId="4" fillId="0" borderId="3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2" borderId="13" xfId="0" quotePrefix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17" fillId="0" borderId="40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4" fillId="2" borderId="54" xfId="0" quotePrefix="1" applyFont="1" applyFill="1" applyBorder="1" applyAlignment="1">
      <alignment horizontal="right" vertical="center"/>
    </xf>
    <xf numFmtId="0" fontId="4" fillId="2" borderId="55" xfId="0" applyFont="1" applyFill="1" applyBorder="1" applyAlignment="1">
      <alignment horizontal="right" vertical="center"/>
    </xf>
    <xf numFmtId="0" fontId="17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3" fontId="17" fillId="0" borderId="23" xfId="0" applyNumberFormat="1" applyFont="1" applyBorder="1" applyAlignment="1">
      <alignment horizontal="center" vertical="center"/>
    </xf>
    <xf numFmtId="3" fontId="17" fillId="0" borderId="24" xfId="0" applyNumberFormat="1" applyFont="1" applyBorder="1" applyAlignment="1">
      <alignment horizontal="center" vertical="center"/>
    </xf>
    <xf numFmtId="3" fontId="17" fillId="0" borderId="18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4" fillId="2" borderId="28" xfId="0" quotePrefix="1" applyFont="1" applyFill="1" applyBorder="1" applyAlignment="1">
      <alignment horizontal="right" vertical="center"/>
    </xf>
    <xf numFmtId="0" fontId="4" fillId="2" borderId="29" xfId="0" applyFont="1" applyFill="1" applyBorder="1" applyAlignment="1">
      <alignment horizontal="right" vertical="center"/>
    </xf>
    <xf numFmtId="0" fontId="17" fillId="0" borderId="7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3" fontId="17" fillId="0" borderId="43" xfId="0" applyNumberFormat="1" applyFont="1" applyBorder="1" applyAlignment="1">
      <alignment horizontal="left" vertical="center"/>
    </xf>
    <xf numFmtId="3" fontId="17" fillId="0" borderId="45" xfId="0" applyNumberFormat="1" applyFont="1" applyBorder="1" applyAlignment="1">
      <alignment horizontal="left" vertical="center"/>
    </xf>
    <xf numFmtId="3" fontId="17" fillId="0" borderId="46" xfId="0" applyNumberFormat="1" applyFont="1" applyBorder="1" applyAlignment="1">
      <alignment horizontal="left" vertical="center"/>
    </xf>
    <xf numFmtId="3" fontId="17" fillId="0" borderId="20" xfId="0" applyNumberFormat="1" applyFont="1" applyBorder="1" applyAlignment="1">
      <alignment horizontal="left" vertical="center"/>
    </xf>
    <xf numFmtId="3" fontId="17" fillId="0" borderId="21" xfId="0" applyNumberFormat="1" applyFont="1" applyBorder="1" applyAlignment="1">
      <alignment horizontal="left" vertical="center"/>
    </xf>
    <xf numFmtId="3" fontId="17" fillId="0" borderId="17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3" fontId="17" fillId="0" borderId="7" xfId="0" applyNumberFormat="1" applyFont="1" applyBorder="1" applyAlignment="1">
      <alignment horizontal="center" vertical="center"/>
    </xf>
    <xf numFmtId="3" fontId="17" fillId="0" borderId="32" xfId="0" applyNumberFormat="1" applyFont="1" applyBorder="1" applyAlignment="1">
      <alignment horizontal="center" vertical="center"/>
    </xf>
    <xf numFmtId="3" fontId="17" fillId="0" borderId="9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left" vertical="center"/>
    </xf>
    <xf numFmtId="0" fontId="7" fillId="0" borderId="53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17" fillId="0" borderId="44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5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38" fontId="18" fillId="0" borderId="61" xfId="2" applyFont="1" applyBorder="1" applyAlignment="1">
      <alignment horizontal="left" vertical="center" indent="1"/>
    </xf>
    <xf numFmtId="38" fontId="18" fillId="0" borderId="60" xfId="2" applyFont="1" applyBorder="1" applyAlignment="1">
      <alignment horizontal="left" vertical="center" indent="1"/>
    </xf>
    <xf numFmtId="38" fontId="18" fillId="0" borderId="59" xfId="2" applyFont="1" applyBorder="1" applyAlignment="1">
      <alignment horizontal="left" vertical="center" indent="1"/>
    </xf>
    <xf numFmtId="0" fontId="0" fillId="0" borderId="42" xfId="0" applyBorder="1" applyAlignment="1">
      <alignment horizontal="left" vertical="center"/>
    </xf>
    <xf numFmtId="0" fontId="1" fillId="0" borderId="64" xfId="0" applyFont="1" applyBorder="1" applyAlignment="1">
      <alignment horizontal="left" vertical="center"/>
    </xf>
    <xf numFmtId="38" fontId="13" fillId="0" borderId="15" xfId="1" applyFont="1" applyBorder="1" applyAlignment="1">
      <alignment horizontal="right" vertical="center"/>
    </xf>
    <xf numFmtId="3" fontId="0" fillId="0" borderId="42" xfId="0" applyNumberFormat="1" applyBorder="1" applyAlignment="1">
      <alignment horizontal="right" vertical="center"/>
    </xf>
    <xf numFmtId="176" fontId="0" fillId="0" borderId="48" xfId="0" applyNumberFormat="1" applyBorder="1" applyAlignment="1">
      <alignment horizontal="right" vertical="center"/>
    </xf>
    <xf numFmtId="0" fontId="1" fillId="0" borderId="27" xfId="0" applyFont="1" applyBorder="1" applyAlignment="1">
      <alignment horizontal="left" vertical="center"/>
    </xf>
    <xf numFmtId="3" fontId="0" fillId="0" borderId="31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0" fontId="0" fillId="0" borderId="33" xfId="0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3" fontId="0" fillId="0" borderId="5" xfId="0" applyNumberFormat="1" applyBorder="1" applyAlignment="1">
      <alignment horizontal="right" vertical="center"/>
    </xf>
    <xf numFmtId="3" fontId="10" fillId="0" borderId="33" xfId="0" applyNumberFormat="1" applyFon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</cellXfs>
  <cellStyles count="3">
    <cellStyle name="桁区切り" xfId="1" builtinId="6"/>
    <cellStyle name="桁区切り 2" xfId="2" xr:uid="{1E90B7A7-D375-42CC-8288-254AD17EC04D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view="pageBreakPreview" topLeftCell="A9" zoomScale="90" zoomScaleNormal="122" zoomScaleSheetLayoutView="90" workbookViewId="0">
      <selection activeCell="N41" sqref="N41"/>
    </sheetView>
  </sheetViews>
  <sheetFormatPr defaultColWidth="8.875" defaultRowHeight="13.5" x14ac:dyDescent="0.15"/>
  <cols>
    <col min="1" max="1" width="8.875" customWidth="1"/>
    <col min="2" max="4" width="13.125" customWidth="1"/>
    <col min="5" max="5" width="15.125" bestFit="1" customWidth="1"/>
    <col min="6" max="6" width="10.875" customWidth="1"/>
    <col min="7" max="7" width="11" customWidth="1"/>
    <col min="8" max="8" width="8.375" customWidth="1"/>
  </cols>
  <sheetData>
    <row r="1" spans="1:10" ht="23.25" customHeight="1" x14ac:dyDescent="0.15">
      <c r="A1" s="226" t="s">
        <v>27</v>
      </c>
      <c r="B1" s="226"/>
      <c r="C1" s="226"/>
      <c r="D1" s="226"/>
      <c r="E1" s="226"/>
      <c r="F1" s="226"/>
      <c r="G1" s="226"/>
      <c r="H1" s="226"/>
    </row>
    <row r="2" spans="1:10" ht="18" customHeight="1" x14ac:dyDescent="0.15">
      <c r="A2" s="1"/>
      <c r="B2" s="1"/>
      <c r="C2" s="1"/>
      <c r="D2" s="18"/>
      <c r="E2" s="1"/>
      <c r="F2" s="1"/>
      <c r="G2" s="1"/>
      <c r="H2" s="1"/>
    </row>
    <row r="3" spans="1:10" ht="18" customHeight="1" x14ac:dyDescent="0.15">
      <c r="A3" s="230" t="s">
        <v>22</v>
      </c>
      <c r="B3" s="230"/>
      <c r="C3" s="230"/>
      <c r="D3" s="230"/>
      <c r="E3" s="230"/>
      <c r="F3" s="230"/>
      <c r="G3" s="230"/>
      <c r="H3" s="230"/>
    </row>
    <row r="4" spans="1:10" ht="18" customHeight="1" x14ac:dyDescent="0.15">
      <c r="A4" s="231" t="s">
        <v>18</v>
      </c>
      <c r="B4" s="231"/>
      <c r="C4" s="1"/>
      <c r="D4" s="1"/>
      <c r="E4" s="1"/>
      <c r="F4" s="1"/>
      <c r="G4" s="1"/>
      <c r="H4" s="1"/>
    </row>
    <row r="5" spans="1:10" ht="18" customHeight="1" thickBot="1" x14ac:dyDescent="0.2">
      <c r="A5" s="1" t="s">
        <v>6</v>
      </c>
      <c r="G5" s="227" t="s">
        <v>10</v>
      </c>
      <c r="H5" s="227"/>
    </row>
    <row r="6" spans="1:10" ht="18" customHeight="1" thickBot="1" x14ac:dyDescent="0.2">
      <c r="A6" s="234" t="s">
        <v>0</v>
      </c>
      <c r="B6" s="234"/>
      <c r="C6" s="7" t="s">
        <v>1</v>
      </c>
      <c r="D6" s="43" t="s">
        <v>12</v>
      </c>
      <c r="E6" s="7" t="s">
        <v>5</v>
      </c>
      <c r="F6" s="234" t="s">
        <v>2</v>
      </c>
      <c r="G6" s="234"/>
      <c r="H6" s="234"/>
    </row>
    <row r="7" spans="1:10" ht="18" customHeight="1" x14ac:dyDescent="0.15">
      <c r="A7" s="235" t="s">
        <v>3</v>
      </c>
      <c r="B7" s="236"/>
      <c r="C7" s="8">
        <v>684000</v>
      </c>
      <c r="D7" s="8">
        <f>SUM(H7:H11)</f>
        <v>665700</v>
      </c>
      <c r="E7" s="23">
        <f>D7-C7</f>
        <v>-18300</v>
      </c>
      <c r="F7" s="240" t="s">
        <v>28</v>
      </c>
      <c r="G7" s="241"/>
      <c r="H7" s="44">
        <f>185*12*300</f>
        <v>666000</v>
      </c>
    </row>
    <row r="8" spans="1:10" ht="18" customHeight="1" x14ac:dyDescent="0.15">
      <c r="A8" s="191"/>
      <c r="B8" s="192"/>
      <c r="C8" s="3"/>
      <c r="D8" s="36"/>
      <c r="E8" s="4"/>
      <c r="F8" s="232" t="s">
        <v>29</v>
      </c>
      <c r="G8" s="233"/>
      <c r="H8" s="45">
        <v>-1200</v>
      </c>
    </row>
    <row r="9" spans="1:10" ht="18" customHeight="1" x14ac:dyDescent="0.15">
      <c r="A9" s="191"/>
      <c r="B9" s="192"/>
      <c r="C9" s="3"/>
      <c r="D9" s="36"/>
      <c r="E9" s="4"/>
      <c r="F9" s="187" t="s">
        <v>25</v>
      </c>
      <c r="G9" s="188"/>
      <c r="H9" s="49">
        <v>600</v>
      </c>
    </row>
    <row r="10" spans="1:10" ht="18" customHeight="1" x14ac:dyDescent="0.15">
      <c r="A10" s="191"/>
      <c r="B10" s="192"/>
      <c r="C10" s="3"/>
      <c r="D10" s="36"/>
      <c r="E10" s="4"/>
      <c r="F10" s="187" t="s">
        <v>30</v>
      </c>
      <c r="G10" s="188"/>
      <c r="H10" s="49">
        <v>300</v>
      </c>
    </row>
    <row r="11" spans="1:10" ht="18" customHeight="1" x14ac:dyDescent="0.15">
      <c r="A11" s="191"/>
      <c r="B11" s="192"/>
      <c r="C11" s="3"/>
      <c r="D11" s="36"/>
      <c r="E11" s="4"/>
      <c r="F11" s="187"/>
      <c r="G11" s="188"/>
      <c r="H11" s="49"/>
    </row>
    <row r="12" spans="1:10" ht="18" customHeight="1" thickBot="1" x14ac:dyDescent="0.2">
      <c r="A12" s="228"/>
      <c r="B12" s="229"/>
      <c r="C12" s="5"/>
      <c r="D12" s="37"/>
      <c r="E12" s="6"/>
      <c r="F12" s="222" t="s">
        <v>31</v>
      </c>
      <c r="G12" s="223"/>
      <c r="H12" s="179">
        <v>676200</v>
      </c>
    </row>
    <row r="13" spans="1:10" ht="18" customHeight="1" x14ac:dyDescent="0.15">
      <c r="A13" s="237" t="s">
        <v>4</v>
      </c>
      <c r="B13" s="237"/>
      <c r="C13" s="8">
        <f>C14+C16+C18</f>
        <v>4679000</v>
      </c>
      <c r="D13" s="50">
        <f>D14+D16+D18</f>
        <v>5311670</v>
      </c>
      <c r="E13" s="9">
        <f>E14+E16+E18</f>
        <v>632670</v>
      </c>
      <c r="F13" s="248"/>
      <c r="G13" s="249"/>
      <c r="H13" s="35"/>
    </row>
    <row r="14" spans="1:10" ht="18" customHeight="1" x14ac:dyDescent="0.15">
      <c r="A14" s="193" t="s">
        <v>7</v>
      </c>
      <c r="B14" s="194"/>
      <c r="C14" s="156">
        <v>319000</v>
      </c>
      <c r="D14" s="46">
        <f>H14</f>
        <v>319000</v>
      </c>
      <c r="E14" s="157">
        <f>D14-C14</f>
        <v>0</v>
      </c>
      <c r="F14" s="238" t="s">
        <v>73</v>
      </c>
      <c r="G14" s="239"/>
      <c r="H14" s="49">
        <v>319000</v>
      </c>
      <c r="J14" s="24"/>
    </row>
    <row r="15" spans="1:10" ht="18" customHeight="1" x14ac:dyDescent="0.15">
      <c r="A15" s="195"/>
      <c r="B15" s="196"/>
      <c r="C15" s="13"/>
      <c r="D15" s="38"/>
      <c r="E15" s="158"/>
      <c r="F15" s="201" t="s">
        <v>31</v>
      </c>
      <c r="G15" s="202"/>
      <c r="H15" s="180">
        <v>319000</v>
      </c>
    </row>
    <row r="16" spans="1:10" ht="18" customHeight="1" x14ac:dyDescent="0.15">
      <c r="A16" s="193" t="s">
        <v>32</v>
      </c>
      <c r="B16" s="194"/>
      <c r="C16" s="156">
        <v>120000</v>
      </c>
      <c r="D16" s="46">
        <f>H16</f>
        <v>263730</v>
      </c>
      <c r="E16" s="159">
        <f>D16-C16</f>
        <v>143730</v>
      </c>
      <c r="F16" s="238" t="s">
        <v>72</v>
      </c>
      <c r="G16" s="239"/>
      <c r="H16" s="49">
        <v>263730</v>
      </c>
    </row>
    <row r="17" spans="1:9" ht="18" customHeight="1" x14ac:dyDescent="0.15">
      <c r="A17" s="195"/>
      <c r="B17" s="196"/>
      <c r="C17" s="13"/>
      <c r="D17" s="38"/>
      <c r="E17" s="11"/>
      <c r="F17" s="201" t="s">
        <v>31</v>
      </c>
      <c r="G17" s="202"/>
      <c r="H17" s="180">
        <v>113400</v>
      </c>
    </row>
    <row r="18" spans="1:9" ht="18" customHeight="1" x14ac:dyDescent="0.15">
      <c r="A18" s="197" t="s">
        <v>33</v>
      </c>
      <c r="B18" s="198"/>
      <c r="C18" s="59">
        <v>4240000</v>
      </c>
      <c r="D18" s="47">
        <f>SUM(H18:H23)</f>
        <v>4728940</v>
      </c>
      <c r="E18" s="10">
        <f>D18-C18</f>
        <v>488940</v>
      </c>
      <c r="F18" s="247" t="s">
        <v>24</v>
      </c>
      <c r="G18" s="188"/>
      <c r="H18" s="49">
        <f>26220*2</f>
        <v>52440</v>
      </c>
    </row>
    <row r="19" spans="1:9" ht="18" customHeight="1" x14ac:dyDescent="0.15">
      <c r="A19" s="32"/>
      <c r="B19" s="31"/>
      <c r="C19" s="12"/>
      <c r="D19" s="39"/>
      <c r="E19" s="10"/>
      <c r="F19" s="189" t="s">
        <v>23</v>
      </c>
      <c r="G19" s="190"/>
      <c r="H19" s="48">
        <f>33400*2</f>
        <v>66800</v>
      </c>
    </row>
    <row r="20" spans="1:9" ht="18" customHeight="1" x14ac:dyDescent="0.15">
      <c r="A20" s="197"/>
      <c r="B20" s="198"/>
      <c r="C20" s="3"/>
      <c r="D20" s="36"/>
      <c r="E20" s="4"/>
      <c r="F20" s="189" t="s">
        <v>20</v>
      </c>
      <c r="G20" s="190"/>
      <c r="H20" s="48">
        <v>83100</v>
      </c>
    </row>
    <row r="21" spans="1:9" ht="18" customHeight="1" x14ac:dyDescent="0.15">
      <c r="A21" s="197"/>
      <c r="B21" s="198"/>
      <c r="C21" s="3"/>
      <c r="D21" s="36"/>
      <c r="E21" s="4"/>
      <c r="F21" s="189" t="s">
        <v>74</v>
      </c>
      <c r="G21" s="190"/>
      <c r="H21" s="48">
        <v>29100</v>
      </c>
    </row>
    <row r="22" spans="1:9" ht="18" customHeight="1" x14ac:dyDescent="0.15">
      <c r="A22" s="34"/>
      <c r="B22" s="31"/>
      <c r="C22" s="3"/>
      <c r="D22" s="36"/>
      <c r="E22" s="4"/>
      <c r="F22" s="137" t="s">
        <v>21</v>
      </c>
      <c r="G22" s="138"/>
      <c r="H22" s="48">
        <v>0</v>
      </c>
    </row>
    <row r="23" spans="1:9" ht="18" customHeight="1" x14ac:dyDescent="0.15">
      <c r="A23" s="197"/>
      <c r="B23" s="198"/>
      <c r="C23" s="3"/>
      <c r="D23" s="36"/>
      <c r="E23" s="4"/>
      <c r="F23" s="189" t="s">
        <v>77</v>
      </c>
      <c r="G23" s="190"/>
      <c r="H23" s="48">
        <v>4497500</v>
      </c>
    </row>
    <row r="24" spans="1:9" ht="18" customHeight="1" thickBot="1" x14ac:dyDescent="0.2">
      <c r="A24" s="242"/>
      <c r="B24" s="243"/>
      <c r="C24" s="19"/>
      <c r="D24" s="40"/>
      <c r="E24" s="14"/>
      <c r="F24" s="199" t="s">
        <v>31</v>
      </c>
      <c r="G24" s="200"/>
      <c r="H24" s="181">
        <v>212440</v>
      </c>
    </row>
    <row r="25" spans="1:9" ht="18" customHeight="1" x14ac:dyDescent="0.15">
      <c r="A25" s="217" t="s">
        <v>8</v>
      </c>
      <c r="B25" s="246"/>
      <c r="C25" s="60">
        <v>20000</v>
      </c>
      <c r="D25" s="51">
        <f>SUM(H25:H27)</f>
        <v>94846</v>
      </c>
      <c r="E25" s="21">
        <f>D25-C25</f>
        <v>74846</v>
      </c>
      <c r="F25" s="244" t="s">
        <v>131</v>
      </c>
      <c r="G25" s="245"/>
      <c r="H25" s="33">
        <v>31896</v>
      </c>
    </row>
    <row r="26" spans="1:9" ht="18" customHeight="1" x14ac:dyDescent="0.15">
      <c r="A26" s="207"/>
      <c r="B26" s="208"/>
      <c r="C26" s="3"/>
      <c r="D26" s="36"/>
      <c r="E26" s="4"/>
      <c r="F26" s="209" t="s">
        <v>132</v>
      </c>
      <c r="G26" s="190"/>
      <c r="H26" s="48">
        <v>15000</v>
      </c>
    </row>
    <row r="27" spans="1:9" ht="18" customHeight="1" x14ac:dyDescent="0.15">
      <c r="A27" s="57"/>
      <c r="B27" s="58"/>
      <c r="C27" s="3"/>
      <c r="D27" s="36"/>
      <c r="E27" s="4"/>
      <c r="F27" s="209" t="s">
        <v>133</v>
      </c>
      <c r="G27" s="190"/>
      <c r="H27" s="48">
        <v>47950</v>
      </c>
    </row>
    <row r="28" spans="1:9" ht="18" customHeight="1" thickBot="1" x14ac:dyDescent="0.2">
      <c r="A28" s="205"/>
      <c r="B28" s="206"/>
      <c r="C28" s="5"/>
      <c r="D28" s="37"/>
      <c r="E28" s="6"/>
      <c r="F28" s="199" t="s">
        <v>31</v>
      </c>
      <c r="G28" s="200"/>
      <c r="H28" s="181">
        <v>23000</v>
      </c>
    </row>
    <row r="29" spans="1:9" ht="18" customHeight="1" x14ac:dyDescent="0.15">
      <c r="A29" s="218" t="s">
        <v>17</v>
      </c>
      <c r="B29" s="219"/>
      <c r="C29" s="8">
        <f>SUM(C30:C32)</f>
        <v>4880000</v>
      </c>
      <c r="D29" s="8">
        <f>SUM(D30:D35)</f>
        <v>5219339</v>
      </c>
      <c r="E29" s="26">
        <f>D29-C29</f>
        <v>339339</v>
      </c>
      <c r="F29" s="213"/>
      <c r="G29" s="214"/>
      <c r="H29" s="214"/>
    </row>
    <row r="30" spans="1:9" ht="18" customHeight="1" x14ac:dyDescent="0.15">
      <c r="A30" s="27" t="s">
        <v>13</v>
      </c>
      <c r="B30" s="28"/>
      <c r="C30" s="61">
        <v>0</v>
      </c>
      <c r="D30" s="52">
        <v>11000</v>
      </c>
      <c r="E30" s="53">
        <f>D30-C30</f>
        <v>11000</v>
      </c>
      <c r="F30" s="220" t="s">
        <v>26</v>
      </c>
      <c r="G30" s="221"/>
      <c r="H30" s="221"/>
    </row>
    <row r="31" spans="1:9" ht="18" customHeight="1" x14ac:dyDescent="0.15">
      <c r="A31" s="29" t="s">
        <v>14</v>
      </c>
      <c r="B31" s="30"/>
      <c r="C31" s="62">
        <v>1880000</v>
      </c>
      <c r="D31" s="54">
        <v>1825939</v>
      </c>
      <c r="E31" s="55">
        <f>D31-C31</f>
        <v>-54061</v>
      </c>
      <c r="F31" s="220" t="s">
        <v>75</v>
      </c>
      <c r="G31" s="221"/>
      <c r="H31" s="221"/>
    </row>
    <row r="32" spans="1:9" ht="18" customHeight="1" x14ac:dyDescent="0.15">
      <c r="A32" s="337" t="s">
        <v>15</v>
      </c>
      <c r="B32" s="338"/>
      <c r="C32" s="339">
        <v>3000000</v>
      </c>
      <c r="D32" s="340">
        <f>SUM(H32:H34)</f>
        <v>3382400</v>
      </c>
      <c r="E32" s="341">
        <f>D32-C32</f>
        <v>382400</v>
      </c>
      <c r="F32" s="189" t="s">
        <v>114</v>
      </c>
      <c r="G32" s="190"/>
      <c r="H32" s="48">
        <f>2955719+26038</f>
        <v>2981757</v>
      </c>
      <c r="I32" s="25"/>
    </row>
    <row r="33" spans="1:9" ht="18" customHeight="1" x14ac:dyDescent="0.15">
      <c r="A33" s="145"/>
      <c r="B33" s="342"/>
      <c r="C33" s="63"/>
      <c r="D33" s="343"/>
      <c r="E33" s="344"/>
      <c r="F33" s="189" t="s">
        <v>115</v>
      </c>
      <c r="G33" s="190"/>
      <c r="H33" s="48">
        <v>400003</v>
      </c>
      <c r="I33" s="25"/>
    </row>
    <row r="34" spans="1:9" ht="18" customHeight="1" x14ac:dyDescent="0.15">
      <c r="A34" s="145"/>
      <c r="B34" s="342"/>
      <c r="C34" s="63"/>
      <c r="D34" s="343"/>
      <c r="E34" s="344"/>
      <c r="F34" s="189" t="s">
        <v>118</v>
      </c>
      <c r="G34" s="190"/>
      <c r="H34" s="48">
        <v>640</v>
      </c>
      <c r="I34" s="25"/>
    </row>
    <row r="35" spans="1:9" ht="18" customHeight="1" thickBot="1" x14ac:dyDescent="0.2">
      <c r="A35" s="345"/>
      <c r="B35" s="346"/>
      <c r="C35" s="347"/>
      <c r="D35" s="348"/>
      <c r="E35" s="349"/>
      <c r="F35" s="222" t="s">
        <v>31</v>
      </c>
      <c r="G35" s="223"/>
      <c r="H35" s="179">
        <v>7518</v>
      </c>
      <c r="I35" s="25"/>
    </row>
    <row r="36" spans="1:9" ht="18" customHeight="1" x14ac:dyDescent="0.15">
      <c r="A36" s="217" t="s">
        <v>16</v>
      </c>
      <c r="B36" s="217"/>
      <c r="C36" s="20">
        <v>1490000</v>
      </c>
      <c r="D36" s="20">
        <v>1491540</v>
      </c>
      <c r="E36" s="21">
        <f>D36-C36</f>
        <v>1540</v>
      </c>
      <c r="F36" s="225" t="s">
        <v>76</v>
      </c>
      <c r="G36" s="225"/>
      <c r="H36" s="225"/>
    </row>
    <row r="37" spans="1:9" ht="18" customHeight="1" x14ac:dyDescent="0.15">
      <c r="A37" s="215"/>
      <c r="B37" s="216"/>
      <c r="C37" s="2"/>
      <c r="D37" s="41"/>
      <c r="E37" s="10"/>
      <c r="F37" s="204"/>
      <c r="G37" s="204"/>
      <c r="H37" s="204"/>
    </row>
    <row r="38" spans="1:9" ht="18" customHeight="1" thickBot="1" x14ac:dyDescent="0.2">
      <c r="A38" s="205"/>
      <c r="B38" s="206"/>
      <c r="C38" s="3"/>
      <c r="D38" s="36"/>
      <c r="E38" s="4"/>
      <c r="F38" s="222" t="s">
        <v>31</v>
      </c>
      <c r="G38" s="223"/>
      <c r="H38" s="179">
        <v>0</v>
      </c>
    </row>
    <row r="39" spans="1:9" ht="18" customHeight="1" x14ac:dyDescent="0.15">
      <c r="A39" s="217" t="s">
        <v>9</v>
      </c>
      <c r="B39" s="217"/>
      <c r="C39" s="60">
        <v>1715254</v>
      </c>
      <c r="D39" s="51">
        <f>C39</f>
        <v>1715254</v>
      </c>
      <c r="E39" s="21">
        <f>D39-C39</f>
        <v>0</v>
      </c>
      <c r="F39" s="203" t="s">
        <v>104</v>
      </c>
      <c r="G39" s="203"/>
      <c r="H39" s="203"/>
    </row>
    <row r="40" spans="1:9" ht="18" customHeight="1" x14ac:dyDescent="0.15">
      <c r="A40" s="212"/>
      <c r="B40" s="212"/>
      <c r="C40" s="12"/>
      <c r="D40" s="39"/>
      <c r="E40" s="10"/>
      <c r="F40" s="211" t="s">
        <v>103</v>
      </c>
      <c r="G40" s="211"/>
      <c r="H40" s="211"/>
    </row>
    <row r="41" spans="1:9" ht="18" customHeight="1" thickBot="1" x14ac:dyDescent="0.2">
      <c r="A41" s="205"/>
      <c r="B41" s="206"/>
      <c r="C41" s="15"/>
      <c r="D41" s="42"/>
      <c r="E41" s="16"/>
      <c r="F41" s="222" t="s">
        <v>31</v>
      </c>
      <c r="G41" s="223"/>
      <c r="H41" s="179">
        <v>2584603</v>
      </c>
    </row>
    <row r="42" spans="1:9" ht="18" customHeight="1" thickBot="1" x14ac:dyDescent="0.2">
      <c r="A42" s="224" t="s">
        <v>19</v>
      </c>
      <c r="B42" s="224"/>
      <c r="C42" s="17">
        <f>C7+C13+C25+C29+C36+C39</f>
        <v>13468254</v>
      </c>
      <c r="D42" s="17">
        <f>D7+D13+D25+D29+D36+D39</f>
        <v>14498349</v>
      </c>
      <c r="E42" s="22">
        <f>D42-C42</f>
        <v>1030095</v>
      </c>
      <c r="F42" s="222" t="s">
        <v>31</v>
      </c>
      <c r="G42" s="223"/>
      <c r="H42" s="179">
        <v>3936161</v>
      </c>
    </row>
    <row r="43" spans="1:9" ht="18" customHeight="1" x14ac:dyDescent="0.15">
      <c r="A43" s="210"/>
      <c r="B43" s="210"/>
      <c r="C43" s="1"/>
      <c r="D43" s="1"/>
      <c r="E43" s="1"/>
      <c r="F43" s="210"/>
      <c r="G43" s="210"/>
      <c r="H43" s="210"/>
    </row>
    <row r="44" spans="1:9" ht="18" customHeight="1" x14ac:dyDescent="0.15">
      <c r="A44" t="s">
        <v>11</v>
      </c>
    </row>
    <row r="45" spans="1:9" x14ac:dyDescent="0.15">
      <c r="C45" s="106" t="s">
        <v>84</v>
      </c>
      <c r="D45" s="107">
        <f>D42-D39</f>
        <v>12783095</v>
      </c>
    </row>
    <row r="47" spans="1:9" ht="18" customHeight="1" x14ac:dyDescent="0.15"/>
  </sheetData>
  <mergeCells count="70">
    <mergeCell ref="F7:G7"/>
    <mergeCell ref="A38:B38"/>
    <mergeCell ref="A36:B36"/>
    <mergeCell ref="A24:B24"/>
    <mergeCell ref="F25:G25"/>
    <mergeCell ref="A25:B25"/>
    <mergeCell ref="A28:B28"/>
    <mergeCell ref="F12:G12"/>
    <mergeCell ref="F16:G16"/>
    <mergeCell ref="F28:G28"/>
    <mergeCell ref="F35:G35"/>
    <mergeCell ref="A21:B21"/>
    <mergeCell ref="F21:G21"/>
    <mergeCell ref="F18:G18"/>
    <mergeCell ref="F13:G13"/>
    <mergeCell ref="A18:B18"/>
    <mergeCell ref="A1:H1"/>
    <mergeCell ref="G5:H5"/>
    <mergeCell ref="A14:B14"/>
    <mergeCell ref="A15:B15"/>
    <mergeCell ref="A12:B12"/>
    <mergeCell ref="A3:H3"/>
    <mergeCell ref="A4:B4"/>
    <mergeCell ref="F8:G8"/>
    <mergeCell ref="A6:B6"/>
    <mergeCell ref="F6:H6"/>
    <mergeCell ref="A7:B7"/>
    <mergeCell ref="A8:B8"/>
    <mergeCell ref="A13:B13"/>
    <mergeCell ref="A11:B11"/>
    <mergeCell ref="F14:G14"/>
    <mergeCell ref="F15:G15"/>
    <mergeCell ref="A43:B43"/>
    <mergeCell ref="F40:H40"/>
    <mergeCell ref="A40:B40"/>
    <mergeCell ref="F29:H29"/>
    <mergeCell ref="A37:B37"/>
    <mergeCell ref="A39:B39"/>
    <mergeCell ref="A29:B29"/>
    <mergeCell ref="F30:H30"/>
    <mergeCell ref="F43:H43"/>
    <mergeCell ref="F31:H31"/>
    <mergeCell ref="F32:G32"/>
    <mergeCell ref="F38:G38"/>
    <mergeCell ref="F41:G41"/>
    <mergeCell ref="F42:G42"/>
    <mergeCell ref="A42:B42"/>
    <mergeCell ref="F36:H36"/>
    <mergeCell ref="A41:B41"/>
    <mergeCell ref="A26:B26"/>
    <mergeCell ref="F26:G26"/>
    <mergeCell ref="F34:G34"/>
    <mergeCell ref="F27:G27"/>
    <mergeCell ref="F24:G24"/>
    <mergeCell ref="F17:G17"/>
    <mergeCell ref="A23:B23"/>
    <mergeCell ref="F23:G23"/>
    <mergeCell ref="F39:H39"/>
    <mergeCell ref="F37:H37"/>
    <mergeCell ref="F33:G33"/>
    <mergeCell ref="F11:G11"/>
    <mergeCell ref="F20:G20"/>
    <mergeCell ref="A9:B9"/>
    <mergeCell ref="F9:G9"/>
    <mergeCell ref="A10:B10"/>
    <mergeCell ref="F10:G10"/>
    <mergeCell ref="A16:B16"/>
    <mergeCell ref="A17:B17"/>
    <mergeCell ref="F19:G19"/>
    <mergeCell ref="A20:B20"/>
  </mergeCells>
  <phoneticPr fontId="2"/>
  <pageMargins left="0.78740157480314965" right="0.59055118110236227" top="0.98425196850393704" bottom="0.98425196850393704" header="0.51181102362204722" footer="0.51181102362204722"/>
  <pageSetup paperSize="9" scale="95" fitToHeight="0" orientation="portrait" r:id="rId1"/>
  <headerFooter alignWithMargins="0"/>
  <ignoredErrors>
    <ignoredError sqref="D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5D4E-3FCB-49AC-A4B4-42F8480CD2FB}">
  <sheetPr>
    <pageSetUpPr fitToPage="1"/>
  </sheetPr>
  <dimension ref="A1:I58"/>
  <sheetViews>
    <sheetView tabSelected="1" view="pageBreakPreview" topLeftCell="A17" zoomScale="90" zoomScaleNormal="133" zoomScaleSheetLayoutView="90" workbookViewId="0">
      <selection activeCell="K33" sqref="K33"/>
    </sheetView>
  </sheetViews>
  <sheetFormatPr defaultColWidth="8.875" defaultRowHeight="13.5" x14ac:dyDescent="0.15"/>
  <cols>
    <col min="1" max="1" width="8.875" customWidth="1"/>
    <col min="2" max="2" width="12.125" customWidth="1"/>
    <col min="3" max="3" width="14.625" customWidth="1"/>
    <col min="4" max="4" width="14.125" customWidth="1"/>
    <col min="5" max="5" width="15.125" bestFit="1" customWidth="1"/>
    <col min="6" max="6" width="18.5" customWidth="1"/>
    <col min="7" max="7" width="11" customWidth="1"/>
    <col min="8" max="8" width="9.375" customWidth="1"/>
  </cols>
  <sheetData>
    <row r="1" spans="1:9" ht="18" hidden="1" customHeight="1" x14ac:dyDescent="0.15">
      <c r="A1" s="254" t="s">
        <v>34</v>
      </c>
      <c r="B1" s="254"/>
      <c r="C1" s="254"/>
      <c r="D1" s="254"/>
      <c r="E1" s="254"/>
      <c r="F1" s="254"/>
      <c r="G1" s="254"/>
      <c r="H1" s="254"/>
      <c r="I1" s="1"/>
    </row>
    <row r="2" spans="1:9" ht="18" hidden="1" customHeight="1" x14ac:dyDescent="0.15">
      <c r="A2" s="56"/>
      <c r="B2" s="56"/>
      <c r="C2" s="56"/>
      <c r="D2" s="56"/>
      <c r="E2" s="56"/>
      <c r="F2" s="56"/>
      <c r="G2" s="56"/>
      <c r="H2" s="56"/>
      <c r="I2" s="1"/>
    </row>
    <row r="3" spans="1:9" ht="18" customHeight="1" x14ac:dyDescent="0.15">
      <c r="A3" s="230" t="s">
        <v>22</v>
      </c>
      <c r="B3" s="230"/>
      <c r="C3" s="230"/>
      <c r="D3" s="230"/>
      <c r="E3" s="230"/>
      <c r="F3" s="230"/>
      <c r="G3" s="230"/>
      <c r="H3" s="230"/>
      <c r="I3" s="1"/>
    </row>
    <row r="4" spans="1:9" ht="18" customHeight="1" x14ac:dyDescent="0.15">
      <c r="A4" s="231" t="s">
        <v>35</v>
      </c>
      <c r="B4" s="231"/>
      <c r="G4" s="64"/>
      <c r="H4" s="64"/>
      <c r="I4" s="1"/>
    </row>
    <row r="5" spans="1:9" ht="18" customHeight="1" thickBot="1" x14ac:dyDescent="0.2">
      <c r="A5" s="1" t="s">
        <v>6</v>
      </c>
      <c r="G5" s="227" t="s">
        <v>10</v>
      </c>
      <c r="H5" s="227"/>
      <c r="I5" s="1"/>
    </row>
    <row r="6" spans="1:9" ht="18.75" customHeight="1" thickBot="1" x14ac:dyDescent="0.2">
      <c r="A6" s="255" t="s">
        <v>36</v>
      </c>
      <c r="B6" s="255"/>
      <c r="C6" s="66" t="s">
        <v>37</v>
      </c>
      <c r="D6" s="65" t="s">
        <v>38</v>
      </c>
      <c r="E6" s="66" t="s">
        <v>5</v>
      </c>
      <c r="F6" s="255" t="s">
        <v>39</v>
      </c>
      <c r="G6" s="255"/>
      <c r="H6" s="255"/>
    </row>
    <row r="7" spans="1:9" ht="18.75" customHeight="1" x14ac:dyDescent="0.15">
      <c r="A7" s="256" t="s">
        <v>40</v>
      </c>
      <c r="B7" s="256"/>
      <c r="C7" s="67">
        <f>C9+C10+C11</f>
        <v>8175000</v>
      </c>
      <c r="D7" s="67">
        <f>D9+D10+D11</f>
        <v>9167590</v>
      </c>
      <c r="E7" s="68">
        <f>E9+E10+E11</f>
        <v>992590</v>
      </c>
      <c r="F7" s="257"/>
      <c r="G7" s="258"/>
      <c r="H7" s="259"/>
    </row>
    <row r="8" spans="1:9" ht="18.75" customHeight="1" x14ac:dyDescent="0.15">
      <c r="A8" s="69" t="s">
        <v>41</v>
      </c>
      <c r="B8" s="69"/>
      <c r="C8" s="109">
        <v>0</v>
      </c>
      <c r="D8" s="110">
        <v>0</v>
      </c>
      <c r="E8" s="111">
        <f>D8-C8</f>
        <v>0</v>
      </c>
      <c r="F8" s="97" t="s">
        <v>42</v>
      </c>
      <c r="G8" s="98"/>
      <c r="H8" s="108"/>
    </row>
    <row r="9" spans="1:9" ht="18.75" customHeight="1" x14ac:dyDescent="0.15">
      <c r="A9" s="69" t="s">
        <v>43</v>
      </c>
      <c r="B9" s="69"/>
      <c r="C9" s="70">
        <v>200000</v>
      </c>
      <c r="D9" s="71">
        <v>264000</v>
      </c>
      <c r="E9" s="72">
        <f>D9-C9</f>
        <v>64000</v>
      </c>
      <c r="F9" s="97" t="s">
        <v>79</v>
      </c>
      <c r="G9" s="98"/>
      <c r="H9" s="108"/>
    </row>
    <row r="10" spans="1:9" ht="18.75" customHeight="1" x14ac:dyDescent="0.15">
      <c r="A10" s="260" t="s">
        <v>44</v>
      </c>
      <c r="B10" s="260"/>
      <c r="C10" s="73">
        <v>7975000</v>
      </c>
      <c r="D10" s="73">
        <v>8903590</v>
      </c>
      <c r="E10" s="74">
        <f>D10-C10</f>
        <v>928590</v>
      </c>
      <c r="F10" s="261" t="s">
        <v>78</v>
      </c>
      <c r="G10" s="262"/>
      <c r="H10" s="263"/>
    </row>
    <row r="11" spans="1:9" ht="18.75" customHeight="1" thickBot="1" x14ac:dyDescent="0.2">
      <c r="A11" s="204"/>
      <c r="B11" s="204"/>
      <c r="C11" s="75"/>
      <c r="D11" s="76"/>
      <c r="E11" s="74"/>
      <c r="F11" s="264" t="s">
        <v>31</v>
      </c>
      <c r="G11" s="265"/>
      <c r="H11" s="182">
        <v>1071483</v>
      </c>
    </row>
    <row r="12" spans="1:9" ht="18.75" customHeight="1" x14ac:dyDescent="0.15">
      <c r="A12" s="214" t="s">
        <v>45</v>
      </c>
      <c r="B12" s="214"/>
      <c r="C12" s="67">
        <f>C13+C15+C20+C23+C26+C29</f>
        <v>700000</v>
      </c>
      <c r="D12" s="67">
        <f>D13+D15+D20+D23+D26+D29</f>
        <v>610787</v>
      </c>
      <c r="E12" s="68">
        <f>E13+E15+E20+E23+E26+E29</f>
        <v>-89213</v>
      </c>
      <c r="F12" s="214"/>
      <c r="G12" s="214"/>
      <c r="H12" s="214"/>
    </row>
    <row r="13" spans="1:9" ht="18.75" customHeight="1" x14ac:dyDescent="0.15">
      <c r="A13" s="266" t="s">
        <v>46</v>
      </c>
      <c r="B13" s="266"/>
      <c r="C13" s="73">
        <v>80000</v>
      </c>
      <c r="D13" s="77">
        <v>55653</v>
      </c>
      <c r="E13" s="78">
        <f>D13-C13</f>
        <v>-24347</v>
      </c>
      <c r="F13" s="267" t="s">
        <v>80</v>
      </c>
      <c r="G13" s="267"/>
      <c r="H13" s="267"/>
    </row>
    <row r="14" spans="1:9" ht="18.75" customHeight="1" x14ac:dyDescent="0.15">
      <c r="A14" s="268"/>
      <c r="B14" s="269"/>
      <c r="C14" s="79"/>
      <c r="D14" s="80"/>
      <c r="E14" s="81"/>
      <c r="F14" s="270" t="s">
        <v>31</v>
      </c>
      <c r="G14" s="271"/>
      <c r="H14" s="183">
        <v>105427</v>
      </c>
    </row>
    <row r="15" spans="1:9" ht="18.75" customHeight="1" x14ac:dyDescent="0.15">
      <c r="A15" s="272" t="s">
        <v>47</v>
      </c>
      <c r="B15" s="273"/>
      <c r="C15" s="73">
        <v>150000</v>
      </c>
      <c r="D15" s="77">
        <v>147700</v>
      </c>
      <c r="E15" s="78">
        <f t="shared" ref="E15:E52" si="0">D15-C15</f>
        <v>-2300</v>
      </c>
      <c r="F15" s="267" t="s">
        <v>113</v>
      </c>
      <c r="G15" s="267"/>
      <c r="H15" s="267"/>
    </row>
    <row r="16" spans="1:9" ht="18.75" customHeight="1" x14ac:dyDescent="0.15">
      <c r="A16" s="146"/>
      <c r="B16" s="147"/>
      <c r="C16" s="75"/>
      <c r="D16" s="148"/>
      <c r="E16" s="87"/>
      <c r="F16" s="250" t="s">
        <v>121</v>
      </c>
      <c r="G16" s="251"/>
      <c r="H16" s="119">
        <v>41507</v>
      </c>
    </row>
    <row r="17" spans="1:8" ht="18.75" customHeight="1" x14ac:dyDescent="0.15">
      <c r="A17" s="146"/>
      <c r="B17" s="147"/>
      <c r="C17" s="75"/>
      <c r="D17" s="148"/>
      <c r="E17" s="87"/>
      <c r="F17" s="250" t="s">
        <v>122</v>
      </c>
      <c r="G17" s="251"/>
      <c r="H17" s="119">
        <v>56624</v>
      </c>
    </row>
    <row r="18" spans="1:8" ht="18.75" customHeight="1" x14ac:dyDescent="0.15">
      <c r="A18" s="146"/>
      <c r="B18" s="147"/>
      <c r="C18" s="75"/>
      <c r="D18" s="148"/>
      <c r="E18" s="87"/>
      <c r="F18" s="250" t="s">
        <v>112</v>
      </c>
      <c r="G18" s="251"/>
      <c r="H18" s="119">
        <f>D15-H16-H17</f>
        <v>49569</v>
      </c>
    </row>
    <row r="19" spans="1:8" ht="18.75" customHeight="1" x14ac:dyDescent="0.15">
      <c r="A19" s="274"/>
      <c r="B19" s="274"/>
      <c r="C19" s="85"/>
      <c r="D19" s="86"/>
      <c r="E19" s="74"/>
      <c r="F19" s="275" t="s">
        <v>31</v>
      </c>
      <c r="G19" s="276"/>
      <c r="H19" s="184">
        <v>160953</v>
      </c>
    </row>
    <row r="20" spans="1:8" ht="18.75" customHeight="1" x14ac:dyDescent="0.15">
      <c r="A20" s="204" t="s">
        <v>48</v>
      </c>
      <c r="B20" s="204"/>
      <c r="C20" s="75">
        <v>100000</v>
      </c>
      <c r="D20" s="141">
        <f>SUM(H20:H21)</f>
        <v>112710</v>
      </c>
      <c r="E20" s="142">
        <f t="shared" si="0"/>
        <v>12710</v>
      </c>
      <c r="F20" s="277" t="s">
        <v>124</v>
      </c>
      <c r="G20" s="278"/>
      <c r="H20" s="151">
        <v>78126</v>
      </c>
    </row>
    <row r="21" spans="1:8" ht="18.75" customHeight="1" x14ac:dyDescent="0.15">
      <c r="A21" s="204"/>
      <c r="B21" s="204"/>
      <c r="C21" s="75"/>
      <c r="D21" s="141"/>
      <c r="E21" s="142"/>
      <c r="F21" s="252" t="s">
        <v>125</v>
      </c>
      <c r="G21" s="253"/>
      <c r="H21" s="119">
        <v>34584</v>
      </c>
    </row>
    <row r="22" spans="1:8" ht="18.75" customHeight="1" x14ac:dyDescent="0.15">
      <c r="A22" s="274"/>
      <c r="B22" s="274"/>
      <c r="C22" s="85"/>
      <c r="D22" s="86"/>
      <c r="E22" s="74"/>
      <c r="F22" s="279" t="s">
        <v>31</v>
      </c>
      <c r="G22" s="280"/>
      <c r="H22" s="185">
        <v>75629</v>
      </c>
    </row>
    <row r="23" spans="1:8" ht="18.75" customHeight="1" x14ac:dyDescent="0.15">
      <c r="A23" s="272" t="s">
        <v>49</v>
      </c>
      <c r="B23" s="273"/>
      <c r="C23" s="73">
        <v>150000</v>
      </c>
      <c r="D23" s="77">
        <f>SUM(H23:H24)</f>
        <v>99340</v>
      </c>
      <c r="E23" s="78">
        <f t="shared" si="0"/>
        <v>-50660</v>
      </c>
      <c r="F23" s="281" t="s">
        <v>123</v>
      </c>
      <c r="G23" s="282"/>
      <c r="H23" s="120">
        <v>18720</v>
      </c>
    </row>
    <row r="24" spans="1:8" ht="18.75" customHeight="1" x14ac:dyDescent="0.15">
      <c r="A24" s="204"/>
      <c r="B24" s="204"/>
      <c r="C24" s="82"/>
      <c r="D24" s="83"/>
      <c r="E24" s="84"/>
      <c r="F24" s="252" t="s">
        <v>126</v>
      </c>
      <c r="G24" s="253"/>
      <c r="H24" s="119">
        <v>80620</v>
      </c>
    </row>
    <row r="25" spans="1:8" ht="18.75" customHeight="1" x14ac:dyDescent="0.15">
      <c r="A25" s="274"/>
      <c r="B25" s="274"/>
      <c r="C25" s="85"/>
      <c r="D25" s="86"/>
      <c r="E25" s="74"/>
      <c r="F25" s="275" t="s">
        <v>31</v>
      </c>
      <c r="G25" s="276"/>
      <c r="H25" s="184">
        <v>92081</v>
      </c>
    </row>
    <row r="26" spans="1:8" ht="18.75" customHeight="1" x14ac:dyDescent="0.15">
      <c r="A26" s="283" t="s">
        <v>50</v>
      </c>
      <c r="B26" s="284"/>
      <c r="C26" s="152">
        <v>50000</v>
      </c>
      <c r="D26" s="153">
        <f>SUM(H26:H27)</f>
        <v>47418</v>
      </c>
      <c r="E26" s="154">
        <f t="shared" si="0"/>
        <v>-2582</v>
      </c>
      <c r="F26" s="149" t="s">
        <v>127</v>
      </c>
      <c r="G26" s="150"/>
      <c r="H26" s="155">
        <v>15039</v>
      </c>
    </row>
    <row r="27" spans="1:8" ht="18.75" customHeight="1" x14ac:dyDescent="0.15">
      <c r="A27" s="204"/>
      <c r="B27" s="204"/>
      <c r="C27" s="82"/>
      <c r="D27" s="83"/>
      <c r="E27" s="84"/>
      <c r="F27" s="252" t="s">
        <v>128</v>
      </c>
      <c r="G27" s="253"/>
      <c r="H27" s="121">
        <v>32379</v>
      </c>
    </row>
    <row r="28" spans="1:8" ht="18.75" customHeight="1" x14ac:dyDescent="0.15">
      <c r="A28" s="274"/>
      <c r="B28" s="274"/>
      <c r="C28" s="85"/>
      <c r="D28" s="86"/>
      <c r="E28" s="74"/>
      <c r="F28" s="270" t="s">
        <v>31</v>
      </c>
      <c r="G28" s="271"/>
      <c r="H28" s="185">
        <v>48665</v>
      </c>
    </row>
    <row r="29" spans="1:8" ht="18.75" customHeight="1" x14ac:dyDescent="0.15">
      <c r="A29" s="266" t="s">
        <v>51</v>
      </c>
      <c r="B29" s="266"/>
      <c r="C29" s="73">
        <v>170000</v>
      </c>
      <c r="D29" s="112">
        <f>SUM(H29:H30)</f>
        <v>147966</v>
      </c>
      <c r="E29" s="78">
        <f t="shared" si="0"/>
        <v>-22034</v>
      </c>
      <c r="F29" s="281" t="s">
        <v>129</v>
      </c>
      <c r="G29" s="282"/>
      <c r="H29" s="122">
        <v>137635</v>
      </c>
    </row>
    <row r="30" spans="1:8" ht="18.75" customHeight="1" x14ac:dyDescent="0.15">
      <c r="A30" s="204"/>
      <c r="B30" s="204"/>
      <c r="C30" s="82"/>
      <c r="D30" s="83"/>
      <c r="E30" s="84"/>
      <c r="F30" s="285" t="s">
        <v>130</v>
      </c>
      <c r="G30" s="286"/>
      <c r="H30" s="121">
        <v>10331</v>
      </c>
    </row>
    <row r="31" spans="1:8" ht="18.75" customHeight="1" thickBot="1" x14ac:dyDescent="0.2">
      <c r="A31" s="287"/>
      <c r="B31" s="287"/>
      <c r="C31" s="88"/>
      <c r="D31" s="89"/>
      <c r="E31" s="90"/>
      <c r="F31" s="264" t="s">
        <v>31</v>
      </c>
      <c r="G31" s="265"/>
      <c r="H31" s="186">
        <v>150474</v>
      </c>
    </row>
    <row r="32" spans="1:8" ht="18.75" customHeight="1" x14ac:dyDescent="0.15">
      <c r="A32" s="288" t="s">
        <v>52</v>
      </c>
      <c r="B32" s="288"/>
      <c r="C32" s="91">
        <f>C33+C34</f>
        <v>20000</v>
      </c>
      <c r="D32" s="91">
        <f>D33+D34</f>
        <v>0</v>
      </c>
      <c r="E32" s="92">
        <f t="shared" si="0"/>
        <v>-20000</v>
      </c>
      <c r="F32" s="289"/>
      <c r="G32" s="290"/>
      <c r="H32" s="291"/>
    </row>
    <row r="33" spans="1:8" ht="18.75" customHeight="1" x14ac:dyDescent="0.15">
      <c r="A33" s="292" t="s">
        <v>53</v>
      </c>
      <c r="B33" s="292"/>
      <c r="C33" s="176">
        <v>20000</v>
      </c>
      <c r="D33" s="177">
        <v>0</v>
      </c>
      <c r="E33" s="178">
        <f t="shared" si="0"/>
        <v>-20000</v>
      </c>
      <c r="F33" s="293"/>
      <c r="G33" s="294"/>
      <c r="H33" s="295"/>
    </row>
    <row r="34" spans="1:8" ht="18.75" customHeight="1" x14ac:dyDescent="0.15">
      <c r="A34" s="292" t="s">
        <v>54</v>
      </c>
      <c r="B34" s="292"/>
      <c r="C34" s="176">
        <v>0</v>
      </c>
      <c r="D34" s="177">
        <v>0</v>
      </c>
      <c r="E34" s="178">
        <f t="shared" si="0"/>
        <v>0</v>
      </c>
      <c r="F34" s="296"/>
      <c r="G34" s="297"/>
      <c r="H34" s="298"/>
    </row>
    <row r="35" spans="1:8" ht="18.75" customHeight="1" thickBot="1" x14ac:dyDescent="0.2">
      <c r="A35" s="299"/>
      <c r="B35" s="299"/>
      <c r="C35" s="93"/>
      <c r="D35" s="94"/>
      <c r="E35" s="95"/>
      <c r="F35" s="300" t="s">
        <v>31</v>
      </c>
      <c r="G35" s="301"/>
      <c r="H35" s="186">
        <v>0</v>
      </c>
    </row>
    <row r="36" spans="1:8" ht="18.75" customHeight="1" x14ac:dyDescent="0.15">
      <c r="A36" s="256" t="s">
        <v>55</v>
      </c>
      <c r="B36" s="256"/>
      <c r="C36" s="67">
        <f>C37+C38</f>
        <v>80000</v>
      </c>
      <c r="D36" s="67">
        <f>D37+D38</f>
        <v>87552</v>
      </c>
      <c r="E36" s="96">
        <f t="shared" si="0"/>
        <v>7552</v>
      </c>
      <c r="F36" s="302"/>
      <c r="G36" s="303"/>
      <c r="H36" s="304"/>
    </row>
    <row r="37" spans="1:8" ht="18.75" customHeight="1" x14ac:dyDescent="0.15">
      <c r="A37" s="97" t="s">
        <v>56</v>
      </c>
      <c r="B37" s="98"/>
      <c r="C37" s="70">
        <v>60000</v>
      </c>
      <c r="D37" s="99">
        <v>66552</v>
      </c>
      <c r="E37" s="72">
        <f t="shared" si="0"/>
        <v>6552</v>
      </c>
      <c r="F37" s="305" t="s">
        <v>81</v>
      </c>
      <c r="G37" s="306"/>
      <c r="H37" s="307"/>
    </row>
    <row r="38" spans="1:8" ht="18.75" customHeight="1" x14ac:dyDescent="0.15">
      <c r="A38" s="100" t="s">
        <v>57</v>
      </c>
      <c r="B38" s="101"/>
      <c r="C38" s="73">
        <v>20000</v>
      </c>
      <c r="D38" s="77">
        <v>21000</v>
      </c>
      <c r="E38" s="78">
        <f t="shared" si="0"/>
        <v>1000</v>
      </c>
      <c r="F38" s="308" t="s">
        <v>134</v>
      </c>
      <c r="G38" s="309"/>
      <c r="H38" s="310"/>
    </row>
    <row r="39" spans="1:8" ht="18.75" customHeight="1" thickBot="1" x14ac:dyDescent="0.2">
      <c r="A39" s="299"/>
      <c r="B39" s="299"/>
      <c r="C39" s="93"/>
      <c r="D39" s="94"/>
      <c r="E39" s="95"/>
      <c r="F39" s="264" t="s">
        <v>31</v>
      </c>
      <c r="G39" s="265"/>
      <c r="H39" s="186">
        <v>64346</v>
      </c>
    </row>
    <row r="40" spans="1:8" ht="18.75" customHeight="1" x14ac:dyDescent="0.15">
      <c r="A40" s="311" t="s">
        <v>58</v>
      </c>
      <c r="B40" s="312"/>
      <c r="C40" s="67">
        <f>SUM(C41:C45)</f>
        <v>325000</v>
      </c>
      <c r="D40" s="67">
        <f>SUM(D41:D45)</f>
        <v>396409</v>
      </c>
      <c r="E40" s="96">
        <f t="shared" si="0"/>
        <v>71409</v>
      </c>
      <c r="F40" s="313"/>
      <c r="G40" s="314"/>
      <c r="H40" s="315"/>
    </row>
    <row r="41" spans="1:8" ht="18.75" customHeight="1" x14ac:dyDescent="0.15">
      <c r="A41" s="318" t="s">
        <v>59</v>
      </c>
      <c r="B41" s="319"/>
      <c r="C41" s="70">
        <v>6000</v>
      </c>
      <c r="D41" s="99">
        <v>6064</v>
      </c>
      <c r="E41" s="72">
        <f t="shared" si="0"/>
        <v>64</v>
      </c>
      <c r="F41" s="320" t="s">
        <v>82</v>
      </c>
      <c r="G41" s="320"/>
      <c r="H41" s="320"/>
    </row>
    <row r="42" spans="1:8" ht="18.75" customHeight="1" x14ac:dyDescent="0.15">
      <c r="A42" s="318" t="s">
        <v>60</v>
      </c>
      <c r="B42" s="319"/>
      <c r="C42" s="70">
        <v>15000</v>
      </c>
      <c r="D42" s="99">
        <v>14488</v>
      </c>
      <c r="E42" s="72">
        <f t="shared" si="0"/>
        <v>-512</v>
      </c>
      <c r="F42" s="320" t="s">
        <v>83</v>
      </c>
      <c r="G42" s="320"/>
      <c r="H42" s="320"/>
    </row>
    <row r="43" spans="1:8" ht="18.75" customHeight="1" x14ac:dyDescent="0.15">
      <c r="A43" s="318" t="s">
        <v>61</v>
      </c>
      <c r="B43" s="319"/>
      <c r="C43" s="70">
        <v>181000</v>
      </c>
      <c r="D43" s="99">
        <v>231820</v>
      </c>
      <c r="E43" s="72">
        <f t="shared" si="0"/>
        <v>50820</v>
      </c>
      <c r="F43" s="320" t="s">
        <v>119</v>
      </c>
      <c r="G43" s="320"/>
      <c r="H43" s="320"/>
    </row>
    <row r="44" spans="1:8" ht="18.75" customHeight="1" x14ac:dyDescent="0.15">
      <c r="A44" s="318" t="s">
        <v>62</v>
      </c>
      <c r="B44" s="319"/>
      <c r="C44" s="70">
        <v>100000</v>
      </c>
      <c r="D44" s="99">
        <v>121517</v>
      </c>
      <c r="E44" s="72">
        <f t="shared" si="0"/>
        <v>21517</v>
      </c>
      <c r="F44" s="320" t="s">
        <v>109</v>
      </c>
      <c r="G44" s="320"/>
      <c r="H44" s="320"/>
    </row>
    <row r="45" spans="1:8" ht="18.75" customHeight="1" x14ac:dyDescent="0.15">
      <c r="A45" s="100" t="s">
        <v>63</v>
      </c>
      <c r="B45" s="102"/>
      <c r="C45" s="73">
        <v>23000</v>
      </c>
      <c r="D45" s="77">
        <v>22520</v>
      </c>
      <c r="E45" s="78">
        <f t="shared" si="0"/>
        <v>-480</v>
      </c>
      <c r="F45" s="281" t="s">
        <v>64</v>
      </c>
      <c r="G45" s="282"/>
      <c r="H45" s="321"/>
    </row>
    <row r="46" spans="1:8" ht="18.75" customHeight="1" thickBot="1" x14ac:dyDescent="0.2">
      <c r="A46" s="299"/>
      <c r="B46" s="299"/>
      <c r="C46" s="93"/>
      <c r="D46" s="94"/>
      <c r="E46" s="95"/>
      <c r="F46" s="264" t="s">
        <v>31</v>
      </c>
      <c r="G46" s="265"/>
      <c r="H46" s="186">
        <v>307477</v>
      </c>
    </row>
    <row r="47" spans="1:8" ht="18.75" customHeight="1" x14ac:dyDescent="0.15">
      <c r="A47" s="316" t="s">
        <v>65</v>
      </c>
      <c r="B47" s="317"/>
      <c r="C47" s="91">
        <v>100000</v>
      </c>
      <c r="D47" s="91">
        <f>SUM(H47:H49)</f>
        <v>3522815</v>
      </c>
      <c r="E47" s="160">
        <f t="shared" si="0"/>
        <v>3422815</v>
      </c>
      <c r="F47" s="163" t="s">
        <v>116</v>
      </c>
      <c r="G47" s="164"/>
      <c r="H47" s="165">
        <v>3000000</v>
      </c>
    </row>
    <row r="48" spans="1:8" ht="18.75" customHeight="1" x14ac:dyDescent="0.15">
      <c r="A48" s="167"/>
      <c r="B48" s="168"/>
      <c r="C48" s="169"/>
      <c r="D48" s="175"/>
      <c r="E48" s="170"/>
      <c r="F48" s="139" t="s">
        <v>117</v>
      </c>
      <c r="G48" s="140"/>
      <c r="H48" s="121">
        <v>400000</v>
      </c>
    </row>
    <row r="49" spans="1:9" ht="18.75" customHeight="1" thickBot="1" x14ac:dyDescent="0.2">
      <c r="A49" s="171"/>
      <c r="B49" s="172"/>
      <c r="C49" s="173"/>
      <c r="D49" s="173"/>
      <c r="E49" s="174"/>
      <c r="F49" s="161" t="s">
        <v>120</v>
      </c>
      <c r="G49" s="162"/>
      <c r="H49" s="166">
        <v>122815</v>
      </c>
    </row>
    <row r="50" spans="1:9" ht="18.75" customHeight="1" thickBot="1" x14ac:dyDescent="0.2">
      <c r="A50" s="322" t="s">
        <v>66</v>
      </c>
      <c r="B50" s="323"/>
      <c r="C50" s="103">
        <v>93000</v>
      </c>
      <c r="D50" s="103">
        <v>0</v>
      </c>
      <c r="E50" s="104">
        <f t="shared" si="0"/>
        <v>-93000</v>
      </c>
      <c r="F50" s="324" t="s">
        <v>67</v>
      </c>
      <c r="G50" s="325"/>
      <c r="H50" s="326"/>
    </row>
    <row r="51" spans="1:9" ht="18.75" customHeight="1" thickBot="1" x14ac:dyDescent="0.2">
      <c r="A51" s="327" t="s">
        <v>68</v>
      </c>
      <c r="B51" s="327"/>
      <c r="C51" s="103">
        <f>C52-C7-C12-C32-C36-C40-C47-C50</f>
        <v>3975254</v>
      </c>
      <c r="D51" s="103">
        <f>D52-D7-D12-D32-D36-D40-D47-D50</f>
        <v>713196</v>
      </c>
      <c r="E51" s="104">
        <f t="shared" si="0"/>
        <v>-3262058</v>
      </c>
      <c r="F51" s="264" t="s">
        <v>31</v>
      </c>
      <c r="G51" s="265"/>
      <c r="H51" s="186">
        <v>1715254</v>
      </c>
    </row>
    <row r="52" spans="1:9" ht="18.75" customHeight="1" thickBot="1" x14ac:dyDescent="0.25">
      <c r="A52" s="328" t="s">
        <v>69</v>
      </c>
      <c r="B52" s="329"/>
      <c r="C52" s="103">
        <f>決算収入!C42</f>
        <v>13468254</v>
      </c>
      <c r="D52" s="105">
        <f>決算収入!D42</f>
        <v>14498349</v>
      </c>
      <c r="E52" s="104">
        <f t="shared" si="0"/>
        <v>1030095</v>
      </c>
      <c r="F52" s="264" t="s">
        <v>31</v>
      </c>
      <c r="G52" s="265"/>
      <c r="H52" s="186">
        <v>3936161</v>
      </c>
      <c r="I52" t="s">
        <v>70</v>
      </c>
    </row>
    <row r="54" spans="1:9" ht="14.25" x14ac:dyDescent="0.15">
      <c r="A54" s="113" t="s">
        <v>86</v>
      </c>
      <c r="B54" s="114"/>
      <c r="C54" s="114"/>
      <c r="D54" s="114"/>
      <c r="E54" s="114"/>
    </row>
    <row r="55" spans="1:9" s="116" customFormat="1" ht="15.75" customHeight="1" x14ac:dyDescent="0.15">
      <c r="A55" s="115" t="s">
        <v>85</v>
      </c>
      <c r="B55" s="115" t="s">
        <v>110</v>
      </c>
      <c r="C55" s="115"/>
      <c r="D55" s="115"/>
      <c r="E55" s="115"/>
    </row>
    <row r="56" spans="1:9" s="116" customFormat="1" ht="15.75" customHeight="1" x14ac:dyDescent="0.15">
      <c r="A56" s="115" t="s">
        <v>85</v>
      </c>
      <c r="B56" s="115" t="s">
        <v>87</v>
      </c>
      <c r="C56" s="115"/>
      <c r="D56" s="115"/>
      <c r="E56" s="115"/>
    </row>
    <row r="57" spans="1:9" s="116" customFormat="1" ht="15.75" customHeight="1" x14ac:dyDescent="0.15">
      <c r="B57" s="118"/>
    </row>
    <row r="58" spans="1:9" x14ac:dyDescent="0.15">
      <c r="C58" s="106" t="s">
        <v>71</v>
      </c>
      <c r="D58" s="107">
        <f>D52-D51</f>
        <v>13785153</v>
      </c>
    </row>
  </sheetData>
  <mergeCells count="82">
    <mergeCell ref="A50:B50"/>
    <mergeCell ref="F50:H50"/>
    <mergeCell ref="A51:B51"/>
    <mergeCell ref="F51:G51"/>
    <mergeCell ref="A52:B52"/>
    <mergeCell ref="F52:G52"/>
    <mergeCell ref="A47:B47"/>
    <mergeCell ref="A41:B41"/>
    <mergeCell ref="F41:H41"/>
    <mergeCell ref="A42:B42"/>
    <mergeCell ref="F42:H42"/>
    <mergeCell ref="A43:B43"/>
    <mergeCell ref="F43:H43"/>
    <mergeCell ref="A44:B44"/>
    <mergeCell ref="F44:H44"/>
    <mergeCell ref="F45:H45"/>
    <mergeCell ref="A46:B46"/>
    <mergeCell ref="F46:G46"/>
    <mergeCell ref="F37:H37"/>
    <mergeCell ref="F38:H38"/>
    <mergeCell ref="A39:B39"/>
    <mergeCell ref="F39:G39"/>
    <mergeCell ref="A40:B40"/>
    <mergeCell ref="F40:H40"/>
    <mergeCell ref="A34:B34"/>
    <mergeCell ref="F34:H34"/>
    <mergeCell ref="A35:B35"/>
    <mergeCell ref="F35:G35"/>
    <mergeCell ref="A36:B36"/>
    <mergeCell ref="F36:H36"/>
    <mergeCell ref="A31:B31"/>
    <mergeCell ref="F31:G31"/>
    <mergeCell ref="A32:B32"/>
    <mergeCell ref="F32:H32"/>
    <mergeCell ref="A33:B33"/>
    <mergeCell ref="F33:H33"/>
    <mergeCell ref="A28:B28"/>
    <mergeCell ref="F28:G28"/>
    <mergeCell ref="A29:B29"/>
    <mergeCell ref="F29:G29"/>
    <mergeCell ref="A30:B30"/>
    <mergeCell ref="F30:G30"/>
    <mergeCell ref="A25:B25"/>
    <mergeCell ref="F25:G25"/>
    <mergeCell ref="A26:B26"/>
    <mergeCell ref="A27:B27"/>
    <mergeCell ref="F27:G27"/>
    <mergeCell ref="A22:B22"/>
    <mergeCell ref="F22:G22"/>
    <mergeCell ref="A23:B23"/>
    <mergeCell ref="F23:G23"/>
    <mergeCell ref="A24:B24"/>
    <mergeCell ref="F24:G24"/>
    <mergeCell ref="A15:B15"/>
    <mergeCell ref="F15:H15"/>
    <mergeCell ref="A19:B19"/>
    <mergeCell ref="F19:G19"/>
    <mergeCell ref="A20:B20"/>
    <mergeCell ref="F20:G20"/>
    <mergeCell ref="A12:B12"/>
    <mergeCell ref="F12:H12"/>
    <mergeCell ref="A13:B13"/>
    <mergeCell ref="F13:H13"/>
    <mergeCell ref="A14:B14"/>
    <mergeCell ref="F14:G14"/>
    <mergeCell ref="A7:B7"/>
    <mergeCell ref="F7:H7"/>
    <mergeCell ref="A10:B10"/>
    <mergeCell ref="F10:H10"/>
    <mergeCell ref="A11:B11"/>
    <mergeCell ref="F11:G11"/>
    <mergeCell ref="A1:H1"/>
    <mergeCell ref="A3:H3"/>
    <mergeCell ref="A4:B4"/>
    <mergeCell ref="G5:H5"/>
    <mergeCell ref="A6:B6"/>
    <mergeCell ref="F6:H6"/>
    <mergeCell ref="F16:G16"/>
    <mergeCell ref="F17:G17"/>
    <mergeCell ref="F18:G18"/>
    <mergeCell ref="F21:G21"/>
    <mergeCell ref="A21:B21"/>
  </mergeCells>
  <phoneticPr fontId="2"/>
  <pageMargins left="0.78740157480314965" right="0.59055118110236227" top="0.98425196850393704" bottom="0.59055118110236227" header="0.51181102362204722" footer="0.31496062992125984"/>
  <pageSetup paperSize="9" scale="86" fitToHeight="0" orientation="portrait" r:id="rId1"/>
  <headerFooter alignWithMargins="0"/>
  <ignoredErrors>
    <ignoredError sqref="D20:D22 D24:D25 D23 D27 D47 D28:D2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4114-5C51-47D5-9DBF-D4E036F35B04}">
  <dimension ref="A1:G31"/>
  <sheetViews>
    <sheetView view="pageBreakPreview" zoomScaleNormal="100" zoomScaleSheetLayoutView="100" workbookViewId="0">
      <selection activeCell="C25" sqref="C25:E25"/>
    </sheetView>
  </sheetViews>
  <sheetFormatPr defaultColWidth="8.875" defaultRowHeight="13.5" x14ac:dyDescent="0.15"/>
  <cols>
    <col min="1" max="1" width="16.5" bestFit="1" customWidth="1"/>
    <col min="2" max="2" width="8" customWidth="1"/>
    <col min="3" max="3" width="12.625" customWidth="1"/>
    <col min="4" max="4" width="14.25" customWidth="1"/>
    <col min="5" max="5" width="12.625" customWidth="1"/>
    <col min="6" max="6" width="11.875" customWidth="1"/>
  </cols>
  <sheetData>
    <row r="1" spans="1:7" ht="73.5" customHeight="1" x14ac:dyDescent="0.15">
      <c r="A1" s="226"/>
      <c r="B1" s="226"/>
      <c r="C1" s="226"/>
      <c r="D1" s="226"/>
      <c r="E1" s="226"/>
      <c r="F1" s="226"/>
      <c r="G1" s="226"/>
    </row>
    <row r="2" spans="1:7" s="114" customFormat="1" ht="15.95" customHeight="1" x14ac:dyDescent="0.15">
      <c r="A2" s="114" t="s">
        <v>107</v>
      </c>
    </row>
    <row r="3" spans="1:7" s="115" customFormat="1" ht="15.95" customHeight="1" x14ac:dyDescent="0.15">
      <c r="A3" s="136" t="s">
        <v>108</v>
      </c>
    </row>
    <row r="4" spans="1:7" s="115" customFormat="1" ht="15.95" customHeight="1" x14ac:dyDescent="0.15">
      <c r="A4" s="136" t="s">
        <v>106</v>
      </c>
    </row>
    <row r="5" spans="1:7" s="114" customFormat="1" ht="15.95" customHeight="1" x14ac:dyDescent="0.15">
      <c r="A5" s="135"/>
      <c r="B5" s="135"/>
      <c r="C5" s="135"/>
      <c r="D5" s="135"/>
      <c r="E5" s="135"/>
      <c r="F5" s="135"/>
      <c r="G5" s="135"/>
    </row>
    <row r="6" spans="1:7" s="114" customFormat="1" ht="15.95" customHeight="1" x14ac:dyDescent="0.15">
      <c r="A6" s="135" t="s">
        <v>102</v>
      </c>
      <c r="B6" s="135"/>
      <c r="C6" s="135"/>
      <c r="D6" s="135"/>
      <c r="E6" s="135"/>
      <c r="F6" s="135"/>
      <c r="G6" s="135"/>
    </row>
    <row r="7" spans="1:7" s="114" customFormat="1" ht="18" customHeight="1" x14ac:dyDescent="0.15">
      <c r="A7" s="135"/>
      <c r="B7" s="135"/>
      <c r="C7" s="135"/>
      <c r="D7" s="135"/>
      <c r="E7" s="135"/>
      <c r="F7" s="135"/>
      <c r="G7" s="135"/>
    </row>
    <row r="8" spans="1:7" s="117" customFormat="1" ht="27.95" customHeight="1" x14ac:dyDescent="0.2">
      <c r="A8" s="143" t="s">
        <v>105</v>
      </c>
      <c r="B8" s="144"/>
      <c r="C8" s="128"/>
      <c r="D8" s="134" t="s">
        <v>101</v>
      </c>
      <c r="E8" s="133"/>
      <c r="F8" s="133"/>
      <c r="G8" s="132" t="s">
        <v>99</v>
      </c>
    </row>
    <row r="9" spans="1:7" s="117" customFormat="1" ht="9.9499999999999993" customHeight="1" x14ac:dyDescent="0.2">
      <c r="A9" s="330" t="s">
        <v>85</v>
      </c>
      <c r="B9" s="330"/>
      <c r="C9" s="330"/>
      <c r="D9" s="330"/>
      <c r="E9" s="330"/>
      <c r="F9" s="330"/>
      <c r="G9" s="330"/>
    </row>
    <row r="10" spans="1:7" s="117" customFormat="1" ht="27.95" customHeight="1" x14ac:dyDescent="0.2">
      <c r="A10" s="128"/>
      <c r="B10" s="128"/>
      <c r="C10" s="128"/>
      <c r="D10" s="134" t="s">
        <v>100</v>
      </c>
      <c r="E10" s="133"/>
      <c r="F10" s="133"/>
      <c r="G10" s="132" t="s">
        <v>99</v>
      </c>
    </row>
    <row r="11" spans="1:7" s="117" customFormat="1" ht="9.9499999999999993" customHeight="1" x14ac:dyDescent="0.2">
      <c r="A11" s="330"/>
      <c r="B11" s="330"/>
      <c r="C11" s="330"/>
      <c r="D11" s="330"/>
      <c r="E11" s="330"/>
      <c r="F11" s="330"/>
      <c r="G11" s="330"/>
    </row>
    <row r="12" spans="1:7" s="117" customFormat="1" ht="27.95" customHeight="1" x14ac:dyDescent="0.2">
      <c r="A12" s="128"/>
      <c r="B12" s="128"/>
      <c r="C12" s="128"/>
      <c r="D12" s="134" t="s">
        <v>100</v>
      </c>
      <c r="E12" s="133"/>
      <c r="F12" s="133"/>
      <c r="G12" s="132" t="s">
        <v>99</v>
      </c>
    </row>
    <row r="13" spans="1:7" ht="18" customHeight="1" x14ac:dyDescent="0.15">
      <c r="A13" s="332"/>
      <c r="B13" s="333"/>
      <c r="C13" s="333"/>
      <c r="D13" s="333"/>
      <c r="E13" s="333"/>
      <c r="F13" s="333"/>
      <c r="G13" s="333"/>
    </row>
    <row r="14" spans="1:7" ht="18" customHeight="1" x14ac:dyDescent="0.15">
      <c r="A14" s="131"/>
      <c r="B14" s="131"/>
      <c r="C14" s="131"/>
      <c r="D14" s="131"/>
      <c r="E14" s="131"/>
      <c r="F14" s="131"/>
      <c r="G14" s="131"/>
    </row>
    <row r="15" spans="1:7" ht="18" customHeight="1" x14ac:dyDescent="0.15">
      <c r="A15" s="130"/>
      <c r="B15" s="130"/>
      <c r="C15" s="130"/>
      <c r="D15" s="130"/>
      <c r="E15" s="130"/>
      <c r="F15" s="130"/>
      <c r="G15" s="130"/>
    </row>
    <row r="16" spans="1:7" ht="19.5" customHeight="1" x14ac:dyDescent="0.15">
      <c r="A16" s="227"/>
      <c r="B16" s="227"/>
      <c r="C16" s="227"/>
      <c r="D16" s="227"/>
      <c r="E16" s="227"/>
      <c r="F16" s="227"/>
      <c r="G16" s="227"/>
    </row>
    <row r="19" spans="1:7" ht="48.75" customHeight="1" x14ac:dyDescent="0.15"/>
    <row r="20" spans="1:7" ht="17.25" x14ac:dyDescent="0.2">
      <c r="A20" s="331" t="s">
        <v>98</v>
      </c>
      <c r="B20" s="331"/>
      <c r="C20" s="331"/>
      <c r="D20" s="331"/>
      <c r="E20" s="331"/>
      <c r="F20" s="331"/>
      <c r="G20" s="331"/>
    </row>
    <row r="21" spans="1:7" ht="29.25" customHeight="1" x14ac:dyDescent="0.15">
      <c r="A21" s="330" t="s">
        <v>97</v>
      </c>
      <c r="B21" s="330"/>
      <c r="C21" s="330"/>
      <c r="D21" s="330"/>
      <c r="E21" s="330"/>
      <c r="F21" s="330"/>
      <c r="G21" s="330"/>
    </row>
    <row r="22" spans="1:7" s="117" customFormat="1" ht="18" customHeight="1" x14ac:dyDescent="0.2">
      <c r="A22" s="128"/>
      <c r="C22" s="128"/>
      <c r="D22" s="128"/>
      <c r="E22" s="128"/>
      <c r="F22" s="129" t="s">
        <v>96</v>
      </c>
      <c r="G22" s="128"/>
    </row>
    <row r="23" spans="1:7" s="117" customFormat="1" ht="18" customHeight="1" x14ac:dyDescent="0.2">
      <c r="C23" s="334" t="s">
        <v>95</v>
      </c>
      <c r="D23" s="335"/>
      <c r="E23" s="336"/>
      <c r="F23" s="126">
        <v>50490</v>
      </c>
    </row>
    <row r="24" spans="1:7" s="117" customFormat="1" ht="18" customHeight="1" x14ac:dyDescent="0.2">
      <c r="C24" s="334" t="s">
        <v>94</v>
      </c>
      <c r="D24" s="335"/>
      <c r="E24" s="336"/>
      <c r="F24" s="126">
        <v>9350</v>
      </c>
    </row>
    <row r="25" spans="1:7" s="117" customFormat="1" ht="18" customHeight="1" x14ac:dyDescent="0.2">
      <c r="C25" s="334" t="s">
        <v>93</v>
      </c>
      <c r="D25" s="335"/>
      <c r="E25" s="336"/>
      <c r="F25" s="126">
        <v>61000</v>
      </c>
    </row>
    <row r="26" spans="1:7" s="117" customFormat="1" ht="18" customHeight="1" x14ac:dyDescent="0.2">
      <c r="C26" s="334" t="s">
        <v>92</v>
      </c>
      <c r="D26" s="335"/>
      <c r="E26" s="336"/>
      <c r="F26" s="126">
        <v>10000</v>
      </c>
    </row>
    <row r="27" spans="1:7" s="117" customFormat="1" ht="18" customHeight="1" x14ac:dyDescent="0.2">
      <c r="C27" s="334" t="s">
        <v>91</v>
      </c>
      <c r="D27" s="335"/>
      <c r="E27" s="336"/>
      <c r="F27" s="126">
        <v>14960</v>
      </c>
    </row>
    <row r="28" spans="1:7" s="117" customFormat="1" ht="18" customHeight="1" x14ac:dyDescent="0.2">
      <c r="C28" s="334" t="s">
        <v>90</v>
      </c>
      <c r="D28" s="335"/>
      <c r="E28" s="336"/>
      <c r="F28" s="127">
        <v>46750</v>
      </c>
    </row>
    <row r="29" spans="1:7" s="117" customFormat="1" ht="18" customHeight="1" x14ac:dyDescent="0.2">
      <c r="C29" s="334" t="s">
        <v>89</v>
      </c>
      <c r="D29" s="335"/>
      <c r="E29" s="336"/>
      <c r="F29" s="126">
        <v>33660</v>
      </c>
    </row>
    <row r="30" spans="1:7" s="117" customFormat="1" ht="18" customHeight="1" x14ac:dyDescent="0.2">
      <c r="C30" s="334" t="s">
        <v>111</v>
      </c>
      <c r="D30" s="335"/>
      <c r="E30" s="336"/>
      <c r="F30" s="126">
        <v>5610</v>
      </c>
    </row>
    <row r="31" spans="1:7" s="117" customFormat="1" ht="18" customHeight="1" x14ac:dyDescent="0.2">
      <c r="D31" s="125"/>
      <c r="E31" s="124" t="s">
        <v>88</v>
      </c>
      <c r="F31" s="123">
        <f>SUM(F23:F30)</f>
        <v>231820</v>
      </c>
    </row>
  </sheetData>
  <mergeCells count="15">
    <mergeCell ref="C30:E30"/>
    <mergeCell ref="C23:E23"/>
    <mergeCell ref="C24:E24"/>
    <mergeCell ref="C25:E25"/>
    <mergeCell ref="C26:E26"/>
    <mergeCell ref="C27:E27"/>
    <mergeCell ref="C28:E28"/>
    <mergeCell ref="C29:E29"/>
    <mergeCell ref="A21:G21"/>
    <mergeCell ref="A16:G16"/>
    <mergeCell ref="A20:G20"/>
    <mergeCell ref="A1:G1"/>
    <mergeCell ref="A9:G9"/>
    <mergeCell ref="A11:G11"/>
    <mergeCell ref="A13:G13"/>
  </mergeCells>
  <phoneticPr fontId="2"/>
  <pageMargins left="0.98425196850393704" right="0.39370078740157483" top="0.98425196850393704" bottom="0.78740157480314965" header="0.51181102362204722" footer="0.51181102362204722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決算収入</vt:lpstr>
      <vt:lpstr>決算支出</vt:lpstr>
      <vt:lpstr>一般会計報告</vt:lpstr>
      <vt:lpstr>一般会計報告!Print_Area</vt:lpstr>
      <vt:lpstr>決算支出!Print_Area</vt:lpstr>
      <vt:lpstr>決算収入!Print_Area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岳 橋本</cp:lastModifiedBy>
  <cp:lastPrinted>2025-04-12T00:57:19Z</cp:lastPrinted>
  <dcterms:created xsi:type="dcterms:W3CDTF">2004-03-15T07:30:01Z</dcterms:created>
  <dcterms:modified xsi:type="dcterms:W3CDTF">2025-04-12T01:14:43Z</dcterms:modified>
</cp:coreProperties>
</file>