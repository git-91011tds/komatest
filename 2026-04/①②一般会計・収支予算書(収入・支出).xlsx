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★会計★/②一般会計/2025-R8会計年度/予算ねた/"/>
    </mc:Choice>
  </mc:AlternateContent>
  <xr:revisionPtr revIDLastSave="928" documentId="8_{F7D07766-F7B2-4E0D-B9FD-C7B50BB2D42E}" xr6:coauthVersionLast="47" xr6:coauthVersionMax="47" xr10:uidLastSave="{76AA12FC-5A9B-4C28-A1C3-1A7FBF9C205D}"/>
  <bookViews>
    <workbookView xWindow="1905" yWindow="750" windowWidth="17580" windowHeight="14325" xr2:uid="{00000000-000D-0000-FFFF-FFFF00000000}"/>
  </bookViews>
  <sheets>
    <sheet name="令和８年度 一般会計 収支予算（案）" sheetId="1" r:id="rId1"/>
    <sheet name="（支出）の分" sheetId="2" r:id="rId2"/>
  </sheets>
  <definedNames>
    <definedName name="_xlnm.Print_Area" localSheetId="1">'（支出）の分'!$A$1:$H$39</definedName>
    <definedName name="_xlnm.Print_Area" localSheetId="0">'令和８年度 一般会計 収支予算（案）'!$A$1:$H$34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1" i="2"/>
  <c r="E28" i="2"/>
  <c r="D28" i="2"/>
  <c r="C28" i="2"/>
  <c r="E27" i="2"/>
  <c r="E26" i="2"/>
  <c r="E25" i="2"/>
  <c r="D25" i="2"/>
  <c r="C25" i="2"/>
  <c r="E20" i="2"/>
  <c r="E18" i="2"/>
  <c r="E16" i="2"/>
  <c r="E13" i="2"/>
  <c r="E11" i="2"/>
  <c r="E9" i="2"/>
  <c r="E8" i="2"/>
  <c r="C8" i="2"/>
  <c r="D8" i="2"/>
  <c r="D4" i="2"/>
  <c r="C4" i="2"/>
  <c r="C13" i="1"/>
  <c r="C7" i="1"/>
  <c r="C4" i="1"/>
  <c r="J16" i="1" l="1"/>
  <c r="D37" i="2" l="1"/>
  <c r="E35" i="2"/>
  <c r="E34" i="2"/>
  <c r="E33" i="2"/>
  <c r="E32" i="2"/>
  <c r="E30" i="2"/>
  <c r="E29" i="2"/>
  <c r="D22" i="2"/>
  <c r="C22" i="2"/>
  <c r="I18" i="2"/>
  <c r="E7" i="2"/>
  <c r="E6" i="2"/>
  <c r="E4" i="2"/>
  <c r="D6" i="1"/>
  <c r="D22" i="1" l="1"/>
  <c r="J4" i="1" l="1"/>
  <c r="J14" i="1" l="1"/>
  <c r="J13" i="1" s="1"/>
  <c r="E30" i="1" l="1"/>
  <c r="E27" i="1"/>
  <c r="D4" i="1" l="1"/>
  <c r="I14" i="1" l="1"/>
  <c r="I13" i="1" s="1"/>
  <c r="C6" i="1" s="1"/>
  <c r="E4" i="1"/>
  <c r="E24" i="1" l="1"/>
  <c r="C22" i="1"/>
  <c r="E25" i="1"/>
  <c r="E23" i="1"/>
  <c r="E19" i="1"/>
  <c r="E13" i="1"/>
  <c r="E11" i="1"/>
  <c r="E9" i="1"/>
  <c r="E7" i="1"/>
  <c r="E6" i="1" l="1"/>
  <c r="C38" i="2"/>
  <c r="E22" i="1"/>
  <c r="E33" i="1" l="1"/>
  <c r="E38" i="2"/>
  <c r="C37" i="2"/>
  <c r="E37" i="2" l="1"/>
  <c r="I40" i="2"/>
</calcChain>
</file>

<file path=xl/sharedStrings.xml><?xml version="1.0" encoding="utf-8"?>
<sst xmlns="http://schemas.openxmlformats.org/spreadsheetml/2006/main" count="114" uniqueCount="105">
  <si>
    <t>本年度予算額</t>
    <rPh sb="0" eb="1">
      <t>ホン</t>
    </rPh>
    <rPh sb="1" eb="3">
      <t>ネンド</t>
    </rPh>
    <rPh sb="3" eb="5">
      <t>ヨサン</t>
    </rPh>
    <rPh sb="5" eb="6">
      <t>ガク</t>
    </rPh>
    <phoneticPr fontId="3"/>
  </si>
  <si>
    <t>前年度予算額</t>
    <rPh sb="0" eb="3">
      <t>ゼンネンド</t>
    </rPh>
    <rPh sb="3" eb="5">
      <t>ヨサン</t>
    </rPh>
    <rPh sb="5" eb="6">
      <t>ガク</t>
    </rPh>
    <phoneticPr fontId="3"/>
  </si>
  <si>
    <t>説　　　　　　　　　明</t>
    <rPh sb="0" eb="1">
      <t>セツ</t>
    </rPh>
    <rPh sb="10" eb="11">
      <t>メイ</t>
    </rPh>
    <phoneticPr fontId="3"/>
  </si>
  <si>
    <t>科　　　　　目</t>
    <rPh sb="0" eb="1">
      <t>カ</t>
    </rPh>
    <rPh sb="6" eb="7">
      <t>モク</t>
    </rPh>
    <phoneticPr fontId="3"/>
  </si>
  <si>
    <t>増（△減）</t>
    <rPh sb="0" eb="1">
      <t>ゾウ</t>
    </rPh>
    <rPh sb="3" eb="4">
      <t>ゲン</t>
    </rPh>
    <phoneticPr fontId="3"/>
  </si>
  <si>
    <t>6．繰越金</t>
    <rPh sb="2" eb="4">
      <t>クリコシ</t>
    </rPh>
    <rPh sb="4" eb="5">
      <t>キン</t>
    </rPh>
    <phoneticPr fontId="3"/>
  </si>
  <si>
    <t>（単位：　円）</t>
    <rPh sb="1" eb="2">
      <t>タン</t>
    </rPh>
    <rPh sb="2" eb="3">
      <t>イ</t>
    </rPh>
    <rPh sb="5" eb="6">
      <t>エン</t>
    </rPh>
    <phoneticPr fontId="3"/>
  </si>
  <si>
    <t xml:space="preserve"> </t>
    <phoneticPr fontId="3"/>
  </si>
  <si>
    <t>3．事業収入</t>
    <rPh sb="2" eb="4">
      <t>ジギョウ</t>
    </rPh>
    <rPh sb="4" eb="6">
      <t>シュウニュウ</t>
    </rPh>
    <phoneticPr fontId="3"/>
  </si>
  <si>
    <t xml:space="preserve">  (2) 街路防犯灯</t>
    <rPh sb="6" eb="8">
      <t>ガイロ</t>
    </rPh>
    <rPh sb="8" eb="10">
      <t>ボウハン</t>
    </rPh>
    <rPh sb="10" eb="11">
      <t>トウ</t>
    </rPh>
    <phoneticPr fontId="3"/>
  </si>
  <si>
    <t>　　  関係補助金</t>
    <rPh sb="4" eb="6">
      <t>カンケイ</t>
    </rPh>
    <rPh sb="6" eb="9">
      <t>ホジョキン</t>
    </rPh>
    <phoneticPr fontId="3"/>
  </si>
  <si>
    <t xml:space="preserve">  (1)ｺﾐｭﾆﾃｨ関連</t>
    <rPh sb="11" eb="13">
      <t>カンレン</t>
    </rPh>
    <phoneticPr fontId="3"/>
  </si>
  <si>
    <t>　   補助金</t>
    <rPh sb="4" eb="6">
      <t>ホジョ</t>
    </rPh>
    <rPh sb="6" eb="7">
      <t>キン</t>
    </rPh>
    <phoneticPr fontId="3"/>
  </si>
  <si>
    <t>　　　整備補助金</t>
    <rPh sb="3" eb="5">
      <t>セイビ</t>
    </rPh>
    <rPh sb="5" eb="8">
      <t>ホジョキン</t>
    </rPh>
    <phoneticPr fontId="3"/>
  </si>
  <si>
    <t>4．諸収入</t>
    <rPh sb="2" eb="3">
      <t>ショ</t>
    </rPh>
    <rPh sb="3" eb="5">
      <t>シュウニュウ</t>
    </rPh>
    <phoneticPr fontId="3"/>
  </si>
  <si>
    <t>　(2) 繰入金</t>
    <rPh sb="5" eb="7">
      <t>クリイレ</t>
    </rPh>
    <rPh sb="7" eb="8">
      <t>キン</t>
    </rPh>
    <phoneticPr fontId="3"/>
  </si>
  <si>
    <t>　(1) 寄付金</t>
    <rPh sb="5" eb="8">
      <t>キフキン</t>
    </rPh>
    <phoneticPr fontId="3"/>
  </si>
  <si>
    <t xml:space="preserve">  (3) その他諸収入</t>
    <rPh sb="8" eb="9">
      <t>タ</t>
    </rPh>
    <rPh sb="9" eb="10">
      <t>ショ</t>
    </rPh>
    <rPh sb="10" eb="12">
      <t>シュウニュウ</t>
    </rPh>
    <phoneticPr fontId="3"/>
  </si>
  <si>
    <t>5．積立金取崩収入</t>
    <rPh sb="2" eb="4">
      <t>ツミタテ</t>
    </rPh>
    <rPh sb="4" eb="5">
      <t>キン</t>
    </rPh>
    <rPh sb="5" eb="7">
      <t>トリクズ</t>
    </rPh>
    <rPh sb="7" eb="9">
      <t>シュウニュウ</t>
    </rPh>
    <phoneticPr fontId="3"/>
  </si>
  <si>
    <t>収入合計</t>
    <rPh sb="0" eb="2">
      <t>シュウニュウ</t>
    </rPh>
    <rPh sb="2" eb="3">
      <t>ゴウ</t>
    </rPh>
    <rPh sb="3" eb="4">
      <t>ケイ</t>
    </rPh>
    <phoneticPr fontId="3"/>
  </si>
  <si>
    <t>（収　入）</t>
    <rPh sb="1" eb="2">
      <t>オサム</t>
    </rPh>
    <rPh sb="3" eb="4">
      <t>ニュウ</t>
    </rPh>
    <phoneticPr fontId="3"/>
  </si>
  <si>
    <t>R.4</t>
    <phoneticPr fontId="3"/>
  </si>
  <si>
    <t>R.3</t>
    <phoneticPr fontId="3"/>
  </si>
  <si>
    <t xml:space="preserve">※街路防犯灯の管理は横須賀市へ   </t>
    <rPh sb="1" eb="3">
      <t>ガイロ</t>
    </rPh>
    <rPh sb="3" eb="5">
      <t>ボウハン</t>
    </rPh>
    <rPh sb="5" eb="6">
      <t>トウ</t>
    </rPh>
    <rPh sb="7" eb="9">
      <t>カンリ</t>
    </rPh>
    <rPh sb="10" eb="14">
      <t>ヨコスカシ</t>
    </rPh>
    <phoneticPr fontId="3"/>
  </si>
  <si>
    <t>※別途会計からの繰入金</t>
    <phoneticPr fontId="3"/>
  </si>
  <si>
    <t xml:space="preserve">  (2) 防災器材等</t>
    <rPh sb="6" eb="8">
      <t>ボウサイ</t>
    </rPh>
    <rPh sb="8" eb="10">
      <t>キザイ</t>
    </rPh>
    <rPh sb="10" eb="11">
      <t>トウ</t>
    </rPh>
    <phoneticPr fontId="3"/>
  </si>
  <si>
    <t>▼前年度</t>
    <rPh sb="1" eb="4">
      <t>ゼンネンド</t>
    </rPh>
    <phoneticPr fontId="3"/>
  </si>
  <si>
    <t>2．補助金収入</t>
    <rPh sb="2" eb="5">
      <t>ホジョキン</t>
    </rPh>
    <rPh sb="5" eb="7">
      <t>シュウニュウ</t>
    </rPh>
    <phoneticPr fontId="3"/>
  </si>
  <si>
    <t>1．会費収入</t>
    <rPh sb="2" eb="4">
      <t>カイヒ</t>
    </rPh>
    <rPh sb="4" eb="6">
      <t>シュウニュウ</t>
    </rPh>
    <phoneticPr fontId="3"/>
  </si>
  <si>
    <t xml:space="preserve">  (3) その他</t>
    <phoneticPr fontId="3"/>
  </si>
  <si>
    <t>　　   補助金・奨励金</t>
    <rPh sb="9" eb="11">
      <t>ショウレイ</t>
    </rPh>
    <rPh sb="11" eb="12">
      <t>キン</t>
    </rPh>
    <phoneticPr fontId="3"/>
  </si>
  <si>
    <t xml:space="preserve">  広報よこすか配布手数料 52,440円</t>
    <rPh sb="20" eb="21">
      <t>エン</t>
    </rPh>
    <phoneticPr fontId="3"/>
  </si>
  <si>
    <t>（支　出）</t>
    <rPh sb="1" eb="2">
      <t>シ</t>
    </rPh>
    <rPh sb="3" eb="4">
      <t>デ</t>
    </rPh>
    <phoneticPr fontId="22"/>
  </si>
  <si>
    <t>R.4</t>
    <phoneticPr fontId="22"/>
  </si>
  <si>
    <t>R.3</t>
    <phoneticPr fontId="22"/>
  </si>
  <si>
    <t>（単位：　円）</t>
  </si>
  <si>
    <t>▼前年度実績</t>
    <rPh sb="1" eb="4">
      <t>ゼンネンド</t>
    </rPh>
    <rPh sb="4" eb="6">
      <t>ジッセキ</t>
    </rPh>
    <phoneticPr fontId="3"/>
  </si>
  <si>
    <t>1．施設・器材費</t>
    <rPh sb="2" eb="4">
      <t>シセツ</t>
    </rPh>
    <rPh sb="5" eb="7">
      <t>キザイ</t>
    </rPh>
    <rPh sb="7" eb="8">
      <t>ヒ</t>
    </rPh>
    <phoneticPr fontId="22"/>
  </si>
  <si>
    <t>　（1）防犯灯設置管理費</t>
    <rPh sb="4" eb="6">
      <t>ボウハン</t>
    </rPh>
    <rPh sb="6" eb="7">
      <t>トウ</t>
    </rPh>
    <rPh sb="7" eb="9">
      <t>セッチ</t>
    </rPh>
    <rPh sb="9" eb="11">
      <t>カンリ</t>
    </rPh>
    <rPh sb="11" eb="12">
      <t>ヒ</t>
    </rPh>
    <phoneticPr fontId="22"/>
  </si>
  <si>
    <t xml:space="preserve"> 街路防犯灯管理は横須賀市へ移管</t>
    <rPh sb="1" eb="3">
      <t>ガイロ</t>
    </rPh>
    <rPh sb="3" eb="6">
      <t>ボウハントウ</t>
    </rPh>
    <rPh sb="6" eb="8">
      <t>カンリ</t>
    </rPh>
    <rPh sb="9" eb="13">
      <t>ヨコスカシ</t>
    </rPh>
    <rPh sb="14" eb="16">
      <t>イカン</t>
    </rPh>
    <phoneticPr fontId="22"/>
  </si>
  <si>
    <t>　（2）防災器材購入費</t>
    <rPh sb="4" eb="6">
      <t>ボウサイ</t>
    </rPh>
    <rPh sb="6" eb="8">
      <t>キザイ</t>
    </rPh>
    <rPh sb="8" eb="11">
      <t>コウニュウヒ</t>
    </rPh>
    <phoneticPr fontId="22"/>
  </si>
  <si>
    <t xml:space="preserve"> 自主防災計画に基づき支出増減あり</t>
    <rPh sb="1" eb="3">
      <t>ジシュ</t>
    </rPh>
    <rPh sb="3" eb="5">
      <t>ボウサイ</t>
    </rPh>
    <rPh sb="5" eb="7">
      <t>ケイカク</t>
    </rPh>
    <rPh sb="8" eb="9">
      <t>モト</t>
    </rPh>
    <rPh sb="11" eb="13">
      <t>シシュツ</t>
    </rPh>
    <rPh sb="13" eb="15">
      <t>ゾウゲン</t>
    </rPh>
    <phoneticPr fontId="22"/>
  </si>
  <si>
    <t>　（3）施設器材等整備費</t>
    <rPh sb="4" eb="6">
      <t>シセツ</t>
    </rPh>
    <rPh sb="6" eb="8">
      <t>キザイ</t>
    </rPh>
    <rPh sb="8" eb="9">
      <t>トウ</t>
    </rPh>
    <rPh sb="9" eb="11">
      <t>セイビ</t>
    </rPh>
    <rPh sb="11" eb="12">
      <t>ヒ</t>
    </rPh>
    <phoneticPr fontId="22"/>
  </si>
  <si>
    <t>2．ｺﾐｭﾆﾃｨ活動費</t>
    <rPh sb="8" eb="10">
      <t>カツドウ</t>
    </rPh>
    <rPh sb="10" eb="11">
      <t>ヒ</t>
    </rPh>
    <phoneticPr fontId="22"/>
  </si>
  <si>
    <t>［前年度実績：　331,688円］</t>
    <phoneticPr fontId="22"/>
  </si>
  <si>
    <t>　（1）事務連絡活動費</t>
    <rPh sb="4" eb="6">
      <t>ジム</t>
    </rPh>
    <rPh sb="6" eb="8">
      <t>レンラク</t>
    </rPh>
    <rPh sb="8" eb="10">
      <t>カツドウ</t>
    </rPh>
    <rPh sb="10" eb="11">
      <t>ヒ</t>
    </rPh>
    <phoneticPr fontId="22"/>
  </si>
  <si>
    <t>　（2)青少年育成活動費</t>
    <rPh sb="4" eb="7">
      <t>セイショウネン</t>
    </rPh>
    <rPh sb="7" eb="9">
      <t>イクセイ</t>
    </rPh>
    <rPh sb="9" eb="11">
      <t>カツドウ</t>
    </rPh>
    <rPh sb="11" eb="12">
      <t>ヒ</t>
    </rPh>
    <phoneticPr fontId="22"/>
  </si>
  <si>
    <t>　少年部活動費　　　　　</t>
    <phoneticPr fontId="22"/>
  </si>
  <si>
    <t>　（3）文化活動費</t>
    <rPh sb="4" eb="6">
      <t>ブンカ</t>
    </rPh>
    <rPh sb="6" eb="8">
      <t>カツドウ</t>
    </rPh>
    <rPh sb="8" eb="9">
      <t>ヒ</t>
    </rPh>
    <phoneticPr fontId="22"/>
  </si>
  <si>
    <t>　（4)体育振興費</t>
    <rPh sb="4" eb="6">
      <t>タイイク</t>
    </rPh>
    <rPh sb="6" eb="8">
      <t>シンコウ</t>
    </rPh>
    <rPh sb="8" eb="9">
      <t>ヒ</t>
    </rPh>
    <phoneticPr fontId="22"/>
  </si>
  <si>
    <t>　健民運動会 10万円</t>
    <rPh sb="1" eb="2">
      <t>ケン</t>
    </rPh>
    <rPh sb="2" eb="3">
      <t>ミン</t>
    </rPh>
    <rPh sb="3" eb="6">
      <t>ウンドウカイ</t>
    </rPh>
    <rPh sb="9" eb="11">
      <t>マンエン</t>
    </rPh>
    <phoneticPr fontId="22"/>
  </si>
  <si>
    <t>　（5)安全活動費</t>
    <rPh sb="4" eb="6">
      <t>アンゼン</t>
    </rPh>
    <rPh sb="6" eb="8">
      <t>カツドウ</t>
    </rPh>
    <rPh sb="8" eb="9">
      <t>ヒ</t>
    </rPh>
    <phoneticPr fontId="22"/>
  </si>
  <si>
    <t>　（6）福祉厚生費</t>
    <rPh sb="4" eb="6">
      <t>フクシ</t>
    </rPh>
    <rPh sb="6" eb="8">
      <t>コウセイ</t>
    </rPh>
    <rPh sb="8" eb="9">
      <t>ヒ</t>
    </rPh>
    <phoneticPr fontId="22"/>
  </si>
  <si>
    <t>3．広報活動費</t>
    <rPh sb="2" eb="4">
      <t>コウホウ</t>
    </rPh>
    <rPh sb="4" eb="6">
      <t>カツドウ</t>
    </rPh>
    <rPh sb="6" eb="7">
      <t>ヒ</t>
    </rPh>
    <phoneticPr fontId="22"/>
  </si>
  <si>
    <t>　（1）広報作成費</t>
    <rPh sb="4" eb="6">
      <t>コウホウ</t>
    </rPh>
    <rPh sb="6" eb="8">
      <t>サクセイ</t>
    </rPh>
    <rPh sb="8" eb="9">
      <t>ヒ</t>
    </rPh>
    <phoneticPr fontId="22"/>
  </si>
  <si>
    <t>　（2）配布費</t>
    <rPh sb="4" eb="6">
      <t>ハイフ</t>
    </rPh>
    <rPh sb="6" eb="7">
      <t>ヒ</t>
    </rPh>
    <phoneticPr fontId="22"/>
  </si>
  <si>
    <t>4．環境費</t>
    <rPh sb="2" eb="4">
      <t>カンキョウ</t>
    </rPh>
    <rPh sb="4" eb="5">
      <t>ヒ</t>
    </rPh>
    <phoneticPr fontId="22"/>
  </si>
  <si>
    <t>　（1）公園清掃費</t>
    <rPh sb="4" eb="6">
      <t>コウエン</t>
    </rPh>
    <rPh sb="6" eb="8">
      <t>セイソウ</t>
    </rPh>
    <rPh sb="8" eb="9">
      <t>ヒ</t>
    </rPh>
    <phoneticPr fontId="22"/>
  </si>
  <si>
    <t>　（2）クリーン活動費</t>
    <rPh sb="8" eb="10">
      <t>カツドウ</t>
    </rPh>
    <rPh sb="10" eb="11">
      <t>ヒ</t>
    </rPh>
    <phoneticPr fontId="22"/>
  </si>
  <si>
    <t>5.　運営費</t>
    <rPh sb="3" eb="5">
      <t>ウンエイ</t>
    </rPh>
    <rPh sb="5" eb="6">
      <t>ヒ</t>
    </rPh>
    <phoneticPr fontId="22"/>
  </si>
  <si>
    <t>　（1）会議費</t>
    <rPh sb="4" eb="7">
      <t>カイギヒ</t>
    </rPh>
    <phoneticPr fontId="22"/>
  </si>
  <si>
    <t>　（2）交通通信費</t>
    <rPh sb="4" eb="6">
      <t>コウツウ</t>
    </rPh>
    <rPh sb="6" eb="8">
      <t>ツウシン</t>
    </rPh>
    <rPh sb="8" eb="9">
      <t>ヒ</t>
    </rPh>
    <phoneticPr fontId="22"/>
  </si>
  <si>
    <t>　（3）諸負担金</t>
    <rPh sb="4" eb="5">
      <t>ショ</t>
    </rPh>
    <rPh sb="5" eb="8">
      <t>フタンキン</t>
    </rPh>
    <phoneticPr fontId="22"/>
  </si>
  <si>
    <t>　（4）渉外慶弔費</t>
    <rPh sb="4" eb="6">
      <t>ショウガイ</t>
    </rPh>
    <rPh sb="6" eb="8">
      <t>ケイチョウ</t>
    </rPh>
    <rPh sb="8" eb="9">
      <t>ヒ</t>
    </rPh>
    <phoneticPr fontId="22"/>
  </si>
  <si>
    <t>　（5）保険料</t>
    <rPh sb="4" eb="7">
      <t>ホケンリョウ</t>
    </rPh>
    <phoneticPr fontId="22"/>
  </si>
  <si>
    <t>　自治会総合保険（前年度実績 22,500円）</t>
    <rPh sb="9" eb="12">
      <t>ゼンネンド</t>
    </rPh>
    <rPh sb="12" eb="14">
      <t>ジッセキ</t>
    </rPh>
    <rPh sb="21" eb="22">
      <t>エン</t>
    </rPh>
    <phoneticPr fontId="22"/>
  </si>
  <si>
    <t>6.　雑費(予備費)</t>
    <rPh sb="3" eb="5">
      <t>ザッピ</t>
    </rPh>
    <rPh sb="6" eb="9">
      <t>ヨビヒ</t>
    </rPh>
    <phoneticPr fontId="22"/>
  </si>
  <si>
    <t>7.　積立金</t>
    <rPh sb="3" eb="5">
      <t>ツミタテ</t>
    </rPh>
    <rPh sb="5" eb="6">
      <t>キン</t>
    </rPh>
    <phoneticPr fontId="22"/>
  </si>
  <si>
    <t>　会館維持補填費</t>
    <rPh sb="1" eb="3">
      <t>カイカン</t>
    </rPh>
    <rPh sb="3" eb="5">
      <t>イジ</t>
    </rPh>
    <rPh sb="5" eb="7">
      <t>ホテン</t>
    </rPh>
    <rPh sb="7" eb="8">
      <t>ヒ</t>
    </rPh>
    <phoneticPr fontId="22"/>
  </si>
  <si>
    <t>8. 次年度繰越金</t>
    <rPh sb="3" eb="6">
      <t>ジネンド</t>
    </rPh>
    <rPh sb="6" eb="8">
      <t>クリコシ</t>
    </rPh>
    <rPh sb="8" eb="9">
      <t>キン</t>
    </rPh>
    <phoneticPr fontId="22"/>
  </si>
  <si>
    <t>　支出合計</t>
    <rPh sb="1" eb="3">
      <t>シシュツ</t>
    </rPh>
    <rPh sb="3" eb="5">
      <t>ゴウケイ</t>
    </rPh>
    <phoneticPr fontId="22"/>
  </si>
  <si>
    <t>←支出合計は、収入合計に連動。</t>
    <rPh sb="1" eb="3">
      <t>シシュツ</t>
    </rPh>
    <rPh sb="3" eb="5">
      <t>ゴウケイ</t>
    </rPh>
    <rPh sb="7" eb="9">
      <t>シュウニュウ</t>
    </rPh>
    <rPh sb="9" eb="11">
      <t>ゴウケイ</t>
    </rPh>
    <rPh sb="12" eb="14">
      <t>レンドウ</t>
    </rPh>
    <phoneticPr fontId="22"/>
  </si>
  <si>
    <t>　はたちの祝い品 2万円</t>
    <rPh sb="5" eb="6">
      <t>イワ</t>
    </rPh>
    <rPh sb="6" eb="7">
      <t>イワ</t>
    </rPh>
    <rPh sb="10" eb="12">
      <t>マンエン</t>
    </rPh>
    <phoneticPr fontId="22"/>
  </si>
  <si>
    <t>　夜警 5千円</t>
    <rPh sb="5" eb="7">
      <t>センエン</t>
    </rPh>
    <phoneticPr fontId="22"/>
  </si>
  <si>
    <t xml:space="preserve">  防災訓練 3万円</t>
    <rPh sb="8" eb="10">
      <t>マンエン</t>
    </rPh>
    <phoneticPr fontId="3"/>
  </si>
  <si>
    <t xml:space="preserve">  船越ファミリーフェスティバル 5万円</t>
    <rPh sb="2" eb="4">
      <t>フナコシ</t>
    </rPh>
    <rPh sb="18" eb="20">
      <t>マンエン</t>
    </rPh>
    <phoneticPr fontId="3"/>
  </si>
  <si>
    <t xml:space="preserve">  桜まつり 3万円</t>
    <rPh sb="2" eb="3">
      <t>サクラ</t>
    </rPh>
    <rPh sb="8" eb="10">
      <t>マンエン</t>
    </rPh>
    <phoneticPr fontId="3"/>
  </si>
  <si>
    <t xml:space="preserve">  懇親餅つき大会/芋煮会 9万円</t>
    <rPh sb="10" eb="12">
      <t>イモニ</t>
    </rPh>
    <rPh sb="12" eb="13">
      <t>カイ</t>
    </rPh>
    <rPh sb="15" eb="17">
      <t>マンエン</t>
    </rPh>
    <phoneticPr fontId="22"/>
  </si>
  <si>
    <t xml:space="preserve">  （前年度実績　64,209 円）</t>
    <rPh sb="3" eb="6">
      <t>ゼンネンド</t>
    </rPh>
    <rPh sb="6" eb="8">
      <t>ジッセキ</t>
    </rPh>
    <rPh sb="16" eb="17">
      <t>エン</t>
    </rPh>
    <phoneticPr fontId="22"/>
  </si>
  <si>
    <t xml:space="preserve">  （前年度実績　107,264 円）</t>
    <rPh sb="3" eb="6">
      <t>ゼンネンド</t>
    </rPh>
    <rPh sb="6" eb="8">
      <t>ジッセキ</t>
    </rPh>
    <rPh sb="17" eb="18">
      <t>エン</t>
    </rPh>
    <phoneticPr fontId="22"/>
  </si>
  <si>
    <t>　敬老（75才以上）祝い品 10万円</t>
    <rPh sb="1" eb="3">
      <t>ケイロウ</t>
    </rPh>
    <rPh sb="6" eb="7">
      <t>サイ</t>
    </rPh>
    <rPh sb="7" eb="9">
      <t>イジョウ</t>
    </rPh>
    <rPh sb="10" eb="11">
      <t>イワ</t>
    </rPh>
    <rPh sb="12" eb="13">
      <t>ヒン</t>
    </rPh>
    <rPh sb="16" eb="18">
      <t>マンエン</t>
    </rPh>
    <phoneticPr fontId="22"/>
  </si>
  <si>
    <t>　掃除用具,飲み物等</t>
    <rPh sb="6" eb="7">
      <t>ノ</t>
    </rPh>
    <rPh sb="8" eb="9">
      <t>モノ</t>
    </rPh>
    <rPh sb="9" eb="10">
      <t>トウ</t>
    </rPh>
    <phoneticPr fontId="22"/>
  </si>
  <si>
    <t>　掃除用具,飲み物（前年度実績 46,297円）</t>
    <rPh sb="1" eb="3">
      <t>ソウジ</t>
    </rPh>
    <rPh sb="3" eb="5">
      <t>ヨウグ</t>
    </rPh>
    <rPh sb="6" eb="7">
      <t>ノ</t>
    </rPh>
    <rPh sb="8" eb="9">
      <t>モノ</t>
    </rPh>
    <phoneticPr fontId="22"/>
  </si>
  <si>
    <t>　（前年度実績 6,226円）</t>
    <phoneticPr fontId="22"/>
  </si>
  <si>
    <t>　名刺、スペアキー作成等</t>
    <rPh sb="1" eb="3">
      <t>メイシ</t>
    </rPh>
    <rPh sb="9" eb="11">
      <t>サクセイ</t>
    </rPh>
    <rPh sb="11" eb="12">
      <t>トウ</t>
    </rPh>
    <phoneticPr fontId="22"/>
  </si>
  <si>
    <t>▼R7年度の実績</t>
    <rPh sb="3" eb="5">
      <t>ネンド</t>
    </rPh>
    <rPh sb="6" eb="8">
      <t>ジッセキ</t>
    </rPh>
    <phoneticPr fontId="22"/>
  </si>
  <si>
    <t>前年度からの繰越金（確定値）</t>
    <rPh sb="0" eb="3">
      <t>ゼンネンド</t>
    </rPh>
    <rPh sb="6" eb="8">
      <t>クリコシ</t>
    </rPh>
    <rPh sb="8" eb="9">
      <t>キン</t>
    </rPh>
    <rPh sb="12" eb="13">
      <t>チ</t>
    </rPh>
    <phoneticPr fontId="3"/>
  </si>
  <si>
    <t>　公園清掃報償金 66,800円</t>
    <rPh sb="1" eb="3">
      <t>コウエン</t>
    </rPh>
    <rPh sb="3" eb="5">
      <t>セイソウ</t>
    </rPh>
    <rPh sb="5" eb="8">
      <t>ホウショウキン</t>
    </rPh>
    <rPh sb="15" eb="16">
      <t>エン</t>
    </rPh>
    <phoneticPr fontId="3"/>
  </si>
  <si>
    <t xml:space="preserve">  資源回収奨励金 8,0000円</t>
    <rPh sb="16" eb="17">
      <t>エン</t>
    </rPh>
    <phoneticPr fontId="3"/>
  </si>
  <si>
    <t>▼本年度予想</t>
    <rPh sb="1" eb="4">
      <t>ホンネンド</t>
    </rPh>
    <rPh sb="4" eb="6">
      <t>ヨソウ</t>
    </rPh>
    <phoneticPr fontId="3"/>
  </si>
  <si>
    <t>▼R8単年度の収支予想</t>
    <rPh sb="3" eb="6">
      <t>タンネンド</t>
    </rPh>
    <rPh sb="7" eb="9">
      <t>シュウシ</t>
    </rPh>
    <rPh sb="9" eb="11">
      <t>ヨソウ</t>
    </rPh>
    <phoneticPr fontId="22"/>
  </si>
  <si>
    <t xml:space="preserve"> 189世帯 × 3,600円</t>
    <rPh sb="4" eb="6">
      <t>セタイ</t>
    </rPh>
    <rPh sb="14" eb="15">
      <t>エン</t>
    </rPh>
    <phoneticPr fontId="3"/>
  </si>
  <si>
    <t>230世帯×500円+204千円 = 319千円</t>
    <rPh sb="3" eb="5">
      <t>セタイ</t>
    </rPh>
    <rPh sb="9" eb="10">
      <t>エン</t>
    </rPh>
    <rPh sb="14" eb="15">
      <t>セン</t>
    </rPh>
    <rPh sb="15" eb="16">
      <t>エン</t>
    </rPh>
    <rPh sb="22" eb="23">
      <t>セン</t>
    </rPh>
    <rPh sb="23" eb="24">
      <t>エン</t>
    </rPh>
    <phoneticPr fontId="3"/>
  </si>
  <si>
    <t xml:space="preserve">  船越ファミリーフェスティバル  8 万円</t>
    <rPh sb="2" eb="4">
      <t>フナコシ</t>
    </rPh>
    <rPh sb="20" eb="22">
      <t>マンエン</t>
    </rPh>
    <phoneticPr fontId="3"/>
  </si>
  <si>
    <t xml:space="preserve">  さくら祭り 6 万円</t>
    <rPh sb="5" eb="6">
      <t>マツ</t>
    </rPh>
    <rPh sb="10" eb="11">
      <t>マン</t>
    </rPh>
    <rPh sb="11" eb="12">
      <t>エン</t>
    </rPh>
    <phoneticPr fontId="3"/>
  </si>
  <si>
    <t>内訳</t>
    <rPh sb="0" eb="2">
      <t>ウチワケ</t>
    </rPh>
    <phoneticPr fontId="3"/>
  </si>
  <si>
    <r>
      <t xml:space="preserve"> 会館LED化 </t>
    </r>
    <r>
      <rPr>
        <sz val="9"/>
        <rFont val="ＭＳ Ｐゴシック"/>
        <family val="3"/>
        <charset val="128"/>
      </rPr>
      <t>30</t>
    </r>
    <r>
      <rPr>
        <sz val="8"/>
        <rFont val="ＭＳ Ｐゴシック"/>
        <family val="3"/>
        <charset val="128"/>
      </rPr>
      <t xml:space="preserve">万円, 消防点検 </t>
    </r>
    <r>
      <rPr>
        <sz val="9"/>
        <rFont val="ＭＳ Ｐゴシック"/>
        <family val="3"/>
        <charset val="128"/>
      </rPr>
      <t>1.43</t>
    </r>
    <r>
      <rPr>
        <sz val="8"/>
        <rFont val="ＭＳ Ｐゴシック"/>
        <family val="3"/>
        <charset val="128"/>
      </rPr>
      <t>万円</t>
    </r>
    <rPh sb="1" eb="3">
      <t>カイカン</t>
    </rPh>
    <rPh sb="6" eb="7">
      <t>カ</t>
    </rPh>
    <rPh sb="10" eb="12">
      <t>マンエン</t>
    </rPh>
    <rPh sb="14" eb="16">
      <t>ショウボウ</t>
    </rPh>
    <rPh sb="16" eb="18">
      <t>テンケン</t>
    </rPh>
    <rPh sb="23" eb="25">
      <t>マンエン</t>
    </rPh>
    <phoneticPr fontId="22"/>
  </si>
  <si>
    <t>　印刷・事務用品等</t>
    <rPh sb="1" eb="3">
      <t>インサツ</t>
    </rPh>
    <rPh sb="4" eb="6">
      <t>ジム</t>
    </rPh>
    <rPh sb="6" eb="8">
      <t>ヨウヒン</t>
    </rPh>
    <rPh sb="8" eb="9">
      <t>ナド</t>
    </rPh>
    <phoneticPr fontId="22"/>
  </si>
  <si>
    <t>　ソフトボール大会 4万円</t>
    <rPh sb="7" eb="9">
      <t>タイカイ</t>
    </rPh>
    <rPh sb="11" eb="12">
      <t>マン</t>
    </rPh>
    <rPh sb="12" eb="13">
      <t>エン</t>
    </rPh>
    <phoneticPr fontId="22"/>
  </si>
  <si>
    <t>　（前年度実績 216,320円）</t>
    <phoneticPr fontId="22"/>
  </si>
  <si>
    <t>　祝金、香典等（前年度実績  12,000円）</t>
    <rPh sb="1" eb="2">
      <t>イワイ</t>
    </rPh>
    <rPh sb="2" eb="3">
      <t>キン</t>
    </rPh>
    <rPh sb="4" eb="6">
      <t>コウデン</t>
    </rPh>
    <rPh sb="6" eb="7">
      <t>トウ</t>
    </rPh>
    <rPh sb="8" eb="11">
      <t>ゼンネンド</t>
    </rPh>
    <rPh sb="11" eb="13">
      <t>ジッセキ</t>
    </rPh>
    <phoneticPr fontId="22"/>
  </si>
  <si>
    <t>　（前年度実績 19,580円）</t>
    <phoneticPr fontId="22"/>
  </si>
  <si>
    <t>器材等購入費（12.5万円)の８割として</t>
    <rPh sb="0" eb="2">
      <t>キザイ</t>
    </rPh>
    <rPh sb="2" eb="3">
      <t>トウ</t>
    </rPh>
    <rPh sb="3" eb="6">
      <t>コウニュウヒ</t>
    </rPh>
    <rPh sb="11" eb="13">
      <t>マンエン</t>
    </rPh>
    <rPh sb="16" eb="17">
      <t>ワリ</t>
    </rPh>
    <phoneticPr fontId="3"/>
  </si>
  <si>
    <t>会長活動費 12,000円</t>
    <rPh sb="0" eb="2">
      <t>カイチョウ</t>
    </rPh>
    <rPh sb="2" eb="4">
      <t>カツドウ</t>
    </rPh>
    <rPh sb="4" eb="5">
      <t>ヒ</t>
    </rPh>
    <rPh sb="12" eb="13">
      <t>エン</t>
    </rPh>
    <phoneticPr fontId="3"/>
  </si>
  <si>
    <t xml:space="preserve">  防災訓練補助金 30,000円/100名</t>
    <rPh sb="16" eb="17">
      <t>エン</t>
    </rPh>
    <rPh sb="20" eb="21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</si>
</sst>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#,##0;&quot;△ &quot;#,##0"/>
    <numFmt numFmtId="177" formatCode="#,##0_ 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4"/>
      <name val="ＭＳ Ｐゴシック"/>
      <family val="2"/>
      <charset val="128"/>
    </font>
    <font>
      <sz val="11"/>
      <name val="ＭＳ Ｐゴシック"/>
      <family val="2"/>
      <charset val="128"/>
    </font>
    <font>
      <sz val="12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0"/>
      <color rgb="FFFF0000"/>
      <name val="ＭＳ Ｐゴシック"/>
      <family val="3"/>
      <charset val="128"/>
    </font>
    <font>
      <sz val="12"/>
      <color rgb="FFFF0000"/>
      <name val="ＭＳ Ｐゴシック"/>
      <family val="2"/>
      <charset val="128"/>
    </font>
    <font>
      <sz val="11"/>
      <color rgb="FF0070C0"/>
      <name val="ＭＳ Ｐゴシック"/>
      <family val="3"/>
      <charset val="128"/>
    </font>
    <font>
      <sz val="11"/>
      <color rgb="FF00B050"/>
      <name val="ＭＳ Ｐゴシック"/>
      <family val="3"/>
      <charset val="128"/>
    </font>
    <font>
      <sz val="12"/>
      <color rgb="FF00B050"/>
      <name val="ＭＳ Ｐゴシック"/>
      <family val="2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4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9"/>
      <name val="ＭＳ Ｐゴシック"/>
      <family val="2"/>
      <charset val="128"/>
    </font>
    <font>
      <sz val="9"/>
      <color rgb="FF00B050"/>
      <name val="ＭＳ Ｐゴシック"/>
      <family val="2"/>
      <charset val="128"/>
    </font>
    <font>
      <sz val="10"/>
      <name val="ＭＳ Ｐゴシック"/>
      <family val="2"/>
      <charset val="128"/>
      <scheme val="minor"/>
    </font>
    <font>
      <sz val="10"/>
      <color rgb="FF0070C0"/>
      <name val="ＭＳ Ｐゴシック"/>
      <family val="2"/>
      <charset val="128"/>
    </font>
    <font>
      <sz val="12"/>
      <color theme="0"/>
      <name val="ＭＳ Ｐゴシック"/>
      <family val="3"/>
      <charset val="128"/>
    </font>
    <font>
      <sz val="12"/>
      <color theme="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ashed">
        <color indexed="64"/>
      </bottom>
      <diagonal/>
    </border>
    <border>
      <left/>
      <right/>
      <top style="hair">
        <color indexed="64"/>
      </top>
      <bottom style="dashed">
        <color indexed="64"/>
      </bottom>
      <diagonal/>
    </border>
    <border>
      <left/>
      <right style="medium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hair">
        <color indexed="64"/>
      </bottom>
      <diagonal/>
    </border>
    <border>
      <left/>
      <right/>
      <top style="dashed">
        <color indexed="64"/>
      </top>
      <bottom style="hair">
        <color indexed="64"/>
      </bottom>
      <diagonal/>
    </border>
    <border>
      <left/>
      <right style="medium">
        <color indexed="64"/>
      </right>
      <top style="dashed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38" fontId="11" fillId="0" borderId="0" applyFont="0" applyFill="0" applyBorder="0" applyAlignment="0" applyProtection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76" fontId="4" fillId="0" borderId="8" xfId="0" applyNumberFormat="1" applyFont="1" applyBorder="1" applyAlignment="1">
      <alignment horizontal="right" vertical="center"/>
    </xf>
    <xf numFmtId="176" fontId="4" fillId="0" borderId="9" xfId="0" applyNumberFormat="1" applyFont="1" applyBorder="1" applyAlignment="1">
      <alignment horizontal="right" vertical="center"/>
    </xf>
    <xf numFmtId="176" fontId="4" fillId="0" borderId="10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0" xfId="0" applyNumberFormat="1"/>
    <xf numFmtId="0" fontId="9" fillId="0" borderId="0" xfId="0" applyFont="1"/>
    <xf numFmtId="0" fontId="13" fillId="0" borderId="0" xfId="0" applyFont="1"/>
    <xf numFmtId="38" fontId="0" fillId="0" borderId="0" xfId="0" applyNumberFormat="1"/>
    <xf numFmtId="0" fontId="5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6" fillId="2" borderId="0" xfId="0" applyFont="1" applyFill="1"/>
    <xf numFmtId="5" fontId="0" fillId="2" borderId="0" xfId="0" applyNumberFormat="1" applyFill="1"/>
    <xf numFmtId="5" fontId="8" fillId="0" borderId="0" xfId="0" applyNumberFormat="1" applyFont="1"/>
    <xf numFmtId="0" fontId="6" fillId="0" borderId="2" xfId="0" applyFont="1" applyBorder="1" applyAlignment="1">
      <alignment horizontal="left" vertical="center"/>
    </xf>
    <xf numFmtId="3" fontId="0" fillId="0" borderId="0" xfId="0" applyNumberFormat="1" applyAlignment="1">
      <alignment horizontal="right"/>
    </xf>
    <xf numFmtId="0" fontId="16" fillId="0" borderId="12" xfId="0" applyFont="1" applyBorder="1" applyAlignment="1">
      <alignment horizontal="left" vertical="center"/>
    </xf>
    <xf numFmtId="38" fontId="10" fillId="0" borderId="12" xfId="1" applyFont="1" applyBorder="1" applyAlignment="1">
      <alignment horizontal="center" vertical="center"/>
    </xf>
    <xf numFmtId="38" fontId="2" fillId="0" borderId="12" xfId="1" applyFont="1" applyBorder="1" applyAlignment="1">
      <alignment horizontal="center" vertical="center"/>
    </xf>
    <xf numFmtId="38" fontId="12" fillId="0" borderId="1" xfId="1" applyFont="1" applyBorder="1" applyAlignment="1">
      <alignment horizontal="right" vertical="center"/>
    </xf>
    <xf numFmtId="38" fontId="10" fillId="0" borderId="15" xfId="1" applyFont="1" applyBorder="1" applyAlignment="1">
      <alignment horizontal="right" vertical="center"/>
    </xf>
    <xf numFmtId="38" fontId="15" fillId="0" borderId="13" xfId="1" applyFont="1" applyBorder="1" applyAlignment="1">
      <alignment horizontal="center" vertical="center"/>
    </xf>
    <xf numFmtId="38" fontId="11" fillId="0" borderId="10" xfId="1" applyFont="1" applyBorder="1" applyAlignment="1">
      <alignment horizontal="right" vertical="center"/>
    </xf>
    <xf numFmtId="38" fontId="12" fillId="0" borderId="6" xfId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38" fontId="18" fillId="0" borderId="14" xfId="1" applyFont="1" applyBorder="1" applyAlignment="1">
      <alignment horizontal="left" vertical="center"/>
    </xf>
    <xf numFmtId="38" fontId="12" fillId="0" borderId="12" xfId="1" applyFont="1" applyBorder="1" applyAlignment="1">
      <alignment horizontal="right" vertical="center"/>
    </xf>
    <xf numFmtId="38" fontId="12" fillId="0" borderId="2" xfId="1" applyFont="1" applyBorder="1" applyAlignment="1">
      <alignment horizontal="right" vertical="center"/>
    </xf>
    <xf numFmtId="38" fontId="4" fillId="0" borderId="2" xfId="1" applyFont="1" applyBorder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8" fontId="4" fillId="0" borderId="20" xfId="1" applyFont="1" applyBorder="1" applyAlignment="1">
      <alignment horizontal="right" vertical="center"/>
    </xf>
    <xf numFmtId="38" fontId="4" fillId="0" borderId="1" xfId="1" applyFont="1" applyBorder="1" applyAlignment="1">
      <alignment horizontal="right" vertical="center"/>
    </xf>
    <xf numFmtId="38" fontId="12" fillId="0" borderId="20" xfId="1" applyFont="1" applyBorder="1" applyAlignment="1">
      <alignment horizontal="right" vertical="center"/>
    </xf>
    <xf numFmtId="38" fontId="10" fillId="0" borderId="3" xfId="1" applyFont="1" applyBorder="1" applyAlignment="1">
      <alignment horizontal="right" vertical="center"/>
    </xf>
    <xf numFmtId="38" fontId="12" fillId="0" borderId="2" xfId="1" applyFont="1" applyBorder="1" applyAlignment="1">
      <alignment horizontal="right"/>
    </xf>
    <xf numFmtId="38" fontId="4" fillId="0" borderId="2" xfId="1" applyFont="1" applyBorder="1" applyAlignment="1">
      <alignment horizontal="right"/>
    </xf>
    <xf numFmtId="38" fontId="4" fillId="0" borderId="21" xfId="1" applyFont="1" applyBorder="1" applyAlignment="1">
      <alignment horizontal="right" vertical="center"/>
    </xf>
    <xf numFmtId="38" fontId="12" fillId="0" borderId="21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11" fillId="0" borderId="14" xfId="1" applyFont="1" applyBorder="1" applyAlignment="1">
      <alignment horizontal="right" vertical="center"/>
    </xf>
    <xf numFmtId="38" fontId="11" fillId="0" borderId="20" xfId="1" applyFont="1" applyBorder="1" applyAlignment="1">
      <alignment horizontal="right" vertical="center"/>
    </xf>
    <xf numFmtId="38" fontId="0" fillId="0" borderId="14" xfId="1" applyFont="1" applyBorder="1" applyAlignment="1">
      <alignment horizontal="right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6" fontId="10" fillId="0" borderId="15" xfId="1" applyNumberFormat="1" applyFont="1" applyBorder="1" applyAlignment="1">
      <alignment horizontal="right" vertical="center"/>
    </xf>
    <xf numFmtId="38" fontId="10" fillId="0" borderId="4" xfId="1" applyFont="1" applyBorder="1" applyAlignment="1">
      <alignment horizontal="right" vertical="center"/>
    </xf>
    <xf numFmtId="0" fontId="6" fillId="0" borderId="12" xfId="0" quotePrefix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6" fontId="10" fillId="0" borderId="4" xfId="1" applyNumberFormat="1" applyFont="1" applyBorder="1" applyAlignment="1">
      <alignment horizontal="right" vertical="center"/>
    </xf>
    <xf numFmtId="176" fontId="10" fillId="0" borderId="3" xfId="1" applyNumberFormat="1" applyFont="1" applyBorder="1" applyAlignment="1">
      <alignment horizontal="right" vertical="center"/>
    </xf>
    <xf numFmtId="176" fontId="10" fillId="0" borderId="11" xfId="1" applyNumberFormat="1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3" fillId="0" borderId="0" xfId="0" applyFont="1"/>
    <xf numFmtId="0" fontId="5" fillId="0" borderId="0" xfId="0" applyFont="1"/>
    <xf numFmtId="176" fontId="10" fillId="0" borderId="11" xfId="2" applyNumberFormat="1" applyFont="1" applyBorder="1" applyAlignment="1">
      <alignment horizontal="right" vertical="center"/>
    </xf>
    <xf numFmtId="38" fontId="12" fillId="0" borderId="9" xfId="2" applyFon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38" fontId="4" fillId="0" borderId="5" xfId="2" applyFont="1" applyBorder="1" applyAlignment="1">
      <alignment horizontal="right" vertical="center"/>
    </xf>
    <xf numFmtId="3" fontId="0" fillId="0" borderId="0" xfId="0" applyNumberFormat="1"/>
    <xf numFmtId="38" fontId="4" fillId="0" borderId="1" xfId="2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38" fontId="12" fillId="0" borderId="8" xfId="2" applyFon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  <xf numFmtId="38" fontId="12" fillId="0" borderId="1" xfId="2" applyFont="1" applyBorder="1" applyAlignment="1">
      <alignment horizontal="right" vertical="center"/>
    </xf>
    <xf numFmtId="38" fontId="25" fillId="0" borderId="8" xfId="2" applyFont="1" applyBorder="1" applyAlignment="1">
      <alignment horizontal="left" vertical="center"/>
    </xf>
    <xf numFmtId="38" fontId="26" fillId="0" borderId="36" xfId="2" applyFont="1" applyFill="1" applyBorder="1" applyAlignment="1">
      <alignment horizontal="right" vertical="center"/>
    </xf>
    <xf numFmtId="38" fontId="27" fillId="0" borderId="8" xfId="2" applyFont="1" applyBorder="1" applyAlignment="1">
      <alignment horizontal="left" vertical="center"/>
    </xf>
    <xf numFmtId="38" fontId="12" fillId="0" borderId="5" xfId="2" applyFon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176" fontId="12" fillId="0" borderId="5" xfId="0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38" fontId="12" fillId="0" borderId="10" xfId="2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0" fontId="1" fillId="0" borderId="0" xfId="0" applyFont="1"/>
    <xf numFmtId="0" fontId="19" fillId="0" borderId="1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176" fontId="10" fillId="0" borderId="3" xfId="2" applyNumberFormat="1" applyFont="1" applyBorder="1" applyAlignment="1">
      <alignment horizontal="right" vertical="center"/>
    </xf>
    <xf numFmtId="38" fontId="10" fillId="0" borderId="1" xfId="2" applyFon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38" fontId="25" fillId="0" borderId="1" xfId="2" applyFon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24" fillId="0" borderId="39" xfId="0" applyFont="1" applyBorder="1" applyAlignment="1">
      <alignment horizontal="left" vertical="center"/>
    </xf>
    <xf numFmtId="0" fontId="24" fillId="0" borderId="40" xfId="0" applyFont="1" applyBorder="1" applyAlignment="1">
      <alignment horizontal="left" vertical="center"/>
    </xf>
    <xf numFmtId="0" fontId="24" fillId="0" borderId="4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24" fillId="0" borderId="29" xfId="0" applyFont="1" applyBorder="1" applyAlignment="1">
      <alignment horizontal="left" vertical="center"/>
    </xf>
    <xf numFmtId="0" fontId="24" fillId="0" borderId="30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24" fillId="0" borderId="35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3" fontId="19" fillId="0" borderId="4" xfId="0" applyNumberFormat="1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19" fillId="0" borderId="37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38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9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58" fontId="2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7" fontId="5" fillId="0" borderId="23" xfId="0" applyNumberFormat="1" applyFont="1" applyBorder="1" applyAlignment="1">
      <alignment horizontal="left" vertical="center"/>
    </xf>
    <xf numFmtId="177" fontId="5" fillId="0" borderId="24" xfId="0" applyNumberFormat="1" applyFont="1" applyBorder="1" applyAlignment="1">
      <alignment horizontal="left" vertical="center"/>
    </xf>
    <xf numFmtId="177" fontId="5" fillId="0" borderId="21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9" fillId="0" borderId="0" xfId="0" applyFont="1" applyAlignment="1">
      <alignment horizontal="left" indent="1"/>
    </xf>
    <xf numFmtId="0" fontId="6" fillId="0" borderId="14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176" fontId="0" fillId="0" borderId="0" xfId="0" applyNumberFormat="1"/>
    <xf numFmtId="0" fontId="24" fillId="3" borderId="9" xfId="0" applyFont="1" applyFill="1" applyBorder="1" applyAlignment="1">
      <alignment horizontal="left" vertical="center"/>
    </xf>
    <xf numFmtId="38" fontId="12" fillId="3" borderId="9" xfId="2" applyFont="1" applyFill="1" applyBorder="1" applyAlignment="1">
      <alignment horizontal="right" vertical="center"/>
    </xf>
    <xf numFmtId="176" fontId="0" fillId="3" borderId="5" xfId="0" applyNumberFormat="1" applyFill="1" applyBorder="1" applyAlignment="1">
      <alignment horizontal="right" vertical="center"/>
    </xf>
    <xf numFmtId="177" fontId="6" fillId="0" borderId="2" xfId="0" applyNumberFormat="1" applyFont="1" applyBorder="1" applyAlignment="1">
      <alignment horizontal="left" vertical="center"/>
    </xf>
    <xf numFmtId="177" fontId="6" fillId="0" borderId="1" xfId="0" applyNumberFormat="1" applyFont="1" applyBorder="1" applyAlignment="1">
      <alignment horizontal="left" vertical="center"/>
    </xf>
  </cellXfs>
  <cellStyles count="3">
    <cellStyle name="桁区切り" xfId="1" builtinId="6"/>
    <cellStyle name="桁区切り 2" xfId="2" xr:uid="{304D5A3D-4E55-41B0-AAED-D55AF60AA5C3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view="pageBreakPreview" topLeftCell="A13" zoomScale="115" zoomScaleNormal="100" zoomScaleSheetLayoutView="115" workbookViewId="0">
      <selection activeCell="C34" sqref="C34"/>
    </sheetView>
  </sheetViews>
  <sheetFormatPr defaultColWidth="8.875" defaultRowHeight="13.5" x14ac:dyDescent="0.15"/>
  <cols>
    <col min="1" max="1" width="10.625" customWidth="1"/>
    <col min="2" max="2" width="8.125" customWidth="1"/>
    <col min="3" max="5" width="13" customWidth="1"/>
    <col min="8" max="8" width="9.875" customWidth="1"/>
    <col min="9" max="9" width="13.5" bestFit="1" customWidth="1"/>
    <col min="10" max="10" width="13.75" customWidth="1"/>
  </cols>
  <sheetData>
    <row r="1" spans="1:10" ht="18" customHeight="1" x14ac:dyDescent="0.15">
      <c r="A1" s="183" t="s">
        <v>20</v>
      </c>
      <c r="B1" s="183"/>
      <c r="G1" s="2"/>
      <c r="H1" s="2"/>
    </row>
    <row r="2" spans="1:10" ht="18" customHeight="1" thickBot="1" x14ac:dyDescent="0.2">
      <c r="A2" s="193" t="s">
        <v>7</v>
      </c>
      <c r="B2" s="193"/>
      <c r="C2" s="12" t="s">
        <v>21</v>
      </c>
      <c r="D2" s="13" t="s">
        <v>22</v>
      </c>
      <c r="G2" s="193" t="s">
        <v>6</v>
      </c>
      <c r="H2" s="193"/>
    </row>
    <row r="3" spans="1:10" ht="20.100000000000001" customHeight="1" thickBot="1" x14ac:dyDescent="0.2">
      <c r="A3" s="108" t="s">
        <v>3</v>
      </c>
      <c r="B3" s="108"/>
      <c r="C3" s="51" t="s">
        <v>0</v>
      </c>
      <c r="D3" s="52" t="s">
        <v>1</v>
      </c>
      <c r="E3" s="10" t="s">
        <v>4</v>
      </c>
      <c r="F3" s="108" t="s">
        <v>2</v>
      </c>
      <c r="G3" s="108"/>
      <c r="H3" s="108"/>
    </row>
    <row r="4" spans="1:10" ht="20.100000000000001" customHeight="1" x14ac:dyDescent="0.15">
      <c r="A4" s="188" t="s">
        <v>28</v>
      </c>
      <c r="B4" s="188"/>
      <c r="C4" s="27">
        <f>189*3600</f>
        <v>680400</v>
      </c>
      <c r="D4" s="27">
        <f>190*12*300</f>
        <v>684000</v>
      </c>
      <c r="E4" s="65">
        <f>C4-D4</f>
        <v>-3600</v>
      </c>
      <c r="F4" s="189" t="s">
        <v>91</v>
      </c>
      <c r="G4" s="190"/>
      <c r="H4" s="190"/>
      <c r="J4">
        <f>(164+3+29)*3600+10000</f>
        <v>715600</v>
      </c>
    </row>
    <row r="5" spans="1:10" ht="20.100000000000001" customHeight="1" thickBot="1" x14ac:dyDescent="0.2">
      <c r="A5" s="191"/>
      <c r="B5" s="191"/>
      <c r="C5" s="48"/>
      <c r="D5" s="50"/>
      <c r="E5" s="8"/>
      <c r="F5" s="244"/>
      <c r="G5" s="245"/>
      <c r="H5" s="245"/>
    </row>
    <row r="6" spans="1:10" ht="20.100000000000001" customHeight="1" x14ac:dyDescent="0.15">
      <c r="A6" s="192" t="s">
        <v>27</v>
      </c>
      <c r="B6" s="192"/>
      <c r="C6" s="54">
        <f>C7+C11+C13</f>
        <v>660240</v>
      </c>
      <c r="D6" s="54">
        <f>D7+D11+D13</f>
        <v>815000</v>
      </c>
      <c r="E6" s="63">
        <f>C6-D6</f>
        <v>-154760</v>
      </c>
      <c r="F6" s="184"/>
      <c r="G6" s="185"/>
      <c r="H6" s="185"/>
    </row>
    <row r="7" spans="1:10" ht="20.100000000000001" customHeight="1" x14ac:dyDescent="0.15">
      <c r="A7" s="186" t="s">
        <v>11</v>
      </c>
      <c r="B7" s="186"/>
      <c r="C7" s="34">
        <f>(230*500)+204000+12000</f>
        <v>331000</v>
      </c>
      <c r="D7" s="35">
        <v>319000</v>
      </c>
      <c r="E7" s="7">
        <f>C7-D7</f>
        <v>12000</v>
      </c>
      <c r="F7" s="203" t="s">
        <v>92</v>
      </c>
      <c r="G7" s="230"/>
      <c r="H7" s="230"/>
      <c r="I7" s="11"/>
    </row>
    <row r="8" spans="1:10" ht="20.100000000000001" customHeight="1" x14ac:dyDescent="0.15">
      <c r="A8" s="187" t="s">
        <v>12</v>
      </c>
      <c r="B8" s="187"/>
      <c r="C8" s="49"/>
      <c r="D8" s="47"/>
      <c r="E8" s="6"/>
      <c r="F8" s="144" t="s">
        <v>103</v>
      </c>
      <c r="G8" s="144"/>
      <c r="H8" s="144"/>
    </row>
    <row r="9" spans="1:10" ht="20.100000000000001" hidden="1" customHeight="1" x14ac:dyDescent="0.15">
      <c r="A9" s="194" t="s">
        <v>9</v>
      </c>
      <c r="B9" s="194"/>
      <c r="C9" s="34">
        <v>0</v>
      </c>
      <c r="D9" s="35">
        <v>0</v>
      </c>
      <c r="E9" s="7">
        <f>C9-D9</f>
        <v>0</v>
      </c>
      <c r="F9" s="124" t="s">
        <v>23</v>
      </c>
      <c r="G9" s="101"/>
      <c r="H9" s="101"/>
    </row>
    <row r="10" spans="1:10" ht="20.100000000000001" hidden="1" customHeight="1" x14ac:dyDescent="0.15">
      <c r="A10" s="195" t="s">
        <v>10</v>
      </c>
      <c r="B10" s="195"/>
      <c r="C10" s="43"/>
      <c r="D10" s="44"/>
      <c r="E10" s="6"/>
      <c r="F10" s="131"/>
      <c r="G10" s="131"/>
      <c r="H10" s="131"/>
    </row>
    <row r="11" spans="1:10" ht="20.100000000000001" customHeight="1" x14ac:dyDescent="0.15">
      <c r="A11" s="196" t="s">
        <v>25</v>
      </c>
      <c r="B11" s="197"/>
      <c r="C11" s="46">
        <v>100000</v>
      </c>
      <c r="D11" s="45">
        <v>250000</v>
      </c>
      <c r="E11" s="7">
        <f>C11-D11</f>
        <v>-150000</v>
      </c>
      <c r="F11" s="250" t="s">
        <v>102</v>
      </c>
      <c r="G11" s="251"/>
      <c r="H11" s="251"/>
      <c r="I11" s="11"/>
    </row>
    <row r="12" spans="1:10" ht="20.100000000000001" customHeight="1" x14ac:dyDescent="0.15">
      <c r="A12" s="187" t="s">
        <v>13</v>
      </c>
      <c r="B12" s="195"/>
      <c r="C12" s="41"/>
      <c r="D12" s="39"/>
      <c r="E12" s="6"/>
      <c r="F12" s="131"/>
      <c r="G12" s="131"/>
      <c r="H12" s="131"/>
      <c r="I12" s="22" t="s">
        <v>89</v>
      </c>
      <c r="J12" s="22" t="s">
        <v>26</v>
      </c>
    </row>
    <row r="13" spans="1:10" ht="20.100000000000001" customHeight="1" x14ac:dyDescent="0.15">
      <c r="A13" s="186" t="s">
        <v>29</v>
      </c>
      <c r="B13" s="194"/>
      <c r="C13" s="34">
        <f>SUM(I14:I17)</f>
        <v>229240</v>
      </c>
      <c r="D13" s="34">
        <v>246000</v>
      </c>
      <c r="E13" s="7">
        <f>C13-D13</f>
        <v>-16760</v>
      </c>
      <c r="F13" s="198" t="s">
        <v>95</v>
      </c>
      <c r="G13" s="199"/>
      <c r="H13" s="200"/>
      <c r="I13" s="11">
        <f>SUM(I14:I18)</f>
        <v>229240</v>
      </c>
      <c r="J13" s="11">
        <f>SUM(J14:J17)</f>
        <v>198040</v>
      </c>
    </row>
    <row r="14" spans="1:10" ht="20.100000000000001" customHeight="1" x14ac:dyDescent="0.15">
      <c r="A14" s="186" t="s">
        <v>30</v>
      </c>
      <c r="B14" s="194"/>
      <c r="C14" s="34"/>
      <c r="D14" s="34"/>
      <c r="E14" s="9"/>
      <c r="F14" s="201" t="s">
        <v>31</v>
      </c>
      <c r="G14" s="202"/>
      <c r="H14" s="203"/>
      <c r="I14" s="11">
        <f>52440</f>
        <v>52440</v>
      </c>
      <c r="J14" s="11">
        <f>52440</f>
        <v>52440</v>
      </c>
    </row>
    <row r="15" spans="1:10" ht="20.100000000000001" customHeight="1" x14ac:dyDescent="0.15">
      <c r="A15" s="235"/>
      <c r="B15" s="236"/>
      <c r="C15" s="23"/>
      <c r="D15" s="23"/>
      <c r="E15" s="9"/>
      <c r="F15" s="57" t="s">
        <v>87</v>
      </c>
      <c r="G15" s="56"/>
      <c r="H15" s="21"/>
      <c r="I15" s="11">
        <v>66800</v>
      </c>
      <c r="J15" s="11">
        <v>66800</v>
      </c>
    </row>
    <row r="16" spans="1:10" ht="20.100000000000001" customHeight="1" x14ac:dyDescent="0.15">
      <c r="A16" s="237"/>
      <c r="B16" s="238"/>
      <c r="C16" s="23"/>
      <c r="D16" s="23"/>
      <c r="E16" s="9"/>
      <c r="F16" s="201" t="s">
        <v>88</v>
      </c>
      <c r="G16" s="202"/>
      <c r="H16" s="203"/>
      <c r="I16" s="11">
        <v>80000</v>
      </c>
      <c r="J16" s="11">
        <f>'（支出）の分'!I35</f>
        <v>78800</v>
      </c>
    </row>
    <row r="17" spans="1:10" ht="20.100000000000001" customHeight="1" x14ac:dyDescent="0.15">
      <c r="A17" s="237"/>
      <c r="B17" s="238"/>
      <c r="C17" s="16"/>
      <c r="D17" s="16"/>
      <c r="E17" s="9"/>
      <c r="F17" s="55" t="s">
        <v>104</v>
      </c>
      <c r="G17" s="56"/>
      <c r="H17" s="21"/>
      <c r="I17" s="11">
        <v>30000</v>
      </c>
      <c r="J17" s="11">
        <v>0</v>
      </c>
    </row>
    <row r="18" spans="1:10" ht="20.100000000000001" customHeight="1" thickBot="1" x14ac:dyDescent="0.2">
      <c r="A18" s="233"/>
      <c r="B18" s="234"/>
      <c r="C18" s="28"/>
      <c r="D18" s="28"/>
      <c r="E18" s="8"/>
      <c r="F18" s="58"/>
      <c r="G18" s="59"/>
      <c r="H18" s="60"/>
      <c r="I18" s="20"/>
      <c r="J18" s="20">
        <v>0</v>
      </c>
    </row>
    <row r="19" spans="1:10" ht="20.100000000000001" customHeight="1" x14ac:dyDescent="0.15">
      <c r="A19" s="188" t="s">
        <v>8</v>
      </c>
      <c r="B19" s="188"/>
      <c r="C19" s="27">
        <v>140000</v>
      </c>
      <c r="D19" s="27">
        <v>24000</v>
      </c>
      <c r="E19" s="65">
        <f>C19-D19</f>
        <v>116000</v>
      </c>
      <c r="F19" s="240" t="s">
        <v>93</v>
      </c>
      <c r="G19" s="240"/>
      <c r="H19" s="240"/>
    </row>
    <row r="20" spans="1:10" ht="20.100000000000001" customHeight="1" x14ac:dyDescent="0.15">
      <c r="A20" s="208"/>
      <c r="B20" s="209"/>
      <c r="C20" s="23"/>
      <c r="D20" s="23"/>
      <c r="E20" s="9"/>
      <c r="F20" s="230" t="s">
        <v>94</v>
      </c>
      <c r="G20" s="230"/>
      <c r="H20" s="230"/>
    </row>
    <row r="21" spans="1:10" ht="20.100000000000001" customHeight="1" thickBot="1" x14ac:dyDescent="0.2">
      <c r="A21" s="231"/>
      <c r="B21" s="232"/>
      <c r="C21" s="32"/>
      <c r="D21" s="32"/>
      <c r="E21" s="8"/>
      <c r="F21" s="222"/>
      <c r="G21" s="222"/>
      <c r="H21" s="222"/>
    </row>
    <row r="22" spans="1:10" ht="20.100000000000001" customHeight="1" x14ac:dyDescent="0.15">
      <c r="A22" s="192" t="s">
        <v>14</v>
      </c>
      <c r="B22" s="192"/>
      <c r="C22" s="27">
        <f>C23+C24+C25</f>
        <v>0</v>
      </c>
      <c r="D22" s="27">
        <f>D23+D24+D25</f>
        <v>0</v>
      </c>
      <c r="E22" s="27">
        <f>C22-D22</f>
        <v>0</v>
      </c>
      <c r="F22" s="229"/>
      <c r="G22" s="131"/>
      <c r="H22" s="131"/>
    </row>
    <row r="23" spans="1:10" ht="20.100000000000001" customHeight="1" x14ac:dyDescent="0.15">
      <c r="A23" s="223" t="s">
        <v>16</v>
      </c>
      <c r="B23" s="224"/>
      <c r="C23" s="30">
        <v>0</v>
      </c>
      <c r="D23" s="30">
        <v>0</v>
      </c>
      <c r="E23" s="3">
        <f>C23-D23</f>
        <v>0</v>
      </c>
      <c r="F23" s="225"/>
      <c r="G23" s="225"/>
      <c r="H23" s="226"/>
    </row>
    <row r="24" spans="1:10" ht="20.100000000000001" customHeight="1" x14ac:dyDescent="0.15">
      <c r="A24" s="4" t="s">
        <v>15</v>
      </c>
      <c r="B24" s="5"/>
      <c r="C24" s="31">
        <v>0</v>
      </c>
      <c r="D24" s="31">
        <v>0</v>
      </c>
      <c r="E24" s="3">
        <f>C24-D24</f>
        <v>0</v>
      </c>
      <c r="F24" s="241"/>
      <c r="G24" s="241"/>
      <c r="H24" s="242"/>
      <c r="I24" t="s">
        <v>24</v>
      </c>
    </row>
    <row r="25" spans="1:10" ht="20.100000000000001" customHeight="1" x14ac:dyDescent="0.15">
      <c r="A25" s="186" t="s">
        <v>17</v>
      </c>
      <c r="B25" s="186"/>
      <c r="C25" s="26">
        <v>0</v>
      </c>
      <c r="D25" s="26">
        <v>0</v>
      </c>
      <c r="E25" s="7">
        <f>C25-D25</f>
        <v>0</v>
      </c>
      <c r="F25" s="203"/>
      <c r="G25" s="230"/>
      <c r="H25" s="230"/>
    </row>
    <row r="26" spans="1:10" ht="20.100000000000001" customHeight="1" thickBot="1" x14ac:dyDescent="0.2">
      <c r="A26" s="211"/>
      <c r="B26" s="212"/>
      <c r="C26" s="33"/>
      <c r="D26" s="33"/>
      <c r="E26" s="8"/>
      <c r="F26" s="123"/>
      <c r="G26" s="221"/>
      <c r="H26" s="124"/>
      <c r="I26" s="11"/>
    </row>
    <row r="27" spans="1:10" ht="20.100000000000001" customHeight="1" x14ac:dyDescent="0.15">
      <c r="A27" s="188" t="s">
        <v>18</v>
      </c>
      <c r="B27" s="188"/>
      <c r="C27" s="27">
        <v>0</v>
      </c>
      <c r="D27" s="27">
        <v>0</v>
      </c>
      <c r="E27" s="27">
        <f>C27-D27</f>
        <v>0</v>
      </c>
      <c r="F27" s="239"/>
      <c r="G27" s="240"/>
      <c r="H27" s="240"/>
    </row>
    <row r="28" spans="1:10" ht="20.100000000000001" hidden="1" customHeight="1" x14ac:dyDescent="0.15">
      <c r="A28" s="208"/>
      <c r="B28" s="209"/>
      <c r="C28" s="24"/>
      <c r="D28" s="24"/>
      <c r="E28" s="9"/>
      <c r="F28" s="123"/>
      <c r="G28" s="221"/>
      <c r="H28" s="124"/>
      <c r="I28" s="18"/>
    </row>
    <row r="29" spans="1:10" ht="20.100000000000001" customHeight="1" thickBot="1" x14ac:dyDescent="0.2">
      <c r="A29" s="210" t="s">
        <v>7</v>
      </c>
      <c r="B29" s="210"/>
      <c r="C29" s="29"/>
      <c r="D29" s="29"/>
      <c r="E29" s="8"/>
      <c r="F29" s="222"/>
      <c r="G29" s="222"/>
      <c r="H29" s="222"/>
      <c r="I29" s="19"/>
    </row>
    <row r="30" spans="1:10" ht="20.100000000000001" customHeight="1" x14ac:dyDescent="0.15">
      <c r="A30" s="227" t="s">
        <v>5</v>
      </c>
      <c r="B30" s="228"/>
      <c r="C30" s="27">
        <v>447358</v>
      </c>
      <c r="D30" s="27">
        <v>713196</v>
      </c>
      <c r="E30" s="53">
        <f>C30-D30</f>
        <v>-265838</v>
      </c>
      <c r="F30" s="221" t="s">
        <v>86</v>
      </c>
      <c r="G30" s="221"/>
      <c r="H30" s="124"/>
      <c r="J30" s="14"/>
    </row>
    <row r="31" spans="1:10" ht="20.100000000000001" customHeight="1" x14ac:dyDescent="0.15">
      <c r="A31" s="211"/>
      <c r="B31" s="212"/>
      <c r="C31" s="24"/>
      <c r="D31" s="25"/>
      <c r="E31" s="9"/>
      <c r="F31" s="217"/>
      <c r="G31" s="218"/>
      <c r="H31" s="219"/>
    </row>
    <row r="32" spans="1:10" ht="20.100000000000001" customHeight="1" thickBot="1" x14ac:dyDescent="0.2">
      <c r="A32" s="194" t="s">
        <v>7</v>
      </c>
      <c r="B32" s="194"/>
      <c r="C32" s="26" t="s">
        <v>7</v>
      </c>
      <c r="D32" s="40" t="s">
        <v>7</v>
      </c>
      <c r="E32" s="8"/>
      <c r="F32" s="213"/>
      <c r="G32" s="213"/>
      <c r="H32" s="213"/>
    </row>
    <row r="33" spans="1:8" ht="20.100000000000001" customHeight="1" thickBot="1" x14ac:dyDescent="0.2">
      <c r="A33" s="204" t="s">
        <v>19</v>
      </c>
      <c r="B33" s="205"/>
      <c r="C33" s="27">
        <f>C4+C6+C19+C22+C27+C30</f>
        <v>1927998</v>
      </c>
      <c r="D33" s="42">
        <f>D4+D6+D19+D22+D27+D30</f>
        <v>2236196</v>
      </c>
      <c r="E33" s="64">
        <f>C33-D33</f>
        <v>-308198</v>
      </c>
      <c r="F33" s="214"/>
      <c r="G33" s="215"/>
      <c r="H33" s="215"/>
    </row>
    <row r="34" spans="1:8" ht="18" customHeight="1" x14ac:dyDescent="0.15">
      <c r="A34" s="207"/>
      <c r="B34" s="207"/>
      <c r="C34" s="37"/>
      <c r="D34" s="38"/>
      <c r="E34" s="1"/>
      <c r="F34" s="216"/>
      <c r="G34" s="216"/>
      <c r="H34" s="216"/>
    </row>
    <row r="35" spans="1:8" ht="18" customHeight="1" x14ac:dyDescent="0.15">
      <c r="A35" s="17"/>
      <c r="B35" s="15"/>
    </row>
    <row r="36" spans="1:8" ht="18" customHeight="1" x14ac:dyDescent="0.15">
      <c r="A36" s="206"/>
      <c r="B36" s="206"/>
      <c r="C36" s="1"/>
      <c r="D36" s="36"/>
      <c r="E36" s="1"/>
      <c r="F36" s="202"/>
      <c r="G36" s="202"/>
      <c r="H36" s="202"/>
    </row>
    <row r="37" spans="1:8" ht="18" customHeight="1" x14ac:dyDescent="0.15">
      <c r="A37" s="221"/>
      <c r="B37" s="221"/>
      <c r="C37" s="36"/>
      <c r="D37" s="1"/>
      <c r="E37" s="1"/>
      <c r="F37" s="202"/>
      <c r="G37" s="202"/>
      <c r="H37" s="202"/>
    </row>
    <row r="38" spans="1:8" ht="18" customHeight="1" x14ac:dyDescent="0.15">
      <c r="A38" s="221"/>
      <c r="B38" s="221"/>
      <c r="C38" s="1"/>
      <c r="D38" s="1"/>
      <c r="E38" s="1"/>
      <c r="F38" s="220"/>
      <c r="G38" s="220"/>
      <c r="H38" s="220"/>
    </row>
    <row r="39" spans="1:8" ht="18" customHeight="1" x14ac:dyDescent="0.15">
      <c r="A39" s="220"/>
      <c r="B39" s="220"/>
      <c r="C39" s="1"/>
      <c r="D39" s="1"/>
      <c r="E39" s="1"/>
      <c r="F39" s="220"/>
      <c r="G39" s="220"/>
      <c r="H39" s="220"/>
    </row>
    <row r="40" spans="1:8" ht="18" customHeight="1" x14ac:dyDescent="0.15">
      <c r="A40" s="220"/>
      <c r="B40" s="220"/>
      <c r="C40" s="1"/>
      <c r="D40" s="1"/>
      <c r="E40" s="1"/>
      <c r="F40" s="220"/>
      <c r="G40" s="220"/>
      <c r="H40" s="220"/>
    </row>
    <row r="41" spans="1:8" ht="18" customHeight="1" x14ac:dyDescent="0.15">
      <c r="A41" s="220"/>
      <c r="B41" s="220"/>
      <c r="C41" s="1"/>
      <c r="D41" s="1"/>
      <c r="E41" s="1"/>
      <c r="F41" s="220"/>
      <c r="G41" s="220"/>
      <c r="H41" s="220"/>
    </row>
    <row r="42" spans="1:8" x14ac:dyDescent="0.15">
      <c r="A42" s="220"/>
      <c r="B42" s="220"/>
      <c r="C42" s="1"/>
      <c r="D42" s="1"/>
      <c r="E42" s="1"/>
      <c r="F42" s="220"/>
      <c r="G42" s="220"/>
      <c r="H42" s="220"/>
    </row>
  </sheetData>
  <mergeCells count="77">
    <mergeCell ref="A18:B18"/>
    <mergeCell ref="A15:B15"/>
    <mergeCell ref="A16:B16"/>
    <mergeCell ref="A17:B17"/>
    <mergeCell ref="F28:H28"/>
    <mergeCell ref="F27:H27"/>
    <mergeCell ref="F24:H24"/>
    <mergeCell ref="A19:B19"/>
    <mergeCell ref="F19:H19"/>
    <mergeCell ref="F16:H16"/>
    <mergeCell ref="F20:H20"/>
    <mergeCell ref="F29:H29"/>
    <mergeCell ref="F30:H30"/>
    <mergeCell ref="A20:B20"/>
    <mergeCell ref="A23:B23"/>
    <mergeCell ref="F23:H23"/>
    <mergeCell ref="F21:H21"/>
    <mergeCell ref="A30:B30"/>
    <mergeCell ref="F22:H22"/>
    <mergeCell ref="F25:H25"/>
    <mergeCell ref="A21:B21"/>
    <mergeCell ref="A22:B22"/>
    <mergeCell ref="A26:B26"/>
    <mergeCell ref="F26:H26"/>
    <mergeCell ref="A27:B27"/>
    <mergeCell ref="A25:B25"/>
    <mergeCell ref="F42:H42"/>
    <mergeCell ref="A41:B41"/>
    <mergeCell ref="A42:B42"/>
    <mergeCell ref="A40:B40"/>
    <mergeCell ref="F40:H40"/>
    <mergeCell ref="F41:H41"/>
    <mergeCell ref="F37:H37"/>
    <mergeCell ref="F38:H38"/>
    <mergeCell ref="A39:B39"/>
    <mergeCell ref="F39:H39"/>
    <mergeCell ref="A37:B37"/>
    <mergeCell ref="A38:B38"/>
    <mergeCell ref="F32:H32"/>
    <mergeCell ref="F33:H33"/>
    <mergeCell ref="F34:H34"/>
    <mergeCell ref="F36:H36"/>
    <mergeCell ref="F31:H31"/>
    <mergeCell ref="A32:B32"/>
    <mergeCell ref="A33:B33"/>
    <mergeCell ref="A36:B36"/>
    <mergeCell ref="A34:B34"/>
    <mergeCell ref="A28:B28"/>
    <mergeCell ref="A29:B29"/>
    <mergeCell ref="A31:B31"/>
    <mergeCell ref="A14:B14"/>
    <mergeCell ref="F9:H9"/>
    <mergeCell ref="F10:H10"/>
    <mergeCell ref="F11:H11"/>
    <mergeCell ref="A9:B9"/>
    <mergeCell ref="A10:B10"/>
    <mergeCell ref="A11:B11"/>
    <mergeCell ref="F12:H12"/>
    <mergeCell ref="F13:H13"/>
    <mergeCell ref="F14:H14"/>
    <mergeCell ref="A12:B12"/>
    <mergeCell ref="A13:B13"/>
    <mergeCell ref="A1:B1"/>
    <mergeCell ref="F5:H5"/>
    <mergeCell ref="F6:H6"/>
    <mergeCell ref="F7:H7"/>
    <mergeCell ref="F8:H8"/>
    <mergeCell ref="A7:B7"/>
    <mergeCell ref="A8:B8"/>
    <mergeCell ref="A4:B4"/>
    <mergeCell ref="F4:H4"/>
    <mergeCell ref="A5:B5"/>
    <mergeCell ref="A6:B6"/>
    <mergeCell ref="G2:H2"/>
    <mergeCell ref="A3:B3"/>
    <mergeCell ref="F3:H3"/>
    <mergeCell ref="A2:B2"/>
  </mergeCells>
  <phoneticPr fontId="3"/>
  <pageMargins left="0.98425196850393704" right="0.39370078740157483" top="1.1811023622047245" bottom="0.78740157480314965" header="0.51181102362204722" footer="0.51181102362204722"/>
  <pageSetup paperSize="9" orientation="portrait" r:id="rId1"/>
  <headerFooter alignWithMargins="0">
    <oddHeader>&amp;C&amp;16
&amp;A&amp;R駒寄町内会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4884-5738-4045-A7C7-AF3023F814C2}">
  <dimension ref="A1:J47"/>
  <sheetViews>
    <sheetView view="pageBreakPreview" zoomScale="120" zoomScaleNormal="100" zoomScaleSheetLayoutView="120" workbookViewId="0">
      <selection activeCell="C7" sqref="C7"/>
    </sheetView>
  </sheetViews>
  <sheetFormatPr defaultColWidth="8.875" defaultRowHeight="13.5" x14ac:dyDescent="0.15"/>
  <cols>
    <col min="1" max="1" width="10.625" customWidth="1"/>
    <col min="2" max="2" width="8.125" customWidth="1"/>
    <col min="3" max="4" width="13" bestFit="1" customWidth="1"/>
    <col min="5" max="5" width="13" customWidth="1"/>
    <col min="6" max="7" width="8.875" customWidth="1"/>
    <col min="8" max="8" width="9.625" customWidth="1"/>
    <col min="9" max="9" width="11.5" bestFit="1" customWidth="1"/>
  </cols>
  <sheetData>
    <row r="1" spans="1:9" ht="18" customHeight="1" x14ac:dyDescent="0.15">
      <c r="A1" s="105" t="s">
        <v>32</v>
      </c>
      <c r="B1" s="105"/>
      <c r="D1" s="67"/>
    </row>
    <row r="2" spans="1:9" ht="18" customHeight="1" thickBot="1" x14ac:dyDescent="0.2">
      <c r="A2" s="66"/>
      <c r="C2" s="13" t="s">
        <v>33</v>
      </c>
      <c r="D2" s="13" t="s">
        <v>34</v>
      </c>
      <c r="G2" s="106" t="s">
        <v>35</v>
      </c>
      <c r="H2" s="106"/>
      <c r="I2" s="68" t="s">
        <v>36</v>
      </c>
    </row>
    <row r="3" spans="1:9" ht="20.100000000000001" customHeight="1" thickBot="1" x14ac:dyDescent="0.2">
      <c r="A3" s="107" t="s">
        <v>3</v>
      </c>
      <c r="B3" s="107"/>
      <c r="C3" s="51" t="s">
        <v>0</v>
      </c>
      <c r="D3" s="52" t="s">
        <v>1</v>
      </c>
      <c r="E3" s="10" t="s">
        <v>4</v>
      </c>
      <c r="F3" s="108" t="s">
        <v>2</v>
      </c>
      <c r="G3" s="108"/>
      <c r="H3" s="108"/>
    </row>
    <row r="4" spans="1:9" ht="20.100000000000001" customHeight="1" x14ac:dyDescent="0.15">
      <c r="A4" s="109" t="s">
        <v>37</v>
      </c>
      <c r="B4" s="109"/>
      <c r="C4" s="69">
        <f>SUM(C5:C7)</f>
        <v>439300</v>
      </c>
      <c r="D4" s="69">
        <f>SUM(D5:D7)</f>
        <v>200000</v>
      </c>
      <c r="E4" s="69">
        <f>C4-D4</f>
        <v>239300</v>
      </c>
      <c r="F4" s="110"/>
      <c r="G4" s="110"/>
      <c r="H4" s="110"/>
    </row>
    <row r="5" spans="1:9" ht="20.100000000000001" customHeight="1" x14ac:dyDescent="0.15">
      <c r="A5" s="247" t="s">
        <v>38</v>
      </c>
      <c r="B5" s="247"/>
      <c r="C5" s="248">
        <v>0</v>
      </c>
      <c r="D5" s="248">
        <v>0</v>
      </c>
      <c r="E5" s="249">
        <v>0</v>
      </c>
      <c r="F5" s="247" t="s">
        <v>39</v>
      </c>
      <c r="G5" s="247"/>
      <c r="H5" s="247"/>
    </row>
    <row r="6" spans="1:9" ht="20.100000000000001" customHeight="1" x14ac:dyDescent="0.15">
      <c r="A6" s="111" t="s">
        <v>40</v>
      </c>
      <c r="B6" s="111"/>
      <c r="C6" s="72">
        <v>125000</v>
      </c>
      <c r="D6" s="72">
        <v>200000</v>
      </c>
      <c r="E6" s="6">
        <f>C6-D6</f>
        <v>-75000</v>
      </c>
      <c r="F6" s="112" t="s">
        <v>41</v>
      </c>
      <c r="G6" s="112"/>
      <c r="H6" s="112"/>
      <c r="I6" s="73">
        <v>288750</v>
      </c>
    </row>
    <row r="7" spans="1:9" ht="20.100000000000001" customHeight="1" thickBot="1" x14ac:dyDescent="0.2">
      <c r="A7" s="113" t="s">
        <v>42</v>
      </c>
      <c r="B7" s="113"/>
      <c r="C7" s="74">
        <v>314300</v>
      </c>
      <c r="D7" s="74">
        <v>0</v>
      </c>
      <c r="E7" s="75">
        <f>C7-D7</f>
        <v>314300</v>
      </c>
      <c r="F7" s="146" t="s">
        <v>96</v>
      </c>
      <c r="G7" s="147"/>
      <c r="H7" s="148"/>
      <c r="I7" s="73">
        <v>276422</v>
      </c>
    </row>
    <row r="8" spans="1:9" ht="20.100000000000001" customHeight="1" x14ac:dyDescent="0.15">
      <c r="A8" s="114" t="s">
        <v>43</v>
      </c>
      <c r="B8" s="115"/>
      <c r="C8" s="69">
        <f>C9+C11+C13+C16+C18+C20</f>
        <v>689000</v>
      </c>
      <c r="D8" s="69">
        <f>D9+D11+D13+D16+D18+D20</f>
        <v>735000</v>
      </c>
      <c r="E8" s="69">
        <f>C8-D8</f>
        <v>-46000</v>
      </c>
      <c r="F8" s="116" t="s">
        <v>44</v>
      </c>
      <c r="G8" s="116"/>
      <c r="H8" s="116"/>
      <c r="I8" s="73">
        <v>331688</v>
      </c>
    </row>
    <row r="9" spans="1:9" ht="20.100000000000001" customHeight="1" x14ac:dyDescent="0.15">
      <c r="A9" s="117" t="s">
        <v>45</v>
      </c>
      <c r="B9" s="117"/>
      <c r="C9" s="70">
        <v>60000</v>
      </c>
      <c r="D9" s="70">
        <v>60000</v>
      </c>
      <c r="E9" s="76">
        <f>C9-D9</f>
        <v>0</v>
      </c>
      <c r="F9" s="113" t="s">
        <v>97</v>
      </c>
      <c r="G9" s="113"/>
      <c r="H9" s="113"/>
      <c r="I9" s="73">
        <v>73208</v>
      </c>
    </row>
    <row r="10" spans="1:9" ht="20.100000000000001" customHeight="1" x14ac:dyDescent="0.15">
      <c r="A10" s="118"/>
      <c r="B10" s="119"/>
      <c r="C10" s="77"/>
      <c r="D10" s="77"/>
      <c r="E10" s="78"/>
      <c r="F10" s="120" t="s">
        <v>78</v>
      </c>
      <c r="G10" s="121"/>
      <c r="H10" s="122"/>
    </row>
    <row r="11" spans="1:9" ht="20.100000000000001" customHeight="1" x14ac:dyDescent="0.15">
      <c r="A11" s="123" t="s">
        <v>46</v>
      </c>
      <c r="B11" s="124"/>
      <c r="C11" s="79">
        <v>164000</v>
      </c>
      <c r="D11" s="79">
        <v>200000</v>
      </c>
      <c r="E11" s="76">
        <f>C11-D11</f>
        <v>-36000</v>
      </c>
      <c r="F11" s="125" t="s">
        <v>47</v>
      </c>
      <c r="G11" s="126"/>
      <c r="H11" s="127"/>
      <c r="I11" s="73">
        <v>85231</v>
      </c>
    </row>
    <row r="12" spans="1:9" ht="20.100000000000001" customHeight="1" x14ac:dyDescent="0.15">
      <c r="A12" s="101"/>
      <c r="B12" s="123"/>
      <c r="C12" s="79"/>
      <c r="D12" s="79"/>
      <c r="E12" s="78"/>
      <c r="F12" s="120" t="s">
        <v>79</v>
      </c>
      <c r="G12" s="121"/>
      <c r="H12" s="122"/>
    </row>
    <row r="13" spans="1:9" ht="20.100000000000001" customHeight="1" x14ac:dyDescent="0.15">
      <c r="A13" s="117" t="s">
        <v>48</v>
      </c>
      <c r="B13" s="117"/>
      <c r="C13" s="70">
        <v>170000</v>
      </c>
      <c r="D13" s="70">
        <v>160000</v>
      </c>
      <c r="E13" s="76">
        <f>C13-D13</f>
        <v>10000</v>
      </c>
      <c r="F13" s="128" t="s">
        <v>77</v>
      </c>
      <c r="G13" s="129"/>
      <c r="H13" s="130"/>
      <c r="I13" s="73">
        <v>0</v>
      </c>
    </row>
    <row r="14" spans="1:9" ht="20.100000000000001" customHeight="1" x14ac:dyDescent="0.15">
      <c r="A14" s="101"/>
      <c r="B14" s="101"/>
      <c r="C14" s="99"/>
      <c r="D14" s="99"/>
      <c r="E14" s="100"/>
      <c r="F14" s="102" t="s">
        <v>75</v>
      </c>
      <c r="G14" s="103"/>
      <c r="H14" s="104"/>
    </row>
    <row r="15" spans="1:9" ht="20.100000000000001" customHeight="1" x14ac:dyDescent="0.15">
      <c r="A15" s="131"/>
      <c r="B15" s="131"/>
      <c r="C15" s="80"/>
      <c r="D15" s="80"/>
      <c r="E15" s="78"/>
      <c r="F15" s="132" t="s">
        <v>76</v>
      </c>
      <c r="G15" s="133"/>
      <c r="H15" s="134"/>
    </row>
    <row r="16" spans="1:9" ht="20.100000000000001" customHeight="1" x14ac:dyDescent="0.15">
      <c r="A16" s="123" t="s">
        <v>49</v>
      </c>
      <c r="B16" s="124"/>
      <c r="C16" s="79">
        <v>140000</v>
      </c>
      <c r="D16" s="79">
        <v>130000</v>
      </c>
      <c r="E16" s="76">
        <f>C16-D16</f>
        <v>10000</v>
      </c>
      <c r="F16" s="135" t="s">
        <v>98</v>
      </c>
      <c r="G16" s="135"/>
      <c r="H16" s="135"/>
      <c r="I16" s="73">
        <v>5643</v>
      </c>
    </row>
    <row r="17" spans="1:10" ht="20.100000000000001" customHeight="1" x14ac:dyDescent="0.15">
      <c r="A17" s="131"/>
      <c r="B17" s="131"/>
      <c r="C17" s="77"/>
      <c r="D17" s="77"/>
      <c r="E17" s="78"/>
      <c r="F17" s="136" t="s">
        <v>50</v>
      </c>
      <c r="G17" s="137"/>
      <c r="H17" s="138"/>
    </row>
    <row r="18" spans="1:10" ht="20.100000000000001" customHeight="1" x14ac:dyDescent="0.15">
      <c r="A18" s="123" t="s">
        <v>51</v>
      </c>
      <c r="B18" s="124"/>
      <c r="C18" s="79">
        <v>35000</v>
      </c>
      <c r="D18" s="79">
        <v>25000</v>
      </c>
      <c r="E18" s="76">
        <f>C18-D18</f>
        <v>10000</v>
      </c>
      <c r="F18" s="139" t="s">
        <v>73</v>
      </c>
      <c r="G18" s="140"/>
      <c r="H18" s="141"/>
      <c r="I18" s="14">
        <f>SUM(J18:J19)</f>
        <v>35293</v>
      </c>
      <c r="J18" s="81">
        <v>3797</v>
      </c>
    </row>
    <row r="19" spans="1:10" ht="20.100000000000001" customHeight="1" x14ac:dyDescent="0.15">
      <c r="A19" s="142"/>
      <c r="B19" s="143"/>
      <c r="C19" s="82"/>
      <c r="D19" s="82"/>
      <c r="E19" s="78"/>
      <c r="F19" s="144" t="s">
        <v>74</v>
      </c>
      <c r="G19" s="144"/>
      <c r="H19" s="144"/>
      <c r="I19" s="73"/>
      <c r="J19" s="81">
        <v>31496</v>
      </c>
    </row>
    <row r="20" spans="1:10" ht="20.100000000000001" customHeight="1" x14ac:dyDescent="0.15">
      <c r="A20" s="117" t="s">
        <v>52</v>
      </c>
      <c r="B20" s="145"/>
      <c r="C20" s="70">
        <v>120000</v>
      </c>
      <c r="D20" s="70">
        <v>160000</v>
      </c>
      <c r="E20" s="76">
        <f>C20-D20</f>
        <v>-40000</v>
      </c>
      <c r="F20" s="135" t="s">
        <v>80</v>
      </c>
      <c r="G20" s="135"/>
      <c r="H20" s="135"/>
      <c r="I20" s="73">
        <v>118759</v>
      </c>
    </row>
    <row r="21" spans="1:10" ht="20.100000000000001" customHeight="1" thickBot="1" x14ac:dyDescent="0.2">
      <c r="A21" s="101"/>
      <c r="B21" s="123"/>
      <c r="C21" s="79"/>
      <c r="D21" s="79"/>
      <c r="E21" s="78"/>
      <c r="F21" s="113" t="s">
        <v>72</v>
      </c>
      <c r="G21" s="113"/>
      <c r="H21" s="113"/>
      <c r="I21" s="73">
        <v>13554</v>
      </c>
    </row>
    <row r="22" spans="1:10" ht="20.100000000000001" customHeight="1" x14ac:dyDescent="0.15">
      <c r="A22" s="114" t="s">
        <v>53</v>
      </c>
      <c r="B22" s="114"/>
      <c r="C22" s="69">
        <f>C23+C24</f>
        <v>0</v>
      </c>
      <c r="D22" s="69">
        <f>D23+D24</f>
        <v>0</v>
      </c>
      <c r="E22" s="69">
        <v>0</v>
      </c>
      <c r="F22" s="116"/>
      <c r="G22" s="116"/>
      <c r="H22" s="116"/>
    </row>
    <row r="23" spans="1:10" ht="20.100000000000001" customHeight="1" x14ac:dyDescent="0.15">
      <c r="A23" s="149" t="s">
        <v>54</v>
      </c>
      <c r="B23" s="149"/>
      <c r="C23" s="83">
        <v>0</v>
      </c>
      <c r="D23" s="83">
        <v>0</v>
      </c>
      <c r="E23" s="71">
        <v>0</v>
      </c>
      <c r="F23" s="111"/>
      <c r="G23" s="111"/>
      <c r="H23" s="111"/>
    </row>
    <row r="24" spans="1:10" ht="20.100000000000001" customHeight="1" thickBot="1" x14ac:dyDescent="0.2">
      <c r="A24" s="101" t="s">
        <v>55</v>
      </c>
      <c r="B24" s="101"/>
      <c r="C24" s="79">
        <v>0</v>
      </c>
      <c r="D24" s="79">
        <v>0</v>
      </c>
      <c r="E24" s="84">
        <v>0</v>
      </c>
      <c r="F24" s="135"/>
      <c r="G24" s="135"/>
      <c r="H24" s="135"/>
    </row>
    <row r="25" spans="1:10" ht="20.100000000000001" customHeight="1" x14ac:dyDescent="0.15">
      <c r="A25" s="114" t="s">
        <v>56</v>
      </c>
      <c r="B25" s="114"/>
      <c r="C25" s="69">
        <f>C26+C27</f>
        <v>71800</v>
      </c>
      <c r="D25" s="69">
        <f>D26+D27</f>
        <v>70000</v>
      </c>
      <c r="E25" s="69">
        <f>C25-D25</f>
        <v>1800</v>
      </c>
      <c r="F25" s="150"/>
      <c r="G25" s="151"/>
      <c r="H25" s="151"/>
    </row>
    <row r="26" spans="1:10" ht="20.100000000000001" customHeight="1" x14ac:dyDescent="0.15">
      <c r="A26" s="85" t="s">
        <v>57</v>
      </c>
      <c r="B26" s="86"/>
      <c r="C26" s="83">
        <v>66800</v>
      </c>
      <c r="D26" s="83">
        <v>60000</v>
      </c>
      <c r="E26" s="87">
        <f>C26-D26</f>
        <v>6800</v>
      </c>
      <c r="F26" s="152" t="s">
        <v>82</v>
      </c>
      <c r="G26" s="153"/>
      <c r="H26" s="154"/>
      <c r="I26" s="73">
        <v>60073</v>
      </c>
    </row>
    <row r="27" spans="1:10" ht="20.100000000000001" customHeight="1" thickBot="1" x14ac:dyDescent="0.2">
      <c r="A27" s="88" t="s">
        <v>58</v>
      </c>
      <c r="B27" s="89"/>
      <c r="C27" s="90">
        <v>5000</v>
      </c>
      <c r="D27" s="90">
        <v>10000</v>
      </c>
      <c r="E27" s="91">
        <f>C27-D27</f>
        <v>-5000</v>
      </c>
      <c r="F27" s="146" t="s">
        <v>81</v>
      </c>
      <c r="G27" s="147"/>
      <c r="H27" s="148"/>
      <c r="I27" s="73">
        <v>6646</v>
      </c>
    </row>
    <row r="28" spans="1:10" ht="20.100000000000001" customHeight="1" x14ac:dyDescent="0.15">
      <c r="A28" s="115" t="s">
        <v>59</v>
      </c>
      <c r="B28" s="155"/>
      <c r="C28" s="69">
        <f>C29+C30+C31+C32+C33</f>
        <v>382820</v>
      </c>
      <c r="D28" s="69">
        <f>D29+D30+D31+D32+D33</f>
        <v>371000</v>
      </c>
      <c r="E28" s="69">
        <f>C28-D28</f>
        <v>11820</v>
      </c>
      <c r="F28" s="156"/>
      <c r="G28" s="157"/>
      <c r="H28" s="158"/>
      <c r="I28" s="92"/>
    </row>
    <row r="29" spans="1:10" ht="20.100000000000001" customHeight="1" x14ac:dyDescent="0.15">
      <c r="A29" s="159" t="s">
        <v>60</v>
      </c>
      <c r="B29" s="160"/>
      <c r="C29" s="83">
        <v>6000</v>
      </c>
      <c r="D29" s="83">
        <v>6000</v>
      </c>
      <c r="E29" s="87">
        <f t="shared" ref="E28:E33" si="0">C29-D29</f>
        <v>0</v>
      </c>
      <c r="F29" s="152" t="s">
        <v>83</v>
      </c>
      <c r="G29" s="153"/>
      <c r="H29" s="154"/>
      <c r="I29" s="73">
        <v>5001</v>
      </c>
    </row>
    <row r="30" spans="1:10" ht="20.100000000000001" customHeight="1" x14ac:dyDescent="0.15">
      <c r="A30" s="159" t="s">
        <v>61</v>
      </c>
      <c r="B30" s="160"/>
      <c r="C30" s="83">
        <v>18000</v>
      </c>
      <c r="D30" s="83">
        <v>15000</v>
      </c>
      <c r="E30" s="87">
        <f t="shared" si="0"/>
        <v>3000</v>
      </c>
      <c r="F30" s="152" t="s">
        <v>101</v>
      </c>
      <c r="G30" s="153"/>
      <c r="H30" s="154"/>
      <c r="I30" s="73">
        <v>4636</v>
      </c>
    </row>
    <row r="31" spans="1:10" ht="20.100000000000001" customHeight="1" x14ac:dyDescent="0.15">
      <c r="A31" s="159" t="s">
        <v>62</v>
      </c>
      <c r="B31" s="160"/>
      <c r="C31" s="83">
        <v>216320</v>
      </c>
      <c r="D31" s="83">
        <v>207000</v>
      </c>
      <c r="E31" s="87">
        <f>C31-D31</f>
        <v>9320</v>
      </c>
      <c r="F31" s="152" t="s">
        <v>99</v>
      </c>
      <c r="G31" s="153"/>
      <c r="H31" s="154"/>
      <c r="I31" s="73">
        <v>187500</v>
      </c>
    </row>
    <row r="32" spans="1:10" ht="20.100000000000001" customHeight="1" x14ac:dyDescent="0.15">
      <c r="A32" s="159" t="s">
        <v>63</v>
      </c>
      <c r="B32" s="160"/>
      <c r="C32" s="83">
        <v>120000</v>
      </c>
      <c r="D32" s="83">
        <v>120000</v>
      </c>
      <c r="E32" s="87">
        <f t="shared" si="0"/>
        <v>0</v>
      </c>
      <c r="F32" s="152" t="s">
        <v>100</v>
      </c>
      <c r="G32" s="153"/>
      <c r="H32" s="154"/>
      <c r="I32" s="73">
        <v>75500</v>
      </c>
    </row>
    <row r="33" spans="1:9" ht="20.100000000000001" customHeight="1" thickBot="1" x14ac:dyDescent="0.2">
      <c r="A33" s="61" t="s">
        <v>64</v>
      </c>
      <c r="B33" s="62"/>
      <c r="C33" s="79">
        <v>22500</v>
      </c>
      <c r="D33" s="79">
        <v>23000</v>
      </c>
      <c r="E33" s="91">
        <f t="shared" si="0"/>
        <v>-500</v>
      </c>
      <c r="F33" s="93" t="s">
        <v>65</v>
      </c>
      <c r="G33" s="94"/>
      <c r="H33" s="95"/>
      <c r="I33" s="73">
        <v>22520</v>
      </c>
    </row>
    <row r="34" spans="1:9" ht="20.100000000000001" customHeight="1" thickBot="1" x14ac:dyDescent="0.2">
      <c r="A34" s="161" t="s">
        <v>66</v>
      </c>
      <c r="B34" s="162"/>
      <c r="C34" s="96">
        <v>25000</v>
      </c>
      <c r="D34" s="96">
        <v>50000</v>
      </c>
      <c r="E34" s="69">
        <f>C34-D34</f>
        <v>-25000</v>
      </c>
      <c r="F34" s="163" t="s">
        <v>84</v>
      </c>
      <c r="G34" s="164"/>
      <c r="H34" s="165"/>
      <c r="I34" s="243" t="s">
        <v>85</v>
      </c>
    </row>
    <row r="35" spans="1:9" ht="20.100000000000001" customHeight="1" thickBot="1" x14ac:dyDescent="0.2">
      <c r="A35" s="166" t="s">
        <v>67</v>
      </c>
      <c r="B35" s="167"/>
      <c r="C35" s="97">
        <v>0</v>
      </c>
      <c r="D35" s="97">
        <v>80000</v>
      </c>
      <c r="E35" s="69">
        <f>C35-D35</f>
        <v>-80000</v>
      </c>
      <c r="F35" s="168" t="s">
        <v>68</v>
      </c>
      <c r="G35" s="169"/>
      <c r="H35" s="170"/>
      <c r="I35" s="73">
        <v>78800</v>
      </c>
    </row>
    <row r="36" spans="1:9" ht="20.100000000000001" hidden="1" customHeight="1" thickBot="1" x14ac:dyDescent="0.2">
      <c r="A36" s="144"/>
      <c r="B36" s="144"/>
      <c r="C36" s="80"/>
      <c r="D36" s="80"/>
      <c r="E36" s="98"/>
      <c r="F36" s="171"/>
      <c r="G36" s="172"/>
      <c r="H36" s="173"/>
    </row>
    <row r="37" spans="1:9" ht="20.100000000000001" customHeight="1" thickBot="1" x14ac:dyDescent="0.2">
      <c r="A37" s="174" t="s">
        <v>69</v>
      </c>
      <c r="B37" s="174"/>
      <c r="C37" s="69">
        <f>C38-C4-C8-C22-C25-C28-C34-C35</f>
        <v>320078</v>
      </c>
      <c r="D37" s="69">
        <f>D38-D4-D8-D22-D25-D28-D34-D35</f>
        <v>730196</v>
      </c>
      <c r="E37" s="69">
        <f>C37-D37</f>
        <v>-410118</v>
      </c>
      <c r="F37" s="175"/>
      <c r="G37" s="175"/>
      <c r="H37" s="175"/>
      <c r="I37" s="73">
        <v>447358</v>
      </c>
    </row>
    <row r="38" spans="1:9" ht="20.100000000000001" customHeight="1" thickBot="1" x14ac:dyDescent="0.2">
      <c r="A38" s="177" t="s">
        <v>70</v>
      </c>
      <c r="B38" s="178"/>
      <c r="C38" s="96">
        <f>'令和８年度 一般会計 収支予算（案）'!C33</f>
        <v>1927998</v>
      </c>
      <c r="D38" s="96">
        <v>2236196</v>
      </c>
      <c r="E38" s="96">
        <f>C38-D38</f>
        <v>-308198</v>
      </c>
      <c r="F38" s="175"/>
      <c r="G38" s="175"/>
      <c r="H38" s="175"/>
      <c r="I38" s="92" t="s">
        <v>71</v>
      </c>
    </row>
    <row r="39" spans="1:9" ht="18" customHeight="1" x14ac:dyDescent="0.15">
      <c r="A39" s="179"/>
      <c r="B39" s="179"/>
      <c r="C39" s="1"/>
      <c r="D39" s="1"/>
      <c r="E39" s="1"/>
      <c r="F39" s="180"/>
      <c r="G39" s="180"/>
      <c r="H39" s="180"/>
      <c r="I39" s="243" t="s">
        <v>90</v>
      </c>
    </row>
    <row r="40" spans="1:9" ht="18" customHeight="1" x14ac:dyDescent="0.15">
      <c r="A40" s="181"/>
      <c r="B40" s="176"/>
      <c r="C40" s="176"/>
      <c r="D40" s="176"/>
      <c r="E40" s="176"/>
      <c r="F40" s="176"/>
      <c r="G40" s="176"/>
      <c r="H40" s="176"/>
      <c r="I40" s="246">
        <f>C37-'令和８年度 一般会計 収支予算（案）'!C30</f>
        <v>-127280</v>
      </c>
    </row>
    <row r="41" spans="1:9" ht="18" customHeight="1" x14ac:dyDescent="0.15">
      <c r="A41" s="176"/>
      <c r="B41" s="176"/>
      <c r="C41" s="176"/>
      <c r="D41" s="176"/>
      <c r="E41" s="176"/>
      <c r="F41" s="176"/>
      <c r="G41" s="176"/>
      <c r="H41" s="176"/>
    </row>
    <row r="42" spans="1:9" ht="18" customHeight="1" x14ac:dyDescent="0.15">
      <c r="A42" s="176"/>
      <c r="B42" s="176"/>
      <c r="C42" s="176"/>
      <c r="D42" s="176"/>
      <c r="E42" s="176"/>
      <c r="F42" s="176"/>
      <c r="G42" s="176"/>
      <c r="H42" s="176"/>
    </row>
    <row r="43" spans="1:9" ht="18" customHeight="1" x14ac:dyDescent="0.15">
      <c r="A43" s="176"/>
      <c r="B43" s="176"/>
      <c r="C43" s="176"/>
      <c r="D43" s="176"/>
      <c r="E43" s="176"/>
      <c r="F43" s="176"/>
      <c r="G43" s="176"/>
      <c r="H43" s="176"/>
    </row>
    <row r="44" spans="1:9" ht="18" customHeight="1" x14ac:dyDescent="0.15">
      <c r="A44" s="176"/>
      <c r="B44" s="176"/>
      <c r="C44" s="176"/>
      <c r="D44" s="176"/>
      <c r="E44" s="176"/>
      <c r="F44" s="176"/>
      <c r="G44" s="176"/>
      <c r="H44" s="176"/>
    </row>
    <row r="45" spans="1:9" ht="18" customHeight="1" x14ac:dyDescent="0.15">
      <c r="A45" s="176"/>
      <c r="B45" s="176"/>
      <c r="C45" s="176"/>
      <c r="D45" s="176"/>
      <c r="E45" s="176"/>
      <c r="F45" s="176"/>
      <c r="G45" s="176"/>
      <c r="H45" s="176"/>
    </row>
    <row r="46" spans="1:9" ht="18" customHeight="1" x14ac:dyDescent="0.15">
      <c r="A46" s="182"/>
      <c r="B46" s="182"/>
      <c r="C46" s="182"/>
      <c r="D46" s="182"/>
      <c r="E46" s="182"/>
      <c r="F46" s="182"/>
      <c r="G46" s="182"/>
      <c r="H46" s="182"/>
    </row>
    <row r="47" spans="1:9" s="13" customFormat="1" ht="14.25" x14ac:dyDescent="0.15">
      <c r="A47" s="176"/>
      <c r="B47" s="176"/>
      <c r="C47" s="176"/>
      <c r="D47" s="176"/>
      <c r="E47" s="176"/>
      <c r="F47" s="176"/>
      <c r="G47" s="176"/>
      <c r="H47" s="176"/>
    </row>
  </sheetData>
  <mergeCells count="80">
    <mergeCell ref="A47:H47"/>
    <mergeCell ref="A38:B38"/>
    <mergeCell ref="F38:H38"/>
    <mergeCell ref="A39:B39"/>
    <mergeCell ref="F39:H39"/>
    <mergeCell ref="A40:H40"/>
    <mergeCell ref="A41:H41"/>
    <mergeCell ref="A42:H42"/>
    <mergeCell ref="A43:H43"/>
    <mergeCell ref="A44:H44"/>
    <mergeCell ref="A45:H45"/>
    <mergeCell ref="A46:H46"/>
    <mergeCell ref="A35:B35"/>
    <mergeCell ref="F35:H35"/>
    <mergeCell ref="A36:B36"/>
    <mergeCell ref="F36:H36"/>
    <mergeCell ref="A37:B37"/>
    <mergeCell ref="F37:H37"/>
    <mergeCell ref="A31:B31"/>
    <mergeCell ref="F31:H31"/>
    <mergeCell ref="A32:B32"/>
    <mergeCell ref="F32:H32"/>
    <mergeCell ref="A34:B34"/>
    <mergeCell ref="F34:H34"/>
    <mergeCell ref="A28:B28"/>
    <mergeCell ref="F28:H28"/>
    <mergeCell ref="A29:B29"/>
    <mergeCell ref="F29:H29"/>
    <mergeCell ref="A30:B30"/>
    <mergeCell ref="F30:H30"/>
    <mergeCell ref="A19:B19"/>
    <mergeCell ref="F19:H19"/>
    <mergeCell ref="A20:B20"/>
    <mergeCell ref="F20:H20"/>
    <mergeCell ref="F27:H27"/>
    <mergeCell ref="A21:B21"/>
    <mergeCell ref="F21:H21"/>
    <mergeCell ref="A22:B22"/>
    <mergeCell ref="F22:H22"/>
    <mergeCell ref="A23:B23"/>
    <mergeCell ref="F23:H23"/>
    <mergeCell ref="A24:B24"/>
    <mergeCell ref="F24:H24"/>
    <mergeCell ref="A25:B25"/>
    <mergeCell ref="F25:H25"/>
    <mergeCell ref="F26:H26"/>
    <mergeCell ref="A16:B16"/>
    <mergeCell ref="F16:H16"/>
    <mergeCell ref="A17:B17"/>
    <mergeCell ref="F17:H17"/>
    <mergeCell ref="A18:B18"/>
    <mergeCell ref="F18:H18"/>
    <mergeCell ref="A12:B12"/>
    <mergeCell ref="F12:H12"/>
    <mergeCell ref="A13:B13"/>
    <mergeCell ref="F13:H13"/>
    <mergeCell ref="A15:B15"/>
    <mergeCell ref="F15:H15"/>
    <mergeCell ref="A9:B9"/>
    <mergeCell ref="F9:H9"/>
    <mergeCell ref="A10:B10"/>
    <mergeCell ref="F10:H10"/>
    <mergeCell ref="A11:B11"/>
    <mergeCell ref="F11:H11"/>
    <mergeCell ref="A14:B14"/>
    <mergeCell ref="F14:H14"/>
    <mergeCell ref="A1:B1"/>
    <mergeCell ref="G2:H2"/>
    <mergeCell ref="A3:B3"/>
    <mergeCell ref="F3:H3"/>
    <mergeCell ref="A4:B4"/>
    <mergeCell ref="F4:H4"/>
    <mergeCell ref="A5:B5"/>
    <mergeCell ref="F5:H5"/>
    <mergeCell ref="A6:B6"/>
    <mergeCell ref="F6:H6"/>
    <mergeCell ref="A7:B7"/>
    <mergeCell ref="F7:H7"/>
    <mergeCell ref="A8:B8"/>
    <mergeCell ref="F8:H8"/>
  </mergeCells>
  <phoneticPr fontId="3"/>
  <pageMargins left="0.98425196850393704" right="0.39370078740157483" top="1.1811023622047245" bottom="0.39370078740157483" header="0.51181102362204722" footer="0.51181102362204722"/>
  <pageSetup paperSize="9" orientation="portrait" r:id="rId1"/>
  <headerFooter alignWithMargins="0">
    <oddHeader>&amp;R駒寄町内会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令和８年度 一般会計 収支予算（案）</vt:lpstr>
      <vt:lpstr>（支出）の分</vt:lpstr>
      <vt:lpstr>'（支出）の分'!Print_Area</vt:lpstr>
      <vt:lpstr>'令和８年度 一般会計 収支予算（案）'!Print_Area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高橋示</dc:creator>
  <cp:lastModifiedBy>岳 橋本</cp:lastModifiedBy>
  <cp:lastPrinted>2026-04-10T21:10:06Z</cp:lastPrinted>
  <dcterms:created xsi:type="dcterms:W3CDTF">2004-03-14T01:44:11Z</dcterms:created>
  <dcterms:modified xsi:type="dcterms:W3CDTF">2026-04-10T21:11:59Z</dcterms:modified>
</cp:coreProperties>
</file>