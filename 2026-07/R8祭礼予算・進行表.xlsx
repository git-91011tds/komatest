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Works\komatest\2026-07\"/>
    </mc:Choice>
  </mc:AlternateContent>
  <xr:revisionPtr revIDLastSave="0" documentId="13_ncr:1_{8A777B09-BF8E-43A4-AB85-F640E450F2CF}" xr6:coauthVersionLast="47" xr6:coauthVersionMax="47" xr10:uidLastSave="{00000000-0000-0000-0000-000000000000}"/>
  <bookViews>
    <workbookView xWindow="17100" yWindow="5136" windowWidth="23268" windowHeight="18672" tabRatio="807" activeTab="1" xr2:uid="{00000000-000D-0000-FFFF-FFFF00000000}"/>
  </bookViews>
  <sheets>
    <sheet name="①宵宮祭rev.H" sheetId="31" r:id="rId1"/>
    <sheet name="②本祭rev.H" sheetId="32" r:id="rId2"/>
    <sheet name="①宵宮祭rev.G" sheetId="29" r:id="rId3"/>
    <sheet name="②本祭rev.G" sheetId="30" r:id="rId4"/>
    <sheet name="R6 収支計画" sheetId="26" r:id="rId5"/>
    <sheet name="R5年度祭礼予算計画シミュレーション" sheetId="1" r:id="rId6"/>
    <sheet name="実績メモ" sheetId="2" r:id="rId7"/>
  </sheets>
  <definedNames>
    <definedName name="_xlnm.Print_Area" localSheetId="2">'①宵宮祭rev.G'!$A$1:$K$60</definedName>
    <definedName name="_xlnm.Print_Area" localSheetId="0">'①宵宮祭rev.H'!$A$1:$K$60</definedName>
    <definedName name="_xlnm.Print_Area" localSheetId="3">'②本祭rev.G'!$A$1:$K$64</definedName>
    <definedName name="_xlnm.Print_Area" localSheetId="1">'②本祭rev.H'!$A$1:$K$64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6" l="1"/>
  <c r="B19" i="26"/>
  <c r="B18" i="26"/>
  <c r="B17" i="26"/>
  <c r="B32" i="26"/>
  <c r="B10" i="26"/>
  <c r="B21" i="26"/>
  <c r="B13" i="26"/>
  <c r="B8" i="26"/>
  <c r="B31" i="26"/>
  <c r="B30" i="26"/>
  <c r="B29" i="26"/>
  <c r="B28" i="26"/>
  <c r="B27" i="26"/>
  <c r="B26" i="26"/>
  <c r="B25" i="26"/>
  <c r="B24" i="26"/>
  <c r="B23" i="26"/>
  <c r="B14" i="26"/>
  <c r="B9" i="26"/>
  <c r="B11" i="26"/>
  <c r="B22" i="26"/>
  <c r="B12" i="26"/>
  <c r="B15" i="26"/>
  <c r="B16" i="26"/>
  <c r="B7" i="26"/>
  <c r="B6" i="26"/>
  <c r="B5" i="26"/>
  <c r="B4" i="26"/>
  <c r="B3" i="26"/>
  <c r="D30" i="26"/>
  <c r="D31" i="26" s="1"/>
  <c r="F6" i="26" l="1"/>
  <c r="F3" i="26"/>
  <c r="F30" i="26" l="1"/>
  <c r="F31" i="26" s="1"/>
  <c r="F32" i="26" s="1"/>
  <c r="C8" i="1" l="1"/>
  <c r="C5" i="1"/>
  <c r="L46" i="1"/>
  <c r="O85" i="1" l="1"/>
  <c r="O46" i="1"/>
  <c r="L11" i="1" l="1"/>
  <c r="L17" i="1"/>
  <c r="L37" i="1"/>
  <c r="L43" i="1"/>
  <c r="L76" i="1"/>
  <c r="L85" i="1"/>
  <c r="R26" i="1"/>
  <c r="O82" i="1"/>
  <c r="O76" i="1"/>
  <c r="O79" i="1"/>
  <c r="O88" i="1"/>
  <c r="O91" i="1"/>
  <c r="O23" i="1"/>
  <c r="I7" i="1"/>
  <c r="C3" i="1"/>
  <c r="O7" i="1"/>
  <c r="D24" i="2"/>
  <c r="D12" i="2"/>
  <c r="F7" i="1" l="1"/>
  <c r="L7" i="1" l="1"/>
  <c r="C6" i="1" l="1"/>
  <c r="C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橋本岳</author>
    <author>橋本　岳</author>
  </authors>
  <commentList>
    <comment ref="C6" authorId="0" shapeId="0" xr:uid="{147BB115-6E76-4936-B96A-39BDA0251C36}">
      <text>
        <r>
          <rPr>
            <b/>
            <sz val="10"/>
            <color indexed="81"/>
            <rFont val="BIZ UDPゴシック"/>
            <family val="3"/>
            <charset val="128"/>
          </rPr>
          <t>・伊藤大樹（代表）
・佐野竜斗
・佐野翔斗
・橋本雲千代
・稲橋完久朗　（交通）</t>
        </r>
      </text>
    </comment>
    <comment ref="G7" authorId="1" shapeId="0" xr:uid="{703003CE-656E-421B-BF01-34DC5F55AC32}">
      <text>
        <r>
          <rPr>
            <b/>
            <sz val="10"/>
            <color indexed="81"/>
            <rFont val="BIZ UDPゴシック"/>
            <family val="3"/>
            <charset val="128"/>
          </rPr>
          <t xml:space="preserve">タオルの持ち帰り
　※配布は翌日です。
</t>
        </r>
      </text>
    </comment>
    <comment ref="C10" authorId="1" shapeId="0" xr:uid="{77EE783D-C1DF-4BF9-BEA0-958FEDA48C7F}">
      <text>
        <r>
          <rPr>
            <b/>
            <sz val="10"/>
            <color indexed="81"/>
            <rFont val="BIZ UDPゴシック"/>
            <family val="3"/>
            <charset val="128"/>
          </rPr>
          <t>②御仮屋設営、飾りつけ
　　駒寄、南郷、二丁目　（各２名）</t>
        </r>
      </text>
    </comment>
    <comment ref="I11" authorId="0" shapeId="0" xr:uid="{06EE4AB6-4B25-4E1E-8FB3-62188F24E553}">
      <text>
        <r>
          <rPr>
            <b/>
            <sz val="10"/>
            <color indexed="81"/>
            <rFont val="BIZ UDPゴシック"/>
            <family val="3"/>
            <charset val="128"/>
          </rPr>
          <t>【大野】　電飾</t>
        </r>
      </text>
    </comment>
    <comment ref="F14" authorId="0" shapeId="0" xr:uid="{B660692A-1AAD-49A0-90C8-31F6287C5BEA}">
      <text>
        <r>
          <rPr>
            <b/>
            <sz val="10"/>
            <color indexed="81"/>
            <rFont val="BIZ UDPゴシック"/>
            <family val="3"/>
            <charset val="128"/>
          </rPr>
          <t>【祭礼役員】 連合３町内の接待
10:30～11:00
【駒寄神輿長ほか２名】
　　皆ヶ作、南郷、一丁目への挨拶まわり</t>
        </r>
      </text>
    </comment>
    <comment ref="F21" authorId="1" shapeId="0" xr:uid="{367D1501-565B-4CA2-A81E-6FB24936B840}">
      <text>
        <r>
          <rPr>
            <b/>
            <sz val="10"/>
            <color indexed="81"/>
            <rFont val="BIZ UDPゴシック"/>
            <family val="3"/>
            <charset val="128"/>
          </rPr>
          <t>宮司が各町内に出向き
御神輿修祓、安全祈願</t>
        </r>
      </text>
    </comment>
    <comment ref="I23" authorId="0" shapeId="0" xr:uid="{E98F2D3B-DE42-4730-BD88-487DBCBB5DB1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【大野】山車の配置
　：会館脇に
【少年部】ジャグほか準備</t>
        </r>
      </text>
    </comment>
    <comment ref="C29" authorId="1" shapeId="0" xr:uid="{EC54C5E9-EC26-4FDC-B08D-CFC3A13CEADF}">
      <text>
        <r>
          <rPr>
            <b/>
            <sz val="11"/>
            <color indexed="81"/>
            <rFont val="BIZ UDPゴシック"/>
            <family val="3"/>
            <charset val="128"/>
          </rPr>
          <t>【青壮年部】神社神輿
　宮出しお手伝い（神社集合）</t>
        </r>
      </text>
    </comment>
    <comment ref="I35" authorId="0" shapeId="0" xr:uid="{F4E4B2C6-301A-4B7B-87B7-7BCE2C181469}">
      <text>
        <r>
          <rPr>
            <b/>
            <sz val="10"/>
            <color indexed="81"/>
            <rFont val="BIZ UDPゴシック"/>
            <family val="3"/>
            <charset val="128"/>
          </rPr>
          <t>【少年部】お菓子配布</t>
        </r>
      </text>
    </comment>
    <comment ref="F36" authorId="0" shapeId="0" xr:uid="{FBBBD88B-85DE-407C-B690-ACC0D85614CC}">
      <text>
        <r>
          <rPr>
            <b/>
            <sz val="10"/>
            <color indexed="81"/>
            <rFont val="BIZ UDPゴシック"/>
            <family val="3"/>
            <charset val="128"/>
          </rPr>
          <t>神輿長：武藤親弘</t>
        </r>
        <r>
          <rPr>
            <b/>
            <sz val="9"/>
            <color indexed="81"/>
            <rFont val="BIZ UDPゴシック"/>
            <family val="3"/>
            <charset val="128"/>
          </rPr>
          <t>、（副）伊藤大樹、松村英治</t>
        </r>
        <r>
          <rPr>
            <b/>
            <sz val="10"/>
            <color indexed="81"/>
            <rFont val="BIZ UDPゴシック"/>
            <family val="3"/>
            <charset val="128"/>
          </rPr>
          <t xml:space="preserve">
子供神輿長：杉山（少年部部長）
山車長：大野、（担当）井岡、ほか少年部
警護長：青山、</t>
        </r>
        <r>
          <rPr>
            <b/>
            <sz val="9"/>
            <color indexed="81"/>
            <rFont val="BIZ UDPゴシック"/>
            <family val="3"/>
            <charset val="128"/>
          </rPr>
          <t>（副）松川、高橋則篤、佐久間明</t>
        </r>
      </text>
    </comment>
    <comment ref="F40" authorId="0" shapeId="0" xr:uid="{27AB0CCC-1EED-4829-894A-9B151EAE3BA8}">
      <text>
        <r>
          <rPr>
            <b/>
            <sz val="11"/>
            <color indexed="81"/>
            <rFont val="BIZ UDPゴシック"/>
            <family val="3"/>
            <charset val="128"/>
          </rPr>
          <t>Ｒ８年の担当は【駒寄】です
【魚広】飲み物８ケース冷蔵庫</t>
        </r>
      </text>
    </comment>
    <comment ref="F41" authorId="1" shapeId="0" xr:uid="{7418DEFA-675C-4644-A5A4-88125725FD41}">
      <text>
        <r>
          <rPr>
            <b/>
            <sz val="11"/>
            <color indexed="81"/>
            <rFont val="BIZ UDPゴシック"/>
            <family val="3"/>
            <charset val="128"/>
          </rPr>
          <t>18:00 役員集合</t>
        </r>
      </text>
    </comment>
    <comment ref="I42" authorId="0" shapeId="0" xr:uid="{BDD83CEE-0338-4C29-A325-C7024A8D398F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【大野】山車の移動</t>
        </r>
      </text>
    </comment>
    <comment ref="F47" authorId="0" shapeId="0" xr:uid="{E45B2E3F-C797-4EDE-B972-7385B0CE8D53}">
      <text>
        <r>
          <rPr>
            <b/>
            <sz val="10"/>
            <color indexed="81"/>
            <rFont val="BIZ UDPゴシック"/>
            <family val="3"/>
            <charset val="128"/>
          </rPr>
          <t>【祭礼役員】リヤカー
・ジャグ（小）×１, 
紙コップ、ゴミ袋</t>
        </r>
      </text>
    </comment>
    <comment ref="F50" authorId="0" shapeId="0" xr:uid="{C4F95ADD-1E8F-458A-80C6-40E671D8B08D}">
      <text>
        <r>
          <rPr>
            <b/>
            <sz val="10"/>
            <color indexed="81"/>
            <rFont val="BIZ UDPゴシック"/>
            <family val="3"/>
            <charset val="128"/>
          </rPr>
          <t>【祭礼役員】リヤカー
・ジャグ（小）×１, 
紙コップ、ゴミ袋</t>
        </r>
      </text>
    </comment>
    <comment ref="F57" authorId="0" shapeId="0" xr:uid="{2A430999-C472-4CB3-B5E4-83F11330EB74}">
      <text>
        <r>
          <rPr>
            <b/>
            <sz val="11"/>
            <color indexed="81"/>
            <rFont val="BIZ UDPゴシック"/>
            <family val="3"/>
            <charset val="128"/>
          </rPr>
          <t>炊事場担当以外の理事は直来会場（駐車場）へ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橋本　岳</author>
    <author>橋本岳</author>
  </authors>
  <commentList>
    <comment ref="C9" authorId="0" shapeId="0" xr:uid="{A74F5BB9-379F-477C-B387-A0EE111D4FD4}">
      <text>
        <r>
          <rPr>
            <b/>
            <sz val="11"/>
            <color indexed="81"/>
            <rFont val="BIZ UDPゴシック"/>
            <family val="3"/>
            <charset val="128"/>
          </rPr>
          <t>出御後、御仮屋撤去作業
（駒寄、南郷、二丁目）各２名</t>
        </r>
      </text>
    </comment>
    <comment ref="I12" authorId="1" shapeId="0" xr:uid="{28ED2366-EC78-4A68-8ECD-A6FC190A5EDB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【大野】山車の運航
【少年部】ジャグほか準備</t>
        </r>
      </text>
    </comment>
    <comment ref="C19" authorId="0" shapeId="0" xr:uid="{26D46CCD-74DD-4DCF-9049-D8AC34431342}">
      <text>
        <r>
          <rPr>
            <b/>
            <sz val="11"/>
            <color indexed="81"/>
            <rFont val="BIZ UDPゴシック"/>
            <family val="3"/>
            <charset val="128"/>
          </rPr>
          <t>神輿台持ち：駒寄⑦～⑨</t>
        </r>
      </text>
    </comment>
    <comment ref="I19" authorId="0" shapeId="0" xr:uid="{6E9BDE40-5D7F-4E23-83F5-36CD3EB03CED}">
      <text>
        <r>
          <rPr>
            <b/>
            <sz val="10"/>
            <color indexed="81"/>
            <rFont val="BIZ UDPゴシック"/>
            <family val="3"/>
            <charset val="128"/>
          </rPr>
          <t>【少年部】弁当配布・解散</t>
        </r>
      </text>
    </comment>
    <comment ref="D23" authorId="0" shapeId="0" xr:uid="{508A7F53-2B7D-4835-A746-ECD7A5602FF7}">
      <text>
        <r>
          <rPr>
            <b/>
            <sz val="12"/>
            <color indexed="81"/>
            <rFont val="BIZ UDPゴシック"/>
            <family val="3"/>
            <charset val="128"/>
          </rPr>
          <t>11:40 旧旭建材集合
　</t>
        </r>
        <r>
          <rPr>
            <b/>
            <sz val="12"/>
            <color indexed="10"/>
            <rFont val="BIZ UDPゴシック"/>
            <family val="3"/>
            <charset val="128"/>
          </rPr>
          <t>※遅刻厳禁</t>
        </r>
      </text>
    </comment>
    <comment ref="D24" authorId="1" shapeId="0" xr:uid="{77BDD319-C003-4F18-8338-594449FCCCD2}">
      <text>
        <r>
          <rPr>
            <b/>
            <sz val="10"/>
            <color indexed="81"/>
            <rFont val="BIZ UDPゴシック"/>
            <family val="3"/>
            <charset val="128"/>
          </rPr>
          <t>11:50頃　　 駒寄会館前にて
　「神輿くぐり」　受付</t>
        </r>
      </text>
    </comment>
    <comment ref="I34" authorId="1" shapeId="0" xr:uid="{019F7966-338D-4A29-A509-55C994BAAEEA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【大野】山車の運航
【少年部】山車の準備
 ・ジャグほか準備</t>
        </r>
      </text>
    </comment>
    <comment ref="I42" authorId="1" shapeId="0" xr:uid="{AA1F7C8C-61F0-4633-8CAE-9A4CE04D6BC8}">
      <text>
        <r>
          <rPr>
            <b/>
            <sz val="10"/>
            <color indexed="81"/>
            <rFont val="BIZ UDPゴシック"/>
            <family val="3"/>
            <charset val="128"/>
          </rPr>
          <t>　【少年部】お菓子配布</t>
        </r>
      </text>
    </comment>
    <comment ref="C47" authorId="0" shapeId="0" xr:uid="{0EA070D8-1D64-459E-A6C6-1EA89A71127F}">
      <text>
        <r>
          <rPr>
            <b/>
            <sz val="12"/>
            <color indexed="81"/>
            <rFont val="BIZ UDPゴシック"/>
            <family val="3"/>
            <charset val="128"/>
          </rPr>
          <t>【青壮年部】15:50 会館集合
・神社神輿宮入　16:09～16:35
　（ごはん亭～神社）　</t>
        </r>
      </text>
    </comment>
    <comment ref="I59" authorId="1" shapeId="0" xr:uid="{420C73F6-76EE-4914-9C44-0D9847E40836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【大野】山車の移動</t>
        </r>
      </text>
    </comment>
    <comment ref="F61" authorId="1" shapeId="0" xr:uid="{6444CBC3-A9D4-4969-9D3A-A524B73D72DC}">
      <text>
        <r>
          <rPr>
            <b/>
            <sz val="10"/>
            <color indexed="81"/>
            <rFont val="BIZ UDPゴシック"/>
            <family val="3"/>
            <charset val="128"/>
          </rPr>
          <t>お風呂券の配布</t>
        </r>
      </text>
    </comment>
    <comment ref="F62" authorId="1" shapeId="0" xr:uid="{D7648F22-DBF8-4CD5-B37F-F13BA6C3E7C0}">
      <text>
        <r>
          <rPr>
            <b/>
            <sz val="10"/>
            <color indexed="10"/>
            <rFont val="BIZ UDPゴシック"/>
            <family val="3"/>
            <charset val="128"/>
          </rPr>
          <t>【注意】</t>
        </r>
        <r>
          <rPr>
            <b/>
            <sz val="10"/>
            <color indexed="81"/>
            <rFont val="BIZ UDPゴシック"/>
            <family val="3"/>
            <charset val="128"/>
          </rPr>
          <t>会館片付けは、
三本締め終わってから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橋本岳</author>
    <author>橋本　岳</author>
  </authors>
  <commentList>
    <comment ref="C6" authorId="0" shapeId="0" xr:uid="{FD5F95F8-9B16-4BF7-9C96-748946F6DEE7}">
      <text>
        <r>
          <rPr>
            <b/>
            <sz val="10"/>
            <color indexed="81"/>
            <rFont val="BIZ UDPゴシック"/>
            <family val="3"/>
            <charset val="128"/>
          </rPr>
          <t>・伊藤大樹（代表）
・佐野竜斗
・佐野翔斗
・橋本雲千代
・稲橋完久朗　（交通）</t>
        </r>
      </text>
    </comment>
    <comment ref="G7" authorId="1" shapeId="0" xr:uid="{4D8BDFDA-1344-47F4-B570-E10DF7B11A8D}">
      <text>
        <r>
          <rPr>
            <b/>
            <sz val="10"/>
            <color indexed="81"/>
            <rFont val="BIZ UDPゴシック"/>
            <family val="3"/>
            <charset val="128"/>
          </rPr>
          <t xml:space="preserve">タオルの持ち帰り
　※配布は翌日です。
</t>
        </r>
      </text>
    </comment>
    <comment ref="C10" authorId="1" shapeId="0" xr:uid="{066576C3-10B4-4953-9D2C-91C2502372F7}">
      <text>
        <r>
          <rPr>
            <b/>
            <sz val="10"/>
            <color indexed="81"/>
            <rFont val="BIZ UDPゴシック"/>
            <family val="3"/>
            <charset val="128"/>
          </rPr>
          <t>②御仮屋設営、飾りつけ
　　駒寄、南郷、二丁目　（各２名）</t>
        </r>
      </text>
    </comment>
    <comment ref="I11" authorId="0" shapeId="0" xr:uid="{D70BFC1C-14D4-49E7-B972-46D3754A3AA5}">
      <text>
        <r>
          <rPr>
            <b/>
            <sz val="10"/>
            <color indexed="81"/>
            <rFont val="BIZ UDPゴシック"/>
            <family val="3"/>
            <charset val="128"/>
          </rPr>
          <t>【大野】　電飾</t>
        </r>
      </text>
    </comment>
    <comment ref="F14" authorId="0" shapeId="0" xr:uid="{63A5E411-0CB8-4EE7-A16F-EDC487C4F401}">
      <text>
        <r>
          <rPr>
            <b/>
            <sz val="10"/>
            <color indexed="81"/>
            <rFont val="BIZ UDPゴシック"/>
            <family val="3"/>
            <charset val="128"/>
          </rPr>
          <t>【祭礼役員】 連合３町内の接待
10:30～11:00
【駒寄神輿長ほか２名】
　　皆ヶ作、南郷、一丁目への挨拶まわり</t>
        </r>
      </text>
    </comment>
    <comment ref="F21" authorId="1" shapeId="0" xr:uid="{4EF34D89-EAAB-49CF-96EB-9E909FF20DC8}">
      <text>
        <r>
          <rPr>
            <b/>
            <sz val="10"/>
            <color indexed="81"/>
            <rFont val="BIZ UDPゴシック"/>
            <family val="3"/>
            <charset val="128"/>
          </rPr>
          <t>宮司が各町内に出向き
御神輿修祓、安全祈願</t>
        </r>
      </text>
    </comment>
    <comment ref="I23" authorId="0" shapeId="0" xr:uid="{89B2D0CD-4E40-4778-8337-2D0C41DF1318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【大野】山車の配置
　：会館脇に
【少年部】ジャグほか準備</t>
        </r>
      </text>
    </comment>
    <comment ref="E26" authorId="1" shapeId="0" xr:uid="{07B65722-CB06-47A2-B1AE-54A89B9B6854}">
      <text>
        <r>
          <rPr>
            <b/>
            <sz val="10"/>
            <color indexed="81"/>
            <rFont val="BIZ UDPゴシック"/>
            <family val="3"/>
            <charset val="128"/>
          </rPr>
          <t xml:space="preserve">15:45
【神社神輿担ぎ手】駒寄会館に集合
</t>
        </r>
      </text>
    </comment>
    <comment ref="C29" authorId="1" shapeId="0" xr:uid="{13CFB4E2-D66F-4C87-9EB1-44E6CB451D5B}">
      <text>
        <r>
          <rPr>
            <b/>
            <sz val="11"/>
            <color indexed="81"/>
            <rFont val="BIZ UDPゴシック"/>
            <family val="3"/>
            <charset val="128"/>
          </rPr>
          <t>【青壮年部】神社神輿
　宮出しお手伝い（神社集合）</t>
        </r>
      </text>
    </comment>
    <comment ref="I35" authorId="0" shapeId="0" xr:uid="{618FD19F-8885-4492-8792-1D02129C8055}">
      <text>
        <r>
          <rPr>
            <b/>
            <sz val="10"/>
            <color indexed="81"/>
            <rFont val="BIZ UDPゴシック"/>
            <family val="3"/>
            <charset val="128"/>
          </rPr>
          <t>【少年部】お菓子配布</t>
        </r>
      </text>
    </comment>
    <comment ref="F36" authorId="0" shapeId="0" xr:uid="{E83B52B1-624A-4C48-B377-5F6BD66CF2CB}">
      <text>
        <r>
          <rPr>
            <b/>
            <sz val="10"/>
            <color indexed="81"/>
            <rFont val="BIZ UDPゴシック"/>
            <family val="3"/>
            <charset val="128"/>
          </rPr>
          <t>神輿長：武藤親弘</t>
        </r>
        <r>
          <rPr>
            <b/>
            <sz val="9"/>
            <color indexed="81"/>
            <rFont val="BIZ UDPゴシック"/>
            <family val="3"/>
            <charset val="128"/>
          </rPr>
          <t>、（副）伊藤大樹、松村英治</t>
        </r>
        <r>
          <rPr>
            <b/>
            <sz val="10"/>
            <color indexed="81"/>
            <rFont val="BIZ UDPゴシック"/>
            <family val="3"/>
            <charset val="128"/>
          </rPr>
          <t xml:space="preserve">
子供神輿長：杉山（少年部部長）
山車長：大野、（担当）井岡、ほか少年部
警護長：青山、</t>
        </r>
        <r>
          <rPr>
            <b/>
            <sz val="9"/>
            <color indexed="81"/>
            <rFont val="BIZ UDPゴシック"/>
            <family val="3"/>
            <charset val="128"/>
          </rPr>
          <t>（副）松川、高橋則篤、佐久間明</t>
        </r>
      </text>
    </comment>
    <comment ref="F40" authorId="0" shapeId="0" xr:uid="{89A54C4B-8EF5-445C-B3DE-5E5F4E4E1636}">
      <text>
        <r>
          <rPr>
            <b/>
            <sz val="11"/>
            <color indexed="81"/>
            <rFont val="BIZ UDPゴシック"/>
            <family val="3"/>
            <charset val="128"/>
          </rPr>
          <t>Ｒ８年の担当は【駒寄】です
【魚広】飲み物８ケース冷蔵庫</t>
        </r>
      </text>
    </comment>
    <comment ref="F41" authorId="1" shapeId="0" xr:uid="{9E00482A-F96D-4C2B-A0C8-CC4E3F091121}">
      <text>
        <r>
          <rPr>
            <b/>
            <sz val="11"/>
            <color indexed="81"/>
            <rFont val="BIZ UDPゴシック"/>
            <family val="3"/>
            <charset val="128"/>
          </rPr>
          <t>18:00 役員集合</t>
        </r>
      </text>
    </comment>
    <comment ref="I42" authorId="0" shapeId="0" xr:uid="{206E7DA7-F629-4130-AA3F-423723BA5EB4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【大野】山車の移動</t>
        </r>
      </text>
    </comment>
    <comment ref="E43" authorId="0" shapeId="0" xr:uid="{59AC9312-74D6-4EA1-AB1D-CAAE959C9F78}">
      <text>
        <r>
          <rPr>
            <b/>
            <sz val="11"/>
            <color indexed="81"/>
            <rFont val="BIZ UDPゴシック"/>
            <family val="3"/>
            <charset val="128"/>
          </rPr>
          <t>飲み物提供
（ごみ袋）➡四町内</t>
        </r>
      </text>
    </comment>
    <comment ref="E44" authorId="0" shapeId="0" xr:uid="{F5646902-3F24-45E0-9488-0EEC01F51C5D}">
      <text>
        <r>
          <rPr>
            <b/>
            <sz val="11"/>
            <color indexed="81"/>
            <rFont val="BIZ UDPゴシック"/>
            <family val="3"/>
            <charset val="128"/>
          </rPr>
          <t>会長挨拶</t>
        </r>
      </text>
    </comment>
    <comment ref="F47" authorId="0" shapeId="0" xr:uid="{6B5E31D6-60CF-43C2-B08A-1C0E5F59B875}">
      <text>
        <r>
          <rPr>
            <b/>
            <sz val="10"/>
            <color indexed="81"/>
            <rFont val="BIZ UDPゴシック"/>
            <family val="3"/>
            <charset val="128"/>
          </rPr>
          <t>【祭礼役員】リヤカー
・ジャグ（小）×１, 
紙コップ、ゴミ袋</t>
        </r>
      </text>
    </comment>
    <comment ref="F50" authorId="0" shapeId="0" xr:uid="{504A3EFF-1746-406E-9478-8698E4146735}">
      <text>
        <r>
          <rPr>
            <b/>
            <sz val="10"/>
            <color indexed="81"/>
            <rFont val="BIZ UDPゴシック"/>
            <family val="3"/>
            <charset val="128"/>
          </rPr>
          <t>【祭礼役員】リヤカー
・ジャグ（小）×１, 
紙コップ、ゴミ袋</t>
        </r>
      </text>
    </comment>
    <comment ref="F57" authorId="0" shapeId="0" xr:uid="{E9D162B0-0769-42B4-ACA7-0EE22B011876}">
      <text>
        <r>
          <rPr>
            <b/>
            <sz val="11"/>
            <color indexed="81"/>
            <rFont val="BIZ UDPゴシック"/>
            <family val="3"/>
            <charset val="128"/>
          </rPr>
          <t>炊事場担当以外の理事は直来会場（駐車場）へ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橋本　岳</author>
    <author>橋本岳</author>
  </authors>
  <commentList>
    <comment ref="C9" authorId="0" shapeId="0" xr:uid="{FCB0B204-D09A-4BBE-86F7-3B0BC962C516}">
      <text>
        <r>
          <rPr>
            <b/>
            <sz val="11"/>
            <color indexed="81"/>
            <rFont val="BIZ UDPゴシック"/>
            <family val="3"/>
            <charset val="128"/>
          </rPr>
          <t>出御後、御仮屋撤去作業
（駒寄、南郷、二丁目）各２名</t>
        </r>
      </text>
    </comment>
    <comment ref="I12" authorId="1" shapeId="0" xr:uid="{53ABE54E-8C74-4CBF-900D-8D9943610A87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【大野】山車の運航
【少年部】ジャグほか準備</t>
        </r>
      </text>
    </comment>
    <comment ref="C19" authorId="0" shapeId="0" xr:uid="{BA2C15C3-5CBB-4620-90FF-AA94B10DEF18}">
      <text>
        <r>
          <rPr>
            <b/>
            <sz val="11"/>
            <color indexed="81"/>
            <rFont val="BIZ UDPゴシック"/>
            <family val="3"/>
            <charset val="128"/>
          </rPr>
          <t>神輿台持ち：駒寄⑦～⑨</t>
        </r>
      </text>
    </comment>
    <comment ref="I19" authorId="0" shapeId="0" xr:uid="{BCE19AA1-3556-456F-BA4B-B654ECF2F242}">
      <text>
        <r>
          <rPr>
            <b/>
            <sz val="10"/>
            <color indexed="81"/>
            <rFont val="BIZ UDPゴシック"/>
            <family val="3"/>
            <charset val="128"/>
          </rPr>
          <t>【少年部】弁当配布・解散</t>
        </r>
      </text>
    </comment>
    <comment ref="D23" authorId="0" shapeId="0" xr:uid="{DF317ADA-B287-453D-ADE8-53BFAC05CB31}">
      <text>
        <r>
          <rPr>
            <b/>
            <sz val="12"/>
            <color indexed="81"/>
            <rFont val="BIZ UDPゴシック"/>
            <family val="3"/>
            <charset val="128"/>
          </rPr>
          <t>11:40 旧旭建材集合
　</t>
        </r>
        <r>
          <rPr>
            <b/>
            <sz val="12"/>
            <color indexed="10"/>
            <rFont val="BIZ UDPゴシック"/>
            <family val="3"/>
            <charset val="128"/>
          </rPr>
          <t>※遅刻厳禁</t>
        </r>
      </text>
    </comment>
    <comment ref="D24" authorId="1" shapeId="0" xr:uid="{74CD0C19-446E-4DCA-B1F0-07C2091872F4}">
      <text>
        <r>
          <rPr>
            <b/>
            <sz val="10"/>
            <color indexed="81"/>
            <rFont val="BIZ UDPゴシック"/>
            <family val="3"/>
            <charset val="128"/>
          </rPr>
          <t>11:50頃　　 駒寄会館前にて
　「神輿くぐり」　受付</t>
        </r>
      </text>
    </comment>
    <comment ref="I34" authorId="1" shapeId="0" xr:uid="{A2B55912-5DFC-4009-8B23-CEB36DFDB615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【大野】山車の運航
【少年部】山車の準備
 ・ジャグほか準備</t>
        </r>
      </text>
    </comment>
    <comment ref="I42" authorId="1" shapeId="0" xr:uid="{15518343-3925-4C8D-9CA1-5AB624FCF572}">
      <text>
        <r>
          <rPr>
            <b/>
            <sz val="10"/>
            <color indexed="81"/>
            <rFont val="BIZ UDPゴシック"/>
            <family val="3"/>
            <charset val="128"/>
          </rPr>
          <t>　【少年部】お菓子配布</t>
        </r>
      </text>
    </comment>
    <comment ref="C47" authorId="0" shapeId="0" xr:uid="{30D96306-FE50-4FB0-A875-A0DBC1584043}">
      <text>
        <r>
          <rPr>
            <b/>
            <sz val="12"/>
            <color indexed="81"/>
            <rFont val="BIZ UDPゴシック"/>
            <family val="3"/>
            <charset val="128"/>
          </rPr>
          <t>【青壮年部】15:50 会館集合
・神社神輿宮入　16:09～16:35
　（ごはん亭～神社）　</t>
        </r>
      </text>
    </comment>
    <comment ref="I59" authorId="1" shapeId="0" xr:uid="{6A814242-2443-4C8A-A2F7-7081844B6E7E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【大野】山車の移動</t>
        </r>
      </text>
    </comment>
    <comment ref="F61" authorId="1" shapeId="0" xr:uid="{05B5169B-CC65-48D9-A149-C587126FD790}">
      <text>
        <r>
          <rPr>
            <b/>
            <sz val="10"/>
            <color indexed="81"/>
            <rFont val="BIZ UDPゴシック"/>
            <family val="3"/>
            <charset val="128"/>
          </rPr>
          <t>お風呂券の配布</t>
        </r>
      </text>
    </comment>
    <comment ref="F62" authorId="1" shapeId="0" xr:uid="{B657D4C7-64CA-4619-A05A-58F964294580}">
      <text>
        <r>
          <rPr>
            <b/>
            <sz val="10"/>
            <color indexed="10"/>
            <rFont val="BIZ UDPゴシック"/>
            <family val="3"/>
            <charset val="128"/>
          </rPr>
          <t>【注意】</t>
        </r>
        <r>
          <rPr>
            <b/>
            <sz val="10"/>
            <color indexed="81"/>
            <rFont val="BIZ UDPゴシック"/>
            <family val="3"/>
            <charset val="128"/>
          </rPr>
          <t>会館片付けは、
三本締め終わってから</t>
        </r>
      </text>
    </comment>
  </commentList>
</comments>
</file>

<file path=xl/sharedStrings.xml><?xml version="1.0" encoding="utf-8"?>
<sst xmlns="http://schemas.openxmlformats.org/spreadsheetml/2006/main" count="698" uniqueCount="342">
  <si>
    <t>神社（神輿・山車）</t>
    <rPh sb="6" eb="8">
      <t>ダシ</t>
    </rPh>
    <phoneticPr fontId="1"/>
  </si>
  <si>
    <t>大人神輿・中神輿</t>
    <rPh sb="5" eb="6">
      <t>チュウ</t>
    </rPh>
    <rPh sb="6" eb="8">
      <t>ミコシ</t>
    </rPh>
    <phoneticPr fontId="1"/>
  </si>
  <si>
    <t>山車・子供神輿</t>
    <phoneticPr fontId="1"/>
  </si>
  <si>
    <t>30</t>
    <phoneticPr fontId="1"/>
  </si>
  <si>
    <t>祭礼役員　会館集合</t>
    <phoneticPr fontId="1"/>
  </si>
  <si>
    <t>少年部役員・評議員　会館集合</t>
    <rPh sb="0" eb="2">
      <t>ショウネン</t>
    </rPh>
    <rPh sb="2" eb="3">
      <t>ブ</t>
    </rPh>
    <phoneticPr fontId="1"/>
  </si>
  <si>
    <t>役員：ゴザ天日干し</t>
    <rPh sb="0" eb="2">
      <t>ヤクイン</t>
    </rPh>
    <rPh sb="5" eb="8">
      <t>テンピボ</t>
    </rPh>
    <phoneticPr fontId="1"/>
  </si>
  <si>
    <t>45</t>
  </si>
  <si>
    <t>【駒寄世話人】駒寄会館集合</t>
    <phoneticPr fontId="1"/>
  </si>
  <si>
    <t>評議員：会館２階、トイレ清掃</t>
    <rPh sb="0" eb="3">
      <t>ヒョウギイン</t>
    </rPh>
    <rPh sb="4" eb="6">
      <t>カイカン</t>
    </rPh>
    <rPh sb="7" eb="8">
      <t>カイ</t>
    </rPh>
    <rPh sb="12" eb="14">
      <t>セイソウ</t>
    </rPh>
    <phoneticPr fontId="1"/>
  </si>
  <si>
    <t>※神社9:00集合</t>
    <rPh sb="1" eb="3">
      <t>ジンジャ</t>
    </rPh>
    <rPh sb="7" eb="9">
      <t>シュウゴウ</t>
    </rPh>
    <phoneticPr fontId="1"/>
  </si>
  <si>
    <t>返礼タオル準備</t>
    <phoneticPr fontId="1"/>
  </si>
  <si>
    <t>00</t>
    <phoneticPr fontId="1"/>
  </si>
  <si>
    <t>式典準備（神社）</t>
    <rPh sb="0" eb="2">
      <t>シキテン</t>
    </rPh>
    <rPh sb="2" eb="4">
      <t>ジュンビ</t>
    </rPh>
    <rPh sb="5" eb="7">
      <t>ジンジャ</t>
    </rPh>
    <phoneticPr fontId="1"/>
  </si>
  <si>
    <t>ご寄付・門付の受付開始</t>
    <phoneticPr fontId="1"/>
  </si>
  <si>
    <t>山車の移動</t>
    <phoneticPr fontId="1"/>
  </si>
  <si>
    <t>（会計：会館１階で 終日受付）</t>
    <rPh sb="1" eb="3">
      <t>カイケイ</t>
    </rPh>
    <rPh sb="12" eb="14">
      <t>ウケツケ</t>
    </rPh>
    <phoneticPr fontId="1"/>
  </si>
  <si>
    <t>（行政センター➡駒寄会館）</t>
    <phoneticPr fontId="1"/>
  </si>
  <si>
    <t>神輿／山車の最終点検</t>
    <phoneticPr fontId="1"/>
  </si>
  <si>
    <t>神輿長 連合渡御（打ち合わせ）</t>
    <rPh sb="9" eb="10">
      <t>ウ</t>
    </rPh>
    <rPh sb="11" eb="12">
      <t>ア</t>
    </rPh>
    <phoneticPr fontId="1"/>
  </si>
  <si>
    <t>※【世話人】駒寄会館にて昼食</t>
    <rPh sb="12" eb="14">
      <t>チュウショク</t>
    </rPh>
    <phoneticPr fontId="1"/>
  </si>
  <si>
    <t>【祭礼役員】駒寄会館にて昼食</t>
    <rPh sb="12" eb="14">
      <t>チュウショク</t>
    </rPh>
    <phoneticPr fontId="1"/>
  </si>
  <si>
    <t>式典挙行（神殿）</t>
    <rPh sb="5" eb="7">
      <t>シンデン</t>
    </rPh>
    <phoneticPr fontId="1"/>
  </si>
  <si>
    <t>町内会長出席（半纏・ネクタイ）</t>
    <rPh sb="0" eb="2">
      <t>チョウナイ</t>
    </rPh>
    <rPh sb="2" eb="4">
      <t>カイチョウ</t>
    </rPh>
    <rPh sb="4" eb="6">
      <t>シュッセキ</t>
    </rPh>
    <rPh sb="7" eb="9">
      <t>ハンテン</t>
    </rPh>
    <phoneticPr fontId="1"/>
  </si>
  <si>
    <t>神社大神輿・山車　渡御</t>
    <rPh sb="0" eb="2">
      <t>ジンジャ</t>
    </rPh>
    <rPh sb="2" eb="3">
      <t>オオ</t>
    </rPh>
    <rPh sb="3" eb="5">
      <t>ミコシ</t>
    </rPh>
    <rPh sb="6" eb="8">
      <t>ダシ</t>
    </rPh>
    <rPh sb="9" eb="11">
      <t>トギョウ</t>
    </rPh>
    <phoneticPr fontId="1"/>
  </si>
  <si>
    <t>宮司・安全祈祷　（Ｂ班）</t>
    <rPh sb="0" eb="2">
      <t>グウジ</t>
    </rPh>
    <rPh sb="3" eb="5">
      <t>アンゼン</t>
    </rPh>
    <rPh sb="5" eb="7">
      <t>キトウ</t>
    </rPh>
    <rPh sb="10" eb="11">
      <t>ハン</t>
    </rPh>
    <phoneticPr fontId="1"/>
  </si>
  <si>
    <t>45</t>
    <phoneticPr fontId="1"/>
  </si>
  <si>
    <t>【駒寄世話人】駒寄会館に集合</t>
    <phoneticPr fontId="1"/>
  </si>
  <si>
    <t>神社出発</t>
    <rPh sb="0" eb="2">
      <t>ジンジャ</t>
    </rPh>
    <rPh sb="2" eb="4">
      <t>シュッパツ</t>
    </rPh>
    <phoneticPr fontId="1"/>
  </si>
  <si>
    <t>世話人集合　神輿組み立て</t>
    <rPh sb="0" eb="2">
      <t>セワ</t>
    </rPh>
    <rPh sb="2" eb="3">
      <t>ニン</t>
    </rPh>
    <rPh sb="3" eb="5">
      <t>シュウゴウ</t>
    </rPh>
    <rPh sb="6" eb="8">
      <t>ミコシ</t>
    </rPh>
    <rPh sb="8" eb="9">
      <t>ク</t>
    </rPh>
    <rPh sb="10" eb="11">
      <t>タ</t>
    </rPh>
    <phoneticPr fontId="1"/>
  </si>
  <si>
    <t>～15:05 ガーデン船越</t>
    <rPh sb="11" eb="13">
      <t>フナコシ</t>
    </rPh>
    <phoneticPr fontId="1"/>
  </si>
  <si>
    <t>15</t>
    <phoneticPr fontId="1"/>
  </si>
  <si>
    <t>～15:20 梅田</t>
    <rPh sb="7" eb="9">
      <t>ウメダ</t>
    </rPh>
    <phoneticPr fontId="1"/>
  </si>
  <si>
    <t>お囃子【少年部お囃子担当】</t>
    <phoneticPr fontId="1"/>
  </si>
  <si>
    <t>～15:35 八丁目</t>
    <rPh sb="7" eb="8">
      <t>ハッ</t>
    </rPh>
    <rPh sb="8" eb="10">
      <t>チョウメ</t>
    </rPh>
    <phoneticPr fontId="1"/>
  </si>
  <si>
    <t>会館 集合</t>
    <rPh sb="0" eb="2">
      <t>カイカン</t>
    </rPh>
    <phoneticPr fontId="1"/>
  </si>
  <si>
    <r>
      <t>～15:50 皆ヶ作</t>
    </r>
    <r>
      <rPr>
        <b/>
        <sz val="12"/>
        <rFont val="BIZ UDP明朝 Medium"/>
        <family val="1"/>
        <charset val="128"/>
      </rPr>
      <t>　駒寄は会館集合</t>
    </r>
    <rPh sb="7" eb="8">
      <t>ミナ</t>
    </rPh>
    <rPh sb="9" eb="10">
      <t>サク</t>
    </rPh>
    <rPh sb="11" eb="13">
      <t>コマヨセ</t>
    </rPh>
    <rPh sb="14" eb="16">
      <t>カイカン</t>
    </rPh>
    <rPh sb="16" eb="18">
      <t>シュウゴウ</t>
    </rPh>
    <phoneticPr fontId="1"/>
  </si>
  <si>
    <t>お囃子開始～</t>
    <phoneticPr fontId="1"/>
  </si>
  <si>
    <t>各町内担ぎ手集合</t>
    <rPh sb="0" eb="1">
      <t>カク</t>
    </rPh>
    <rPh sb="1" eb="3">
      <t>チョウナイ</t>
    </rPh>
    <rPh sb="3" eb="4">
      <t>カツ</t>
    </rPh>
    <rPh sb="5" eb="6">
      <t>テ</t>
    </rPh>
    <rPh sb="6" eb="8">
      <t>シュウゴウ</t>
    </rPh>
    <phoneticPr fontId="1"/>
  </si>
  <si>
    <t>～16:05 駒寄＜入魂式＞</t>
    <rPh sb="7" eb="9">
      <t>コマヨセ</t>
    </rPh>
    <rPh sb="10" eb="12">
      <t>ニュウコン</t>
    </rPh>
    <rPh sb="12" eb="13">
      <t>シキ</t>
    </rPh>
    <phoneticPr fontId="1"/>
  </si>
  <si>
    <t>～駒寄 御霊入れまで</t>
    <rPh sb="1" eb="3">
      <t>コマヨセ</t>
    </rPh>
    <rPh sb="4" eb="6">
      <t>ミタマ</t>
    </rPh>
    <rPh sb="6" eb="7">
      <t>イ</t>
    </rPh>
    <phoneticPr fontId="1"/>
  </si>
  <si>
    <t>：　大人神輿／中神輿／子供神輿</t>
    <rPh sb="7" eb="8">
      <t>チュウ</t>
    </rPh>
    <rPh sb="8" eb="10">
      <t>ミコシ</t>
    </rPh>
    <rPh sb="11" eb="13">
      <t>コドモ</t>
    </rPh>
    <rPh sb="13" eb="15">
      <t>ミコシ</t>
    </rPh>
    <phoneticPr fontId="1"/>
  </si>
  <si>
    <t>町内渡御　山車/子供神輿</t>
    <phoneticPr fontId="1"/>
  </si>
  <si>
    <t>20</t>
    <phoneticPr fontId="1"/>
  </si>
  <si>
    <t>神社帰還</t>
    <rPh sb="0" eb="2">
      <t>ジンジャ</t>
    </rPh>
    <rPh sb="2" eb="4">
      <t>キカン</t>
    </rPh>
    <phoneticPr fontId="1"/>
  </si>
  <si>
    <t>①会館出発</t>
    <phoneticPr fontId="1"/>
  </si>
  <si>
    <t>①神社（出御）</t>
    <rPh sb="5" eb="6">
      <t>ギョ</t>
    </rPh>
    <phoneticPr fontId="1"/>
  </si>
  <si>
    <t>【町内神輿担ぎ手・警護担当】</t>
    <phoneticPr fontId="1"/>
  </si>
  <si>
    <t>②セブンイレブン脇</t>
    <rPh sb="8" eb="9">
      <t>ワキ</t>
    </rPh>
    <phoneticPr fontId="1"/>
  </si>
  <si>
    <t>②ほかほか亭前着（通過）</t>
    <rPh sb="5" eb="6">
      <t>テイ</t>
    </rPh>
    <rPh sb="6" eb="7">
      <t>マエ</t>
    </rPh>
    <rPh sb="7" eb="8">
      <t>キ</t>
    </rPh>
    <phoneticPr fontId="1"/>
  </si>
  <si>
    <r>
      <t>山車・子供神輿渡御の手伝い</t>
    </r>
    <r>
      <rPr>
        <sz val="14"/>
        <color rgb="FF00B050"/>
        <rFont val="BIZ UDP明朝 Medium"/>
        <family val="1"/>
        <charset val="128"/>
      </rPr>
      <t>➡</t>
    </r>
    <phoneticPr fontId="1"/>
  </si>
  <si>
    <t>③サクマ時計店</t>
    <rPh sb="4" eb="7">
      <t>トケイテン</t>
    </rPh>
    <phoneticPr fontId="1"/>
  </si>
  <si>
    <t>50</t>
    <phoneticPr fontId="1"/>
  </si>
  <si>
    <r>
      <t>③行政</t>
    </r>
    <r>
      <rPr>
        <sz val="12"/>
        <color theme="1"/>
        <rFont val="BIZ UDP明朝 Medium"/>
        <family val="1"/>
        <charset val="128"/>
      </rPr>
      <t>センター</t>
    </r>
    <r>
      <rPr>
        <sz val="14"/>
        <color theme="1"/>
        <rFont val="BIZ UDP明朝 Medium"/>
        <family val="1"/>
        <charset val="128"/>
      </rPr>
      <t>着 （16:55発）</t>
    </r>
    <rPh sb="1" eb="3">
      <t>ギョウセイ</t>
    </rPh>
    <rPh sb="7" eb="8">
      <t>キ</t>
    </rPh>
    <phoneticPr fontId="1"/>
  </si>
  <si>
    <r>
      <t>④参番館駐車場</t>
    </r>
    <r>
      <rPr>
        <sz val="14"/>
        <color rgb="FFFF0000"/>
        <rFont val="BIZ UDP明朝 Medium"/>
        <family val="1"/>
        <charset val="128"/>
      </rPr>
      <t>（休憩）</t>
    </r>
    <phoneticPr fontId="1"/>
  </si>
  <si>
    <t>57</t>
    <phoneticPr fontId="1"/>
  </si>
  <si>
    <r>
      <t>④東芝ライテック</t>
    </r>
    <r>
      <rPr>
        <sz val="14"/>
        <color rgb="FFFF0000"/>
        <rFont val="BIZ UDP明朝 Medium"/>
        <family val="1"/>
        <charset val="128"/>
      </rPr>
      <t xml:space="preserve"> </t>
    </r>
    <r>
      <rPr>
        <sz val="14"/>
        <rFont val="BIZ UDP明朝 Medium"/>
        <family val="1"/>
        <charset val="128"/>
      </rPr>
      <t>（通過）</t>
    </r>
    <phoneticPr fontId="1"/>
  </si>
  <si>
    <t>⑤青山木工所⇒やおぎん</t>
    <rPh sb="1" eb="3">
      <t>アオヤマ</t>
    </rPh>
    <rPh sb="3" eb="5">
      <t>モッコウ</t>
    </rPh>
    <rPh sb="5" eb="6">
      <t>ジョ</t>
    </rPh>
    <phoneticPr fontId="1"/>
  </si>
  <si>
    <t>05</t>
    <phoneticPr fontId="1"/>
  </si>
  <si>
    <t>⑤セブンイレブン前（通過）</t>
    <phoneticPr fontId="1"/>
  </si>
  <si>
    <t>⑥会館到着（解散）</t>
    <phoneticPr fontId="1"/>
  </si>
  <si>
    <t>　仲通り商店街（通過）</t>
    <rPh sb="1" eb="3">
      <t>ナカドオリ</t>
    </rPh>
    <rPh sb="4" eb="7">
      <t>ショウテンガイ</t>
    </rPh>
    <phoneticPr fontId="1"/>
  </si>
  <si>
    <t>⑥川島菓子店（通過）</t>
    <phoneticPr fontId="1"/>
  </si>
  <si>
    <t>25</t>
    <phoneticPr fontId="1"/>
  </si>
  <si>
    <t xml:space="preserve">⑦船越タクシー前 </t>
    <phoneticPr fontId="1"/>
  </si>
  <si>
    <t>⑧御仮屋（椎野畳店）到着</t>
    <rPh sb="5" eb="7">
      <t>シイノ</t>
    </rPh>
    <rPh sb="7" eb="8">
      <t>タタミ</t>
    </rPh>
    <rPh sb="8" eb="9">
      <t>ミセ</t>
    </rPh>
    <phoneticPr fontId="1"/>
  </si>
  <si>
    <t>神輿・御仮屋　格納</t>
    <rPh sb="7" eb="9">
      <t>カクノウ</t>
    </rPh>
    <phoneticPr fontId="1"/>
  </si>
  <si>
    <t>四町内 連合渡御　大人神輿</t>
    <rPh sb="0" eb="1">
      <t>ヨン</t>
    </rPh>
    <rPh sb="1" eb="3">
      <t>チョウナイ</t>
    </rPh>
    <phoneticPr fontId="1"/>
  </si>
  <si>
    <t>お囃子（夜の部）　山車</t>
    <rPh sb="9" eb="11">
      <t>ダシ</t>
    </rPh>
    <phoneticPr fontId="1"/>
  </si>
  <si>
    <t>山車の移動（弐番館前へ）</t>
    <rPh sb="6" eb="9">
      <t>ニバンカン</t>
    </rPh>
    <phoneticPr fontId="1"/>
  </si>
  <si>
    <t>駒寄担ぎ手　会館前集合</t>
    <rPh sb="0" eb="2">
      <t>コマヨセ</t>
    </rPh>
    <rPh sb="2" eb="3">
      <t>カツ</t>
    </rPh>
    <rPh sb="4" eb="5">
      <t>テ</t>
    </rPh>
    <phoneticPr fontId="1"/>
  </si>
  <si>
    <t>※太鼓（参加は自由）</t>
    <rPh sb="1" eb="3">
      <t>タイコ</t>
    </rPh>
    <rPh sb="4" eb="6">
      <t>サンカ</t>
    </rPh>
    <rPh sb="7" eb="9">
      <t>ジユウ</t>
    </rPh>
    <phoneticPr fontId="1"/>
  </si>
  <si>
    <t>四町内 駒寄会館前集合</t>
    <rPh sb="0" eb="1">
      <t>ヨン</t>
    </rPh>
    <rPh sb="1" eb="3">
      <t>チョウナイ</t>
    </rPh>
    <rPh sb="4" eb="6">
      <t>コマヨセ</t>
    </rPh>
    <rPh sb="8" eb="9">
      <t>マエ</t>
    </rPh>
    <rPh sb="9" eb="11">
      <t>シュウゴウ</t>
    </rPh>
    <phoneticPr fontId="1"/>
  </si>
  <si>
    <t>①会館（立ち上げ）</t>
    <rPh sb="4" eb="5">
      <t>タ</t>
    </rPh>
    <rPh sb="6" eb="7">
      <t>ア</t>
    </rPh>
    <phoneticPr fontId="1"/>
  </si>
  <si>
    <t>セブンイレブン前通過➡</t>
    <rPh sb="7" eb="8">
      <t>ゼン</t>
    </rPh>
    <rPh sb="8" eb="10">
      <t>ツウカ</t>
    </rPh>
    <phoneticPr fontId="1"/>
  </si>
  <si>
    <t>35</t>
    <phoneticPr fontId="1"/>
  </si>
  <si>
    <t>②船越タクシー前　着</t>
    <rPh sb="9" eb="10">
      <t>チャク</t>
    </rPh>
    <phoneticPr fontId="1"/>
  </si>
  <si>
    <r>
      <rPr>
        <sz val="14"/>
        <color rgb="FFFF0000"/>
        <rFont val="BIZ UDP明朝 Medium"/>
        <family val="1"/>
        <charset val="128"/>
      </rPr>
      <t>休憩</t>
    </r>
    <r>
      <rPr>
        <sz val="14"/>
        <rFont val="BIZ UDP明朝 Medium"/>
        <family val="1"/>
        <charset val="128"/>
      </rPr>
      <t>（19:40出発）</t>
    </r>
    <rPh sb="0" eb="2">
      <t>キュウケイ</t>
    </rPh>
    <phoneticPr fontId="1"/>
  </si>
  <si>
    <t>③ピザーラ前　着</t>
    <rPh sb="5" eb="6">
      <t>マエ</t>
    </rPh>
    <rPh sb="7" eb="8">
      <t>チャク</t>
    </rPh>
    <phoneticPr fontId="1"/>
  </si>
  <si>
    <r>
      <rPr>
        <sz val="14"/>
        <color rgb="FFFF0000"/>
        <rFont val="BIZ UDP明朝 Medium"/>
        <family val="1"/>
        <charset val="128"/>
      </rPr>
      <t>休憩</t>
    </r>
    <r>
      <rPr>
        <sz val="14"/>
        <rFont val="BIZ UDP明朝 Medium"/>
        <family val="1"/>
        <charset val="128"/>
      </rPr>
      <t>（20:15出発）</t>
    </r>
    <rPh sb="0" eb="2">
      <t>キュウケイ</t>
    </rPh>
    <phoneticPr fontId="1"/>
  </si>
  <si>
    <t>④セブンイレブン前　着</t>
    <rPh sb="10" eb="11">
      <t>チャク</t>
    </rPh>
    <phoneticPr fontId="1"/>
  </si>
  <si>
    <t>＜四辻合わせ＞</t>
    <rPh sb="3" eb="4">
      <t>ア</t>
    </rPh>
    <phoneticPr fontId="1"/>
  </si>
  <si>
    <t>山車の収納（行政センター）</t>
    <rPh sb="6" eb="8">
      <t>ギョウセイ</t>
    </rPh>
    <phoneticPr fontId="1"/>
  </si>
  <si>
    <t>解散（各町内神輿は帰路へ）</t>
    <rPh sb="0" eb="2">
      <t>カイサン</t>
    </rPh>
    <phoneticPr fontId="1"/>
  </si>
  <si>
    <t>⑤駒寄会館　着（21:00）</t>
    <rPh sb="1" eb="2">
      <t>コマ</t>
    </rPh>
    <rPh sb="2" eb="3">
      <t>キ</t>
    </rPh>
    <rPh sb="3" eb="5">
      <t>カイカン</t>
    </rPh>
    <rPh sb="6" eb="7">
      <t>キ</t>
    </rPh>
    <phoneticPr fontId="1"/>
  </si>
  <si>
    <t>※21時前に格納完了</t>
    <rPh sb="3" eb="4">
      <t>ジ</t>
    </rPh>
    <rPh sb="4" eb="5">
      <t>マエ</t>
    </rPh>
    <rPh sb="6" eb="8">
      <t>カクノウ</t>
    </rPh>
    <rPh sb="8" eb="10">
      <t>カンリョウ</t>
    </rPh>
    <phoneticPr fontId="1"/>
  </si>
  <si>
    <t>宵宮 直会（なおらい）</t>
    <phoneticPr fontId="1"/>
  </si>
  <si>
    <t>（福寿さん駐車場にて）</t>
    <phoneticPr fontId="1"/>
  </si>
  <si>
    <t>祭礼役員・世話人　会館集合</t>
    <rPh sb="5" eb="7">
      <t>セワ</t>
    </rPh>
    <rPh sb="7" eb="8">
      <t>ニン</t>
    </rPh>
    <phoneticPr fontId="1"/>
  </si>
  <si>
    <t>神社神輿＋山車　渡御</t>
    <rPh sb="5" eb="7">
      <t>ダシ</t>
    </rPh>
    <rPh sb="7" eb="9">
      <t>トギョウ</t>
    </rPh>
    <phoneticPr fontId="1"/>
  </si>
  <si>
    <t>道路清掃（セブン前集合）</t>
    <rPh sb="0" eb="1">
      <t>ドウロ</t>
    </rPh>
    <rPh sb="1" eb="3">
      <t>セイソウ</t>
    </rPh>
    <rPh sb="8" eb="9">
      <t>マエ</t>
    </rPh>
    <rPh sb="9" eb="11">
      <t>シュウゴウ</t>
    </rPh>
    <phoneticPr fontId="1"/>
  </si>
  <si>
    <t>世話人　御仮屋集合</t>
    <rPh sb="0" eb="3">
      <t>セワニン</t>
    </rPh>
    <rPh sb="4" eb="7">
      <t>オカリヤ</t>
    </rPh>
    <rPh sb="7" eb="9">
      <t>シュウゴウ</t>
    </rPh>
    <phoneticPr fontId="1"/>
  </si>
  <si>
    <t>御仮屋（椎野畳店）➡船タク</t>
    <rPh sb="10" eb="11">
      <t>フナ</t>
    </rPh>
    <phoneticPr fontId="1"/>
  </si>
  <si>
    <t>寄付・門付の受付 会館１階</t>
    <rPh sb="12" eb="13">
      <t>カイ</t>
    </rPh>
    <phoneticPr fontId="1"/>
  </si>
  <si>
    <t>①船越タクシー前出御⇒セブン経由</t>
    <rPh sb="9" eb="10">
      <t>オ</t>
    </rPh>
    <rPh sb="14" eb="16">
      <t>ケイユ</t>
    </rPh>
    <phoneticPr fontId="1"/>
  </si>
  <si>
    <t>評議員（各班にて）返礼タオル配布</t>
    <rPh sb="4" eb="5">
      <t>カク</t>
    </rPh>
    <rPh sb="5" eb="6">
      <t>ハン</t>
    </rPh>
    <phoneticPr fontId="1"/>
  </si>
  <si>
    <t>37</t>
    <phoneticPr fontId="1"/>
  </si>
  <si>
    <r>
      <t>②ガーデン船越先鋒（9:38発）</t>
    </r>
    <r>
      <rPr>
        <sz val="12"/>
        <rFont val="BIZ UDP明朝 Medium"/>
        <family val="1"/>
        <charset val="128"/>
      </rPr>
      <t>サクマ</t>
    </r>
    <rPh sb="5" eb="7">
      <t>フナコシ</t>
    </rPh>
    <rPh sb="7" eb="9">
      <t>センポウ</t>
    </rPh>
    <phoneticPr fontId="1"/>
  </si>
  <si>
    <t>44</t>
    <phoneticPr fontId="1"/>
  </si>
  <si>
    <t>③ガーデン船越神酒所 着</t>
    <rPh sb="5" eb="7">
      <t>フナコシ</t>
    </rPh>
    <rPh sb="7" eb="10">
      <t>ミキショ</t>
    </rPh>
    <rPh sb="9" eb="10">
      <t>ショ</t>
    </rPh>
    <rPh sb="11" eb="12">
      <t>チャク</t>
    </rPh>
    <phoneticPr fontId="1"/>
  </si>
  <si>
    <t>２区　町内渡御（門付） 中神輿</t>
    <rPh sb="1" eb="2">
      <t>ク</t>
    </rPh>
    <phoneticPr fontId="1"/>
  </si>
  <si>
    <t>町内渡御　山車／子供神輿</t>
    <phoneticPr fontId="1"/>
  </si>
  <si>
    <t>54</t>
    <phoneticPr fontId="1"/>
  </si>
  <si>
    <t>ガーデン船越神酒所 発</t>
    <rPh sb="4" eb="6">
      <t>フナコシ</t>
    </rPh>
    <rPh sb="6" eb="9">
      <t>ミキショ</t>
    </rPh>
    <rPh sb="8" eb="9">
      <t>ショ</t>
    </rPh>
    <rPh sb="10" eb="11">
      <t>ハツ</t>
    </rPh>
    <phoneticPr fontId="1"/>
  </si>
  <si>
    <t>会館集合</t>
    <phoneticPr fontId="1"/>
  </si>
  <si>
    <t>04</t>
    <phoneticPr fontId="1"/>
  </si>
  <si>
    <t>④梅田先鋒（10:06発）</t>
    <rPh sb="1" eb="3">
      <t>ウメダ</t>
    </rPh>
    <rPh sb="3" eb="5">
      <t>センポウ</t>
    </rPh>
    <phoneticPr fontId="1"/>
  </si>
  <si>
    <r>
      <t>①会館出発</t>
    </r>
    <r>
      <rPr>
        <b/>
        <sz val="14"/>
        <rFont val="BIZ UDP明朝 Medium"/>
        <family val="1"/>
        <charset val="128"/>
      </rPr>
      <t>　（２区内巡行）</t>
    </r>
    <rPh sb="8" eb="9">
      <t>ク</t>
    </rPh>
    <rPh sb="9" eb="10">
      <t>ナイ</t>
    </rPh>
    <rPh sb="10" eb="12">
      <t>ジュンコウ</t>
    </rPh>
    <phoneticPr fontId="1"/>
  </si>
  <si>
    <r>
      <t xml:space="preserve">①会館出発 </t>
    </r>
    <r>
      <rPr>
        <b/>
        <sz val="14"/>
        <rFont val="BIZ UDP明朝 Medium"/>
        <family val="1"/>
        <charset val="128"/>
      </rPr>
      <t>（２区内巡行）</t>
    </r>
    <phoneticPr fontId="1"/>
  </si>
  <si>
    <t>19</t>
    <phoneticPr fontId="1"/>
  </si>
  <si>
    <t>⑤梅田神酒所（10:29発）</t>
    <rPh sb="1" eb="3">
      <t>ウメダ</t>
    </rPh>
    <rPh sb="3" eb="6">
      <t>ミキショ</t>
    </rPh>
    <rPh sb="5" eb="6">
      <t>ショ</t>
    </rPh>
    <rPh sb="12" eb="13">
      <t>ハツ</t>
    </rPh>
    <phoneticPr fontId="1"/>
  </si>
  <si>
    <t>②松村邸前</t>
    <phoneticPr fontId="1"/>
  </si>
  <si>
    <t>※神輿を先導する形で</t>
    <rPh sb="0" eb="2">
      <t>ミコシ</t>
    </rPh>
    <rPh sb="4" eb="6">
      <t>センドウ</t>
    </rPh>
    <rPh sb="8" eb="9">
      <t>カタチ</t>
    </rPh>
    <phoneticPr fontId="1"/>
  </si>
  <si>
    <t>36</t>
    <phoneticPr fontId="1"/>
  </si>
  <si>
    <t>⑥八丁目先鋒（10:37発）</t>
    <rPh sb="1" eb="4">
      <t>ハッチョウメ</t>
    </rPh>
    <rPh sb="4" eb="6">
      <t>センポウ</t>
    </rPh>
    <rPh sb="12" eb="13">
      <t>ハツ</t>
    </rPh>
    <phoneticPr fontId="1"/>
  </si>
  <si>
    <t>③伊藤邸前</t>
    <rPh sb="1" eb="3">
      <t>イトウ</t>
    </rPh>
    <phoneticPr fontId="1"/>
  </si>
  <si>
    <t>②松村邸・しまうま公園</t>
    <rPh sb="1" eb="3">
      <t>マツムラ</t>
    </rPh>
    <rPh sb="3" eb="4">
      <t>テイ</t>
    </rPh>
    <phoneticPr fontId="1"/>
  </si>
  <si>
    <t>（休憩） 松村邸前</t>
    <rPh sb="5" eb="7">
      <t>マツムラ</t>
    </rPh>
    <rPh sb="7" eb="8">
      <t>テイ</t>
    </rPh>
    <rPh sb="8" eb="9">
      <t>マエ</t>
    </rPh>
    <phoneticPr fontId="1"/>
  </si>
  <si>
    <t>（休憩）</t>
    <phoneticPr fontId="1"/>
  </si>
  <si>
    <t>④軍司邸前</t>
    <phoneticPr fontId="1"/>
  </si>
  <si>
    <t>（逆順で戻る）</t>
    <rPh sb="0" eb="2">
      <t>ギャクジュン</t>
    </rPh>
    <rPh sb="3" eb="4">
      <t>モド</t>
    </rPh>
    <phoneticPr fontId="1"/>
  </si>
  <si>
    <r>
      <t>⑤しまうま公園前</t>
    </r>
    <r>
      <rPr>
        <sz val="14"/>
        <color rgb="FFEE0000"/>
        <rFont val="BIZ UDP明朝 Medium"/>
        <family val="1"/>
        <charset val="128"/>
      </rPr>
      <t>（小休憩）</t>
    </r>
    <rPh sb="9" eb="10">
      <t>ショウ</t>
    </rPh>
    <phoneticPr fontId="1"/>
  </si>
  <si>
    <t>③会館到着（11:00）</t>
    <phoneticPr fontId="1"/>
  </si>
  <si>
    <t>48</t>
    <phoneticPr fontId="1"/>
  </si>
  <si>
    <t>⑦八丁目神酒所（10:58発）</t>
    <rPh sb="1" eb="4">
      <t>ハッチョウメ</t>
    </rPh>
    <rPh sb="4" eb="7">
      <t>ミキショ</t>
    </rPh>
    <rPh sb="6" eb="7">
      <t>ショ</t>
    </rPh>
    <rPh sb="13" eb="14">
      <t>ハツ</t>
    </rPh>
    <phoneticPr fontId="1"/>
  </si>
  <si>
    <r>
      <t>⑥岩垂邸前</t>
    </r>
    <r>
      <rPr>
        <sz val="14"/>
        <color rgb="FFFF0000"/>
        <rFont val="BIZ UDP明朝 Medium"/>
        <family val="1"/>
        <charset val="128"/>
      </rPr>
      <t>（小休憩）</t>
    </r>
    <phoneticPr fontId="1"/>
  </si>
  <si>
    <t>09</t>
    <phoneticPr fontId="1"/>
  </si>
  <si>
    <t>⑧皆ヶ作先鋒（11:10発）</t>
    <rPh sb="1" eb="4">
      <t>カイガサク</t>
    </rPh>
    <rPh sb="4" eb="6">
      <t>センポウ</t>
    </rPh>
    <phoneticPr fontId="1"/>
  </si>
  <si>
    <t>⑦駒寄会館 着</t>
    <rPh sb="1" eb="3">
      <t>コマヨセ</t>
    </rPh>
    <rPh sb="3" eb="5">
      <t>カイカン</t>
    </rPh>
    <rPh sb="6" eb="7">
      <t>チャク</t>
    </rPh>
    <phoneticPr fontId="1"/>
  </si>
  <si>
    <t>29</t>
    <phoneticPr fontId="1"/>
  </si>
  <si>
    <t>⑨皆ヶ作神酒所 到着（11:39発）</t>
    <rPh sb="1" eb="4">
      <t>カイガサク</t>
    </rPh>
    <rPh sb="4" eb="7">
      <t>ミキショ</t>
    </rPh>
    <rPh sb="6" eb="7">
      <t>ショ</t>
    </rPh>
    <rPh sb="8" eb="10">
      <t>トウチャク</t>
    </rPh>
    <phoneticPr fontId="1"/>
  </si>
  <si>
    <t>40</t>
    <phoneticPr fontId="1"/>
  </si>
  <si>
    <t>【駒寄担ぎ手】旧旭建材 集合</t>
    <rPh sb="3" eb="4">
      <t>カツ</t>
    </rPh>
    <rPh sb="5" eb="6">
      <t>テ</t>
    </rPh>
    <phoneticPr fontId="1"/>
  </si>
  <si>
    <t>⑩駒寄先鋒（11:51発）旧旭建材</t>
    <rPh sb="1" eb="3">
      <t>コマヨセ</t>
    </rPh>
    <rPh sb="3" eb="5">
      <t>センポウ</t>
    </rPh>
    <rPh sb="13" eb="14">
      <t>キュウ</t>
    </rPh>
    <rPh sb="14" eb="15">
      <t>アサヒ</t>
    </rPh>
    <rPh sb="15" eb="17">
      <t>ケンザイ</t>
    </rPh>
    <phoneticPr fontId="1"/>
  </si>
  <si>
    <t>⑪駒寄神酒所 到着（神輿くぐり）</t>
    <rPh sb="1" eb="3">
      <t>コマヨセ</t>
    </rPh>
    <rPh sb="3" eb="6">
      <t>ミキショ</t>
    </rPh>
    <rPh sb="5" eb="6">
      <t>ショ</t>
    </rPh>
    <rPh sb="7" eb="9">
      <t>トウチャク</t>
    </rPh>
    <rPh sb="10" eb="12">
      <t>ミコシ</t>
    </rPh>
    <phoneticPr fontId="1"/>
  </si>
  <si>
    <t>〓〓〓〓　駒寄 渡御区間　〓〓〓〓</t>
    <rPh sb="5" eb="7">
      <t>コマヨセ</t>
    </rPh>
    <rPh sb="8" eb="10">
      <t>トギョウ</t>
    </rPh>
    <rPh sb="10" eb="12">
      <t>クカン</t>
    </rPh>
    <phoneticPr fontId="1"/>
  </si>
  <si>
    <t>07</t>
    <phoneticPr fontId="1"/>
  </si>
  <si>
    <t>駒寄神酒所 出発</t>
    <rPh sb="6" eb="8">
      <t>シュッパツ</t>
    </rPh>
    <phoneticPr fontId="1"/>
  </si>
  <si>
    <t>22</t>
    <phoneticPr fontId="1"/>
  </si>
  <si>
    <t>⑫南郷先鋒（12:23発）船小の下</t>
    <rPh sb="1" eb="3">
      <t>ナンゴウ</t>
    </rPh>
    <rPh sb="3" eb="5">
      <t>センポウ</t>
    </rPh>
    <rPh sb="11" eb="12">
      <t>ハツ</t>
    </rPh>
    <rPh sb="13" eb="14">
      <t>フネ</t>
    </rPh>
    <rPh sb="14" eb="15">
      <t>ショウ</t>
    </rPh>
    <rPh sb="16" eb="17">
      <t>シタ</t>
    </rPh>
    <phoneticPr fontId="1"/>
  </si>
  <si>
    <t>➡</t>
    <phoneticPr fontId="1"/>
  </si>
  <si>
    <t>【神輿担ぎ手】お弁当受け取り</t>
    <rPh sb="0" eb="2">
      <t>ミコシ</t>
    </rPh>
    <rPh sb="2" eb="3">
      <t>カツ</t>
    </rPh>
    <rPh sb="4" eb="5">
      <t>テ</t>
    </rPh>
    <rPh sb="10" eb="11">
      <t>ウ</t>
    </rPh>
    <rPh sb="12" eb="13">
      <t>ト</t>
    </rPh>
    <phoneticPr fontId="1"/>
  </si>
  <si>
    <t>34</t>
    <phoneticPr fontId="1"/>
  </si>
  <si>
    <t>⑬根倉商店（12:39発）</t>
    <rPh sb="1" eb="2">
      <t>ネ</t>
    </rPh>
    <rPh sb="2" eb="3">
      <t>クラ</t>
    </rPh>
    <rPh sb="3" eb="5">
      <t>ショウテン</t>
    </rPh>
    <rPh sb="11" eb="12">
      <t>ハツ</t>
    </rPh>
    <phoneticPr fontId="1"/>
  </si>
  <si>
    <t>46</t>
    <phoneticPr fontId="1"/>
  </si>
  <si>
    <t>⑭南郷神酒所　到着</t>
    <rPh sb="1" eb="3">
      <t>ナンゴウ</t>
    </rPh>
    <phoneticPr fontId="1"/>
  </si>
  <si>
    <t>【世話人】 昼食（会館２階）</t>
    <rPh sb="0" eb="3">
      <t>セワニン</t>
    </rPh>
    <rPh sb="7" eb="9">
      <t>カイカン</t>
    </rPh>
    <rPh sb="9" eb="10">
      <t>カイ</t>
    </rPh>
    <phoneticPr fontId="1"/>
  </si>
  <si>
    <t>（昼食）48分間</t>
    <rPh sb="1" eb="3">
      <t>チュウショク</t>
    </rPh>
    <rPh sb="6" eb="8">
      <t>フンカン</t>
    </rPh>
    <phoneticPr fontId="1"/>
  </si>
  <si>
    <t>南郷神酒所　出発</t>
    <rPh sb="0" eb="2">
      <t>ナンゴウ</t>
    </rPh>
    <rPh sb="6" eb="8">
      <t>シュッパツ</t>
    </rPh>
    <phoneticPr fontId="1"/>
  </si>
  <si>
    <t>43</t>
    <phoneticPr fontId="1"/>
  </si>
  <si>
    <t>⑮防災トンネル前　到着（13:48発）</t>
    <rPh sb="7" eb="8">
      <t>マエ</t>
    </rPh>
    <rPh sb="9" eb="11">
      <t>トウチャク</t>
    </rPh>
    <phoneticPr fontId="1"/>
  </si>
  <si>
    <t>１区　町内渡御（門付） 中神輿</t>
    <rPh sb="1" eb="2">
      <t>ク</t>
    </rPh>
    <phoneticPr fontId="1"/>
  </si>
  <si>
    <r>
      <rPr>
        <sz val="12"/>
        <color theme="1"/>
        <rFont val="BIZ UDP明朝 Medium"/>
        <family val="1"/>
        <charset val="128"/>
      </rPr>
      <t>⑯トンネル</t>
    </r>
    <r>
      <rPr>
        <sz val="14"/>
        <color theme="1"/>
        <rFont val="BIZ UDP明朝 Medium"/>
        <family val="1"/>
        <charset val="128"/>
      </rPr>
      <t>中央:三丁目先鋒（14:06発）</t>
    </r>
    <rPh sb="5" eb="7">
      <t>チュウオウ</t>
    </rPh>
    <rPh sb="8" eb="11">
      <t>サンチョウメ</t>
    </rPh>
    <rPh sb="11" eb="13">
      <t>センポウ</t>
    </rPh>
    <phoneticPr fontId="1"/>
  </si>
  <si>
    <t xml:space="preserve">①会館出発 </t>
    <phoneticPr fontId="1"/>
  </si>
  <si>
    <r>
      <t xml:space="preserve">①会館出発 </t>
    </r>
    <r>
      <rPr>
        <b/>
        <sz val="14"/>
        <rFont val="BIZ UDP明朝 Medium"/>
        <family val="1"/>
        <charset val="128"/>
      </rPr>
      <t>（１区内巡行）</t>
    </r>
    <rPh sb="8" eb="10">
      <t>クナイ</t>
    </rPh>
    <rPh sb="10" eb="12">
      <t>ジュンコウ</t>
    </rPh>
    <phoneticPr fontId="1"/>
  </si>
  <si>
    <r>
      <t>②カレー屋（ニサン）前</t>
    </r>
    <r>
      <rPr>
        <sz val="14"/>
        <color rgb="FFFF0000"/>
        <rFont val="BIZ UDP明朝 Medium"/>
        <family val="1"/>
        <charset val="128"/>
      </rPr>
      <t>（休憩）</t>
    </r>
    <phoneticPr fontId="1"/>
  </si>
  <si>
    <t>18</t>
    <phoneticPr fontId="1"/>
  </si>
  <si>
    <t>⑰三丁目神酒所（14:28発）</t>
    <phoneticPr fontId="1"/>
  </si>
  <si>
    <t>③行政センター・武藤家（折り返し）</t>
    <rPh sb="1" eb="3">
      <t>ギョウセイ</t>
    </rPh>
    <rPh sb="8" eb="10">
      <t>ムトウ</t>
    </rPh>
    <rPh sb="10" eb="11">
      <t>イエ</t>
    </rPh>
    <rPh sb="12" eb="13">
      <t>オ</t>
    </rPh>
    <rPh sb="14" eb="15">
      <t>カエ</t>
    </rPh>
    <phoneticPr fontId="1"/>
  </si>
  <si>
    <r>
      <t>③船越保育園</t>
    </r>
    <r>
      <rPr>
        <sz val="14"/>
        <color rgb="FFFF0000"/>
        <rFont val="BIZ UDP明朝 Medium"/>
        <family val="1"/>
        <charset val="128"/>
      </rPr>
      <t>（休憩※適宜）</t>
    </r>
    <rPh sb="1" eb="3">
      <t>フナコシ</t>
    </rPh>
    <rPh sb="3" eb="6">
      <t>ホイクエン</t>
    </rPh>
    <phoneticPr fontId="1"/>
  </si>
  <si>
    <r>
      <t>④船越保育園</t>
    </r>
    <r>
      <rPr>
        <sz val="14"/>
        <color rgb="FFFF0000"/>
        <rFont val="BIZ UDP明朝 Medium"/>
        <family val="1"/>
        <charset val="128"/>
      </rPr>
      <t>（休憩※適宜）</t>
    </r>
    <rPh sb="1" eb="3">
      <t>フナコシ</t>
    </rPh>
    <rPh sb="3" eb="6">
      <t>ホイクエン</t>
    </rPh>
    <phoneticPr fontId="1"/>
  </si>
  <si>
    <r>
      <rPr>
        <sz val="14"/>
        <rFont val="BIZ UDP明朝 Medium"/>
        <family val="1"/>
        <charset val="128"/>
      </rPr>
      <t>④ガーデン参番館</t>
    </r>
    <r>
      <rPr>
        <sz val="14"/>
        <color rgb="FFFF0000"/>
        <rFont val="BIZ UDP明朝 Medium"/>
        <family val="1"/>
        <charset val="128"/>
      </rPr>
      <t>（休憩）</t>
    </r>
    <phoneticPr fontId="1"/>
  </si>
  <si>
    <r>
      <t>⑱大木</t>
    </r>
    <r>
      <rPr>
        <sz val="12"/>
        <color theme="1"/>
        <rFont val="BIZ UDP明朝 Medium"/>
        <family val="1"/>
        <charset val="128"/>
      </rPr>
      <t>タバコ</t>
    </r>
    <r>
      <rPr>
        <sz val="14"/>
        <color theme="1"/>
        <rFont val="BIZ UDP明朝 Medium"/>
        <family val="1"/>
        <charset val="128"/>
      </rPr>
      <t>：二丁目先鋒（14:41発）</t>
    </r>
    <rPh sb="1" eb="3">
      <t>オオキ</t>
    </rPh>
    <rPh sb="7" eb="8">
      <t>ニ</t>
    </rPh>
    <phoneticPr fontId="1"/>
  </si>
  <si>
    <r>
      <t>⑤ガーデン参番館</t>
    </r>
    <r>
      <rPr>
        <sz val="14"/>
        <color rgb="FFFF0000"/>
        <rFont val="BIZ UDP明朝 Medium"/>
        <family val="1"/>
        <charset val="128"/>
      </rPr>
      <t>（休憩※適宜）</t>
    </r>
    <rPh sb="12" eb="14">
      <t>テキギ</t>
    </rPh>
    <phoneticPr fontId="1"/>
  </si>
  <si>
    <t>⑤前田邸脇</t>
    <rPh sb="1" eb="3">
      <t>マエダ</t>
    </rPh>
    <rPh sb="3" eb="4">
      <t>テイ</t>
    </rPh>
    <rPh sb="4" eb="5">
      <t>ワキ</t>
    </rPh>
    <phoneticPr fontId="1"/>
  </si>
  <si>
    <t>53</t>
    <phoneticPr fontId="1"/>
  </si>
  <si>
    <t>⑲二丁目奥駐車場（15:03発）</t>
    <rPh sb="1" eb="4">
      <t>ニチョウメ</t>
    </rPh>
    <rPh sb="4" eb="5">
      <t>オク</t>
    </rPh>
    <rPh sb="5" eb="8">
      <t>チュウシャジョウ</t>
    </rPh>
    <phoneticPr fontId="1"/>
  </si>
  <si>
    <t>⑥前田邸脇経由　会館到着</t>
    <rPh sb="1" eb="3">
      <t>マエダ</t>
    </rPh>
    <rPh sb="3" eb="4">
      <t>テイ</t>
    </rPh>
    <rPh sb="4" eb="5">
      <t>ワキ</t>
    </rPh>
    <rPh sb="5" eb="7">
      <t>ケイユ</t>
    </rPh>
    <phoneticPr fontId="1"/>
  </si>
  <si>
    <t>⑥会館到着（解散）</t>
    <rPh sb="6" eb="8">
      <t>カイサン</t>
    </rPh>
    <phoneticPr fontId="1"/>
  </si>
  <si>
    <t>⑳二丁目神酒所（15:29発）</t>
    <phoneticPr fontId="1"/>
  </si>
  <si>
    <t>33</t>
    <phoneticPr fontId="1"/>
  </si>
  <si>
    <t>㉑一丁目先鋒（15:34発）</t>
    <rPh sb="1" eb="2">
      <t>イチ</t>
    </rPh>
    <phoneticPr fontId="1"/>
  </si>
  <si>
    <t>㉒一丁目神酒所（15:54発）</t>
    <phoneticPr fontId="1"/>
  </si>
  <si>
    <t>㉓仲通り商店街（16:09発）</t>
    <rPh sb="1" eb="2">
      <t>ナカ</t>
    </rPh>
    <rPh sb="2" eb="3">
      <t>ドオ</t>
    </rPh>
    <rPh sb="4" eb="7">
      <t>ショウテンガイ</t>
    </rPh>
    <phoneticPr fontId="1"/>
  </si>
  <si>
    <t>16</t>
    <phoneticPr fontId="1"/>
  </si>
  <si>
    <t>㉔北消防署（16:18発）</t>
    <rPh sb="1" eb="2">
      <t>キタ</t>
    </rPh>
    <rPh sb="2" eb="5">
      <t>ショウボウショ</t>
    </rPh>
    <phoneticPr fontId="1"/>
  </si>
  <si>
    <t>㉕船越神社鳥居下（通過）</t>
    <phoneticPr fontId="1"/>
  </si>
  <si>
    <t>㉖船越神社 還御</t>
    <rPh sb="3" eb="5">
      <t>ジンジャ</t>
    </rPh>
    <rPh sb="6" eb="8">
      <t>カンギョ</t>
    </rPh>
    <phoneticPr fontId="1"/>
  </si>
  <si>
    <t>㉗船越神社納め</t>
    <phoneticPr fontId="1"/>
  </si>
  <si>
    <t>※神輿／山車解体</t>
    <rPh sb="1" eb="3">
      <t>ミコシ</t>
    </rPh>
    <rPh sb="4" eb="6">
      <t>ダシ</t>
    </rPh>
    <rPh sb="6" eb="8">
      <t>カイタイ</t>
    </rPh>
    <phoneticPr fontId="1"/>
  </si>
  <si>
    <t>（駒寄）世話人の合流</t>
    <rPh sb="1" eb="3">
      <t>コマヨセ</t>
    </rPh>
    <rPh sb="8" eb="10">
      <t>ゴウリュウ</t>
    </rPh>
    <phoneticPr fontId="1"/>
  </si>
  <si>
    <t xml:space="preserve"> 神輿担ぎ手集合</t>
    <phoneticPr fontId="1"/>
  </si>
  <si>
    <t>皆ヶ作 神輿合わせ</t>
    <phoneticPr fontId="1"/>
  </si>
  <si>
    <t>大人神輿／中神輿</t>
    <rPh sb="5" eb="6">
      <t>チュウ</t>
    </rPh>
    <rPh sb="6" eb="8">
      <t>ミコシ</t>
    </rPh>
    <phoneticPr fontId="1"/>
  </si>
  <si>
    <t>※駒寄前道路（セブン手前～ピザーラ）</t>
    <rPh sb="1" eb="3">
      <t>コマヨセ</t>
    </rPh>
    <rPh sb="3" eb="4">
      <t>マエ</t>
    </rPh>
    <rPh sb="4" eb="6">
      <t>ドウロ</t>
    </rPh>
    <rPh sb="10" eb="12">
      <t>テマエ</t>
    </rPh>
    <phoneticPr fontId="1"/>
  </si>
  <si>
    <t>渡御終了～直会 準備</t>
    <phoneticPr fontId="1"/>
  </si>
  <si>
    <t>山車の収納（行政センター）</t>
    <phoneticPr fontId="1"/>
  </si>
  <si>
    <t>10</t>
    <phoneticPr fontId="1"/>
  </si>
  <si>
    <t>直会（なおらい）</t>
    <phoneticPr fontId="1"/>
  </si>
  <si>
    <t>No.</t>
    <phoneticPr fontId="1"/>
  </si>
  <si>
    <t>収入</t>
    <rPh sb="0" eb="2">
      <t>シュウニュウ</t>
    </rPh>
    <phoneticPr fontId="1"/>
  </si>
  <si>
    <t>支出</t>
    <rPh sb="0" eb="2">
      <t>シシュツ</t>
    </rPh>
    <phoneticPr fontId="1"/>
  </si>
  <si>
    <t>備考</t>
    <rPh sb="0" eb="2">
      <t>ビコウ</t>
    </rPh>
    <phoneticPr fontId="1"/>
  </si>
  <si>
    <t>前年度繰越金</t>
    <rPh sb="0" eb="3">
      <t>ゼンネンド</t>
    </rPh>
    <rPh sb="3" eb="6">
      <t>クリコシキン</t>
    </rPh>
    <phoneticPr fontId="1"/>
  </si>
  <si>
    <t>次年度繰越金</t>
    <rPh sb="0" eb="3">
      <t>ジネンド</t>
    </rPh>
    <rPh sb="3" eb="6">
      <t>クリコシキン</t>
    </rPh>
    <phoneticPr fontId="1"/>
  </si>
  <si>
    <t>ひとまず同額</t>
    <rPh sb="4" eb="6">
      <t>ドウガク</t>
    </rPh>
    <phoneticPr fontId="1"/>
  </si>
  <si>
    <t>会員寄付</t>
    <rPh sb="0" eb="2">
      <t>カイイン</t>
    </rPh>
    <rPh sb="2" eb="4">
      <t>キフ</t>
    </rPh>
    <phoneticPr fontId="1"/>
  </si>
  <si>
    <t>神社分担金・連合渡御反省会</t>
    <rPh sb="0" eb="2">
      <t>ジンジャ</t>
    </rPh>
    <rPh sb="6" eb="8">
      <t>レンゴウ</t>
    </rPh>
    <rPh sb="8" eb="10">
      <t>トギョウ</t>
    </rPh>
    <rPh sb="10" eb="13">
      <t>ハンセイカイ</t>
    </rPh>
    <phoneticPr fontId="1"/>
  </si>
  <si>
    <t>その他寄付</t>
    <rPh sb="2" eb="3">
      <t>タ</t>
    </rPh>
    <rPh sb="3" eb="5">
      <t>キフ</t>
    </rPh>
    <phoneticPr fontId="1"/>
  </si>
  <si>
    <t>渉外費</t>
    <rPh sb="0" eb="2">
      <t>ショウガイ</t>
    </rPh>
    <rPh sb="2" eb="3">
      <t>ヒ</t>
    </rPh>
    <phoneticPr fontId="1"/>
  </si>
  <si>
    <t>門付け</t>
    <rPh sb="0" eb="2">
      <t>カドヅ</t>
    </rPh>
    <phoneticPr fontId="1"/>
  </si>
  <si>
    <t>門付け分配</t>
    <rPh sb="0" eb="2">
      <t>カドヅ</t>
    </rPh>
    <rPh sb="3" eb="5">
      <t>ブンパイ</t>
    </rPh>
    <phoneticPr fontId="1"/>
  </si>
  <si>
    <t>町内に５割残す</t>
    <rPh sb="0" eb="2">
      <t>チョウナイ</t>
    </rPh>
    <rPh sb="5" eb="6">
      <t>ノコ</t>
    </rPh>
    <phoneticPr fontId="1"/>
  </si>
  <si>
    <t>雑収入</t>
    <rPh sb="0" eb="1">
      <t>ザツ</t>
    </rPh>
    <rPh sb="1" eb="3">
      <t>シュウニュウ</t>
    </rPh>
    <phoneticPr fontId="1"/>
  </si>
  <si>
    <t>道路使用許可</t>
    <rPh sb="0" eb="2">
      <t>ドウロ</t>
    </rPh>
    <rPh sb="2" eb="6">
      <t>シヨウキョカ</t>
    </rPh>
    <phoneticPr fontId="1"/>
  </si>
  <si>
    <t>三宝（野菜・果物）,お供え餅,赤飯</t>
    <rPh sb="0" eb="2">
      <t>サンポウ</t>
    </rPh>
    <rPh sb="3" eb="5">
      <t>ヤサイ</t>
    </rPh>
    <rPh sb="6" eb="8">
      <t>クダモノ</t>
    </rPh>
    <rPh sb="15" eb="17">
      <t>セキハン</t>
    </rPh>
    <phoneticPr fontId="1"/>
  </si>
  <si>
    <t>のし、白封筒、お礼状用紙</t>
    <rPh sb="3" eb="4">
      <t>シロ</t>
    </rPh>
    <rPh sb="4" eb="6">
      <t>フウトウ</t>
    </rPh>
    <rPh sb="8" eb="10">
      <t>レイジョウ</t>
    </rPh>
    <rPh sb="10" eb="12">
      <t>ヨウシ</t>
    </rPh>
    <phoneticPr fontId="1"/>
  </si>
  <si>
    <t>昨年余りあり</t>
    <rPh sb="0" eb="2">
      <t>サクネン</t>
    </rPh>
    <rPh sb="2" eb="3">
      <t>アマ</t>
    </rPh>
    <phoneticPr fontId="1"/>
  </si>
  <si>
    <t>返礼用タオル300枚</t>
    <rPh sb="0" eb="2">
      <t>ヘンレイ</t>
    </rPh>
    <rPh sb="2" eb="3">
      <t>ヨウ</t>
    </rPh>
    <rPh sb="9" eb="10">
      <t>マイ</t>
    </rPh>
    <phoneticPr fontId="1"/>
  </si>
  <si>
    <t>日本製</t>
    <rPh sb="0" eb="3">
      <t>ニホンセイ</t>
    </rPh>
    <phoneticPr fontId="1"/>
  </si>
  <si>
    <t>配布用タオル600枚</t>
    <rPh sb="0" eb="3">
      <t>ハイフヨウ</t>
    </rPh>
    <rPh sb="9" eb="10">
      <t>マイ</t>
    </rPh>
    <phoneticPr fontId="1"/>
  </si>
  <si>
    <t>中国製</t>
    <rPh sb="0" eb="3">
      <t>チュウゴクセイ</t>
    </rPh>
    <phoneticPr fontId="1"/>
  </si>
  <si>
    <t>平麻、さらし、わら縄</t>
    <rPh sb="9" eb="10">
      <t>ナワ</t>
    </rPh>
    <phoneticPr fontId="1"/>
  </si>
  <si>
    <t>LEDライト、乾電池、結束バンド</t>
    <rPh sb="7" eb="10">
      <t>カンデンチ</t>
    </rPh>
    <rPh sb="11" eb="13">
      <t>ケッソク</t>
    </rPh>
    <phoneticPr fontId="1"/>
  </si>
  <si>
    <t>飲食①（準備・片付け飲食）</t>
    <rPh sb="0" eb="2">
      <t>インショク</t>
    </rPh>
    <rPh sb="4" eb="6">
      <t>ジュンビ</t>
    </rPh>
    <rPh sb="7" eb="9">
      <t>カタヅ</t>
    </rPh>
    <rPh sb="10" eb="12">
      <t>インショク</t>
    </rPh>
    <phoneticPr fontId="1"/>
  </si>
  <si>
    <t>飲食②（酒）</t>
    <rPh sb="0" eb="2">
      <t>インショク</t>
    </rPh>
    <rPh sb="4" eb="5">
      <t>サケ</t>
    </rPh>
    <phoneticPr fontId="1"/>
  </si>
  <si>
    <t>飲食③（酒以外）</t>
    <rPh sb="0" eb="2">
      <t>インショク</t>
    </rPh>
    <rPh sb="4" eb="5">
      <t>サケ</t>
    </rPh>
    <rPh sb="5" eb="7">
      <t>イガイ</t>
    </rPh>
    <phoneticPr fontId="1"/>
  </si>
  <si>
    <t>飲食④（調味料）</t>
    <rPh sb="0" eb="2">
      <t>インショク</t>
    </rPh>
    <rPh sb="4" eb="7">
      <t>チョウミリョウ</t>
    </rPh>
    <phoneticPr fontId="1"/>
  </si>
  <si>
    <t>飲食⑤（お菓子）</t>
    <rPh sb="0" eb="2">
      <t>インショク</t>
    </rPh>
    <rPh sb="5" eb="7">
      <t>カシ</t>
    </rPh>
    <phoneticPr fontId="1"/>
  </si>
  <si>
    <t>子供、評議員</t>
    <rPh sb="0" eb="2">
      <t>コドモ</t>
    </rPh>
    <rPh sb="3" eb="6">
      <t>ヒョウギイン</t>
    </rPh>
    <phoneticPr fontId="1"/>
  </si>
  <si>
    <t>氷、プラカップ等</t>
    <rPh sb="0" eb="1">
      <t>コオリ</t>
    </rPh>
    <rPh sb="7" eb="8">
      <t>トウ</t>
    </rPh>
    <phoneticPr fontId="1"/>
  </si>
  <si>
    <t>カップ1000個12千円</t>
    <rPh sb="7" eb="8">
      <t>コ</t>
    </rPh>
    <rPh sb="10" eb="11">
      <t>チ</t>
    </rPh>
    <rPh sb="11" eb="12">
      <t>エン</t>
    </rPh>
    <phoneticPr fontId="1"/>
  </si>
  <si>
    <t>文房具</t>
    <rPh sb="0" eb="3">
      <t>ブンボウグ</t>
    </rPh>
    <phoneticPr fontId="1"/>
  </si>
  <si>
    <t>一般会計で</t>
    <rPh sb="0" eb="4">
      <t>イッパンカイケイ</t>
    </rPh>
    <phoneticPr fontId="1"/>
  </si>
  <si>
    <t>ふきん、ゴミ袋ほか</t>
    <rPh sb="6" eb="7">
      <t>フクロ</t>
    </rPh>
    <phoneticPr fontId="1"/>
  </si>
  <si>
    <t>会館会計で</t>
    <rPh sb="0" eb="2">
      <t>カイカン</t>
    </rPh>
    <rPh sb="2" eb="4">
      <t>カイケイ</t>
    </rPh>
    <phoneticPr fontId="1"/>
  </si>
  <si>
    <t>入浴費</t>
    <rPh sb="0" eb="3">
      <t>ニュウヨクヒ</t>
    </rPh>
    <phoneticPr fontId="1"/>
  </si>
  <si>
    <t>11枚</t>
    <rPh sb="2" eb="3">
      <t>マイ</t>
    </rPh>
    <phoneticPr fontId="1"/>
  </si>
  <si>
    <t>お囃子保存会支援費</t>
    <rPh sb="1" eb="3">
      <t>ハヤシ</t>
    </rPh>
    <rPh sb="3" eb="6">
      <t>ホゾンカイ</t>
    </rPh>
    <rPh sb="6" eb="8">
      <t>シエン</t>
    </rPh>
    <rPh sb="8" eb="9">
      <t>ヒ</t>
    </rPh>
    <phoneticPr fontId="1"/>
  </si>
  <si>
    <t>祭礼用具</t>
    <rPh sb="0" eb="2">
      <t>サイレイ</t>
    </rPh>
    <rPh sb="2" eb="4">
      <t>ヨウグ</t>
    </rPh>
    <phoneticPr fontId="1"/>
  </si>
  <si>
    <t>紅白ひも、山車タイヤ</t>
    <rPh sb="0" eb="2">
      <t>コウハク</t>
    </rPh>
    <rPh sb="5" eb="7">
      <t>ダシ</t>
    </rPh>
    <phoneticPr fontId="1"/>
  </si>
  <si>
    <t>クリーニング</t>
    <phoneticPr fontId="1"/>
  </si>
  <si>
    <t>タスキ、半纏</t>
    <rPh sb="4" eb="6">
      <t>ハンテン</t>
    </rPh>
    <phoneticPr fontId="1"/>
  </si>
  <si>
    <t>謝礼</t>
    <rPh sb="0" eb="2">
      <t>シャレイ</t>
    </rPh>
    <phoneticPr fontId="1"/>
  </si>
  <si>
    <t>交通費（買い出しほか）</t>
    <rPh sb="0" eb="3">
      <t>コウツウヒ</t>
    </rPh>
    <phoneticPr fontId="1"/>
  </si>
  <si>
    <t>少年部諸経費</t>
    <rPh sb="0" eb="3">
      <t>ショウネンブ</t>
    </rPh>
    <rPh sb="3" eb="6">
      <t>ショケイヒ</t>
    </rPh>
    <phoneticPr fontId="1"/>
  </si>
  <si>
    <t>合計</t>
    <rPh sb="0" eb="2">
      <t>ゴウケイ</t>
    </rPh>
    <phoneticPr fontId="1"/>
  </si>
  <si>
    <t>Ｒ６年度収入</t>
    <rPh sb="2" eb="4">
      <t>ネンド</t>
    </rPh>
    <rPh sb="4" eb="6">
      <t>シュウニュウ</t>
    </rPh>
    <phoneticPr fontId="1"/>
  </si>
  <si>
    <t>Ｒ６年度支出</t>
    <rPh sb="2" eb="4">
      <t>ネンド</t>
    </rPh>
    <rPh sb="4" eb="6">
      <t>シシュツ</t>
    </rPh>
    <phoneticPr fontId="1"/>
  </si>
  <si>
    <t>差額</t>
    <rPh sb="0" eb="2">
      <t>サガク</t>
    </rPh>
    <phoneticPr fontId="1"/>
  </si>
  <si>
    <t>（R4）決算書</t>
    <rPh sb="4" eb="7">
      <t>ケッサンショ</t>
    </rPh>
    <phoneticPr fontId="1"/>
  </si>
  <si>
    <t>（R1）175世帯</t>
    <rPh sb="7" eb="9">
      <t>セタイ</t>
    </rPh>
    <phoneticPr fontId="1"/>
  </si>
  <si>
    <t>（H25）芳志者28</t>
    <rPh sb="5" eb="7">
      <t>ホウシ</t>
    </rPh>
    <rPh sb="7" eb="8">
      <t>シャ</t>
    </rPh>
    <phoneticPr fontId="1"/>
  </si>
  <si>
    <t>（H25）芳志者32</t>
    <phoneticPr fontId="1"/>
  </si>
  <si>
    <t>会員寄付金</t>
    <rPh sb="0" eb="2">
      <t>カイイン</t>
    </rPh>
    <rPh sb="2" eb="5">
      <t>キフキン</t>
    </rPh>
    <phoneticPr fontId="1"/>
  </si>
  <si>
    <t>奉納金</t>
    <rPh sb="0" eb="3">
      <t>ホウノウキン</t>
    </rPh>
    <phoneticPr fontId="1"/>
  </si>
  <si>
    <t>連合渡御・当番</t>
    <rPh sb="0" eb="2">
      <t>レンゴウ</t>
    </rPh>
    <rPh sb="5" eb="7">
      <t>トウバン</t>
    </rPh>
    <phoneticPr fontId="1"/>
  </si>
  <si>
    <t>繰越金を除く：</t>
    <rPh sb="0" eb="3">
      <t>クリコシキン</t>
    </rPh>
    <rPh sb="4" eb="5">
      <t>ノゾ</t>
    </rPh>
    <phoneticPr fontId="1"/>
  </si>
  <si>
    <t>次年度繰越金</t>
    <rPh sb="0" eb="3">
      <t>ジネンド</t>
    </rPh>
    <rPh sb="3" eb="5">
      <t>クリコシ</t>
    </rPh>
    <rPh sb="5" eb="6">
      <t>キン</t>
    </rPh>
    <phoneticPr fontId="1"/>
  </si>
  <si>
    <t>固定費？</t>
    <rPh sb="0" eb="3">
      <t>コテイヒ</t>
    </rPh>
    <phoneticPr fontId="1"/>
  </si>
  <si>
    <t>変動費</t>
    <rPh sb="0" eb="2">
      <t>ヘンドウ</t>
    </rPh>
    <rPh sb="2" eb="3">
      <t>ヒ</t>
    </rPh>
    <phoneticPr fontId="1"/>
  </si>
  <si>
    <t>門付け分配金</t>
    <rPh sb="0" eb="2">
      <t>カドヅ</t>
    </rPh>
    <rPh sb="3" eb="5">
      <t>ブンパイ</t>
    </rPh>
    <rPh sb="5" eb="6">
      <t>キン</t>
    </rPh>
    <phoneticPr fontId="1"/>
  </si>
  <si>
    <t>連合渡御・反省会</t>
    <rPh sb="0" eb="2">
      <t>レンゴウ</t>
    </rPh>
    <rPh sb="2" eb="4">
      <t>トギョ</t>
    </rPh>
    <rPh sb="5" eb="7">
      <t>ハンセイ</t>
    </rPh>
    <rPh sb="7" eb="8">
      <t>カイ</t>
    </rPh>
    <phoneticPr fontId="1"/>
  </si>
  <si>
    <t>道路使用許可（雑費）</t>
    <rPh sb="0" eb="2">
      <t>ドウロ</t>
    </rPh>
    <rPh sb="2" eb="6">
      <t>シヨウキョカ</t>
    </rPh>
    <rPh sb="7" eb="9">
      <t>ザッピ</t>
    </rPh>
    <phoneticPr fontId="1"/>
  </si>
  <si>
    <t>焼酎6・日本酒 1</t>
    <rPh sb="0" eb="2">
      <t>ショウチュウ</t>
    </rPh>
    <rPh sb="4" eb="7">
      <t>ニホンシュ</t>
    </rPh>
    <phoneticPr fontId="1"/>
  </si>
  <si>
    <t>収支差</t>
    <rPh sb="0" eb="2">
      <t>シュウシ</t>
    </rPh>
    <rPh sb="2" eb="3">
      <t>サ</t>
    </rPh>
    <phoneticPr fontId="1"/>
  </si>
  <si>
    <t>分担金（神社、連合）</t>
    <rPh sb="0" eb="3">
      <t>ブンタンキン</t>
    </rPh>
    <rPh sb="4" eb="6">
      <t>ジンジャ</t>
    </rPh>
    <rPh sb="7" eb="9">
      <t>レンゴウ</t>
    </rPh>
    <phoneticPr fontId="1"/>
  </si>
  <si>
    <t>ビール券 10</t>
    <rPh sb="3" eb="4">
      <t>ケン</t>
    </rPh>
    <phoneticPr fontId="1"/>
  </si>
  <si>
    <t>少年部諸費用</t>
    <rPh sb="0" eb="2">
      <t>ショウネン</t>
    </rPh>
    <rPh sb="2" eb="3">
      <t>ブ</t>
    </rPh>
    <rPh sb="3" eb="4">
      <t>ショ</t>
    </rPh>
    <rPh sb="4" eb="6">
      <t>ヒヨウ</t>
    </rPh>
    <phoneticPr fontId="1"/>
  </si>
  <si>
    <t>保存会支援</t>
    <rPh sb="0" eb="3">
      <t>ホゾンカイ</t>
    </rPh>
    <rPh sb="3" eb="5">
      <t>シエン</t>
    </rPh>
    <phoneticPr fontId="1"/>
  </si>
  <si>
    <t>祭礼準備／片付</t>
    <rPh sb="0" eb="2">
      <t>サイレイ</t>
    </rPh>
    <rPh sb="2" eb="4">
      <t>ジュンビ</t>
    </rPh>
    <rPh sb="5" eb="7">
      <t>カタヅ</t>
    </rPh>
    <phoneticPr fontId="1"/>
  </si>
  <si>
    <t>田浦と祭礼打合せ会費</t>
    <rPh sb="8" eb="10">
      <t>カイヒ</t>
    </rPh>
    <phoneticPr fontId="1"/>
  </si>
  <si>
    <t>入浴料 22人分</t>
    <rPh sb="0" eb="2">
      <t>ニュウヨク</t>
    </rPh>
    <rPh sb="6" eb="7">
      <t>ニン</t>
    </rPh>
    <rPh sb="7" eb="8">
      <t>ブン</t>
    </rPh>
    <phoneticPr fontId="1"/>
  </si>
  <si>
    <t>６月後半打合せ</t>
    <rPh sb="1" eb="2">
      <t>ガツ</t>
    </rPh>
    <rPh sb="2" eb="4">
      <t>コウハン</t>
    </rPh>
    <phoneticPr fontId="1"/>
  </si>
  <si>
    <t>直会場所提供謝礼</t>
    <rPh sb="0" eb="2">
      <t>ナオライ</t>
    </rPh>
    <rPh sb="2" eb="4">
      <t>バショ</t>
    </rPh>
    <rPh sb="4" eb="6">
      <t>テイキョウ</t>
    </rPh>
    <rPh sb="6" eb="8">
      <t>シャレイ</t>
    </rPh>
    <phoneticPr fontId="1"/>
  </si>
  <si>
    <t>準備①（半纏準備時）</t>
    <rPh sb="0" eb="2">
      <t>ジュンビ</t>
    </rPh>
    <rPh sb="4" eb="6">
      <t>ハンテン</t>
    </rPh>
    <rPh sb="6" eb="8">
      <t>ジュンビ</t>
    </rPh>
    <rPh sb="8" eb="9">
      <t>ジ</t>
    </rPh>
    <phoneticPr fontId="1"/>
  </si>
  <si>
    <t>クリーニング 雑費</t>
    <rPh sb="7" eb="9">
      <t>ザッピ</t>
    </rPh>
    <phoneticPr fontId="1"/>
  </si>
  <si>
    <t>準備② ７月９日</t>
    <rPh sb="0" eb="2">
      <t>ジュンビ</t>
    </rPh>
    <rPh sb="5" eb="6">
      <t>ガツ</t>
    </rPh>
    <rPh sb="7" eb="8">
      <t>ニチ</t>
    </rPh>
    <phoneticPr fontId="1"/>
  </si>
  <si>
    <t>蚊取り、ネオパラ 雑費</t>
    <rPh sb="0" eb="2">
      <t>カト</t>
    </rPh>
    <rPh sb="9" eb="11">
      <t>ザッピ</t>
    </rPh>
    <phoneticPr fontId="1"/>
  </si>
  <si>
    <t>準備③ 祭礼前日</t>
    <rPh sb="0" eb="2">
      <t>ジュンビ</t>
    </rPh>
    <rPh sb="4" eb="6">
      <t>サイレイ</t>
    </rPh>
    <rPh sb="6" eb="8">
      <t>ゼンジツ</t>
    </rPh>
    <phoneticPr fontId="1"/>
  </si>
  <si>
    <t>その他 雑費</t>
    <rPh sb="2" eb="3">
      <t>タ</t>
    </rPh>
    <rPh sb="4" eb="6">
      <t>ザッピ</t>
    </rPh>
    <phoneticPr fontId="1"/>
  </si>
  <si>
    <t>足袋：南郷ヘルプ担ぎ手用</t>
    <rPh sb="3" eb="5">
      <t>ナンゴウ</t>
    </rPh>
    <phoneticPr fontId="1"/>
  </si>
  <si>
    <t>駒寄反省会</t>
    <phoneticPr fontId="1"/>
  </si>
  <si>
    <t>かりがね寿司：中セット×5</t>
    <rPh sb="4" eb="6">
      <t>スシ</t>
    </rPh>
    <rPh sb="7" eb="8">
      <t>チュウ</t>
    </rPh>
    <phoneticPr fontId="1"/>
  </si>
  <si>
    <t>業務スーパ：つまみ類</t>
    <rPh sb="0" eb="2">
      <t>ギョウム</t>
    </rPh>
    <rPh sb="9" eb="10">
      <t>ルイ</t>
    </rPh>
    <phoneticPr fontId="1"/>
  </si>
  <si>
    <t>ローソン：ロックアイス</t>
    <phoneticPr fontId="1"/>
  </si>
  <si>
    <t>お供物</t>
    <phoneticPr fontId="1"/>
  </si>
  <si>
    <t>鏡餅・赤飯</t>
    <rPh sb="0" eb="2">
      <t>カガミモチ</t>
    </rPh>
    <rPh sb="3" eb="5">
      <t>セキハン</t>
    </rPh>
    <phoneticPr fontId="1"/>
  </si>
  <si>
    <t>三宝（野菜・果物）</t>
    <rPh sb="0" eb="2">
      <t>サンボウ</t>
    </rPh>
    <rPh sb="3" eb="5">
      <t>ヤサイ</t>
    </rPh>
    <rPh sb="6" eb="8">
      <t>クダモノ</t>
    </rPh>
    <phoneticPr fontId="1"/>
  </si>
  <si>
    <t xml:space="preserve">八百武 </t>
    <phoneticPr fontId="1"/>
  </si>
  <si>
    <t>緒綬(おぶさ)</t>
    <rPh sb="0" eb="1">
      <t>オ</t>
    </rPh>
    <rPh sb="1" eb="2">
      <t>ジュ</t>
    </rPh>
    <phoneticPr fontId="1"/>
  </si>
  <si>
    <t>寄付返礼費</t>
    <rPh sb="0" eb="2">
      <t>キフ</t>
    </rPh>
    <rPh sb="2" eb="4">
      <t>ヘンレイ</t>
    </rPh>
    <rPh sb="4" eb="5">
      <t>ヒ</t>
    </rPh>
    <phoneticPr fontId="1"/>
  </si>
  <si>
    <t>タオル300枚</t>
    <rPh sb="6" eb="7">
      <t>マイ</t>
    </rPh>
    <phoneticPr fontId="1"/>
  </si>
  <si>
    <t>のし、白封筒ほか</t>
    <rPh sb="3" eb="4">
      <t>シロ</t>
    </rPh>
    <rPh sb="4" eb="6">
      <t>フウトウ</t>
    </rPh>
    <phoneticPr fontId="1"/>
  </si>
  <si>
    <t>飲食①</t>
    <rPh sb="0" eb="2">
      <t>インショク</t>
    </rPh>
    <phoneticPr fontId="1"/>
  </si>
  <si>
    <t>土曜</t>
    <rPh sb="0" eb="2">
      <t>ドヨウ</t>
    </rPh>
    <phoneticPr fontId="1"/>
  </si>
  <si>
    <t>祭礼役員昼食　30</t>
    <phoneticPr fontId="1"/>
  </si>
  <si>
    <t>宵宮・神輿休憩時？</t>
    <rPh sb="3" eb="5">
      <t>ミコシ</t>
    </rPh>
    <rPh sb="5" eb="7">
      <t>キュウケイ</t>
    </rPh>
    <rPh sb="7" eb="8">
      <t>ジ</t>
    </rPh>
    <phoneticPr fontId="1"/>
  </si>
  <si>
    <t>直会</t>
    <rPh sb="0" eb="2">
      <t>ナオライ</t>
    </rPh>
    <phoneticPr fontId="1"/>
  </si>
  <si>
    <t>日曜</t>
    <rPh sb="0" eb="2">
      <t>ニチヨウ</t>
    </rPh>
    <phoneticPr fontId="1"/>
  </si>
  <si>
    <t>昼食（少年部）</t>
    <rPh sb="0" eb="2">
      <t>チュウショク</t>
    </rPh>
    <rPh sb="3" eb="5">
      <t>ショウネン</t>
    </rPh>
    <rPh sb="5" eb="6">
      <t>ブ</t>
    </rPh>
    <phoneticPr fontId="1"/>
  </si>
  <si>
    <t>昼食</t>
    <rPh sb="0" eb="2">
      <t>チュウショク</t>
    </rPh>
    <phoneticPr fontId="1"/>
  </si>
  <si>
    <t>お菓子（少年部）</t>
    <rPh sb="1" eb="3">
      <t>カシ</t>
    </rPh>
    <rPh sb="4" eb="7">
      <t>ショウネンブ</t>
    </rPh>
    <phoneticPr fontId="1"/>
  </si>
  <si>
    <t>本祭・神輿休憩時？</t>
    <rPh sb="0" eb="1">
      <t>ホン</t>
    </rPh>
    <rPh sb="1" eb="2">
      <t>マツ</t>
    </rPh>
    <rPh sb="3" eb="5">
      <t>ミコシ</t>
    </rPh>
    <rPh sb="5" eb="7">
      <t>キュウケイ</t>
    </rPh>
    <rPh sb="7" eb="8">
      <t>ジ</t>
    </rPh>
    <phoneticPr fontId="1"/>
  </si>
  <si>
    <t xml:space="preserve"> 岡本のコロッケは・・・</t>
    <rPh sb="1" eb="3">
      <t>オカモト</t>
    </rPh>
    <phoneticPr fontId="1"/>
  </si>
  <si>
    <t>飲食②（お酒）</t>
    <rPh sb="0" eb="2">
      <t>インショク</t>
    </rPh>
    <rPh sb="5" eb="6">
      <t>サケ</t>
    </rPh>
    <phoneticPr fontId="1"/>
  </si>
  <si>
    <t>焼酎・日本酒・お茶</t>
    <rPh sb="0" eb="2">
      <t>ショウチュウ</t>
    </rPh>
    <rPh sb="3" eb="6">
      <t>ニホンシュ</t>
    </rPh>
    <rPh sb="8" eb="9">
      <t>チャ</t>
    </rPh>
    <phoneticPr fontId="1"/>
  </si>
  <si>
    <t>ビール 14ケース</t>
    <phoneticPr fontId="1"/>
  </si>
  <si>
    <t>ロックアイス</t>
    <phoneticPr fontId="1"/>
  </si>
  <si>
    <t>消耗品</t>
    <rPh sb="0" eb="3">
      <t>ショウモウヒン</t>
    </rPh>
    <phoneticPr fontId="1"/>
  </si>
  <si>
    <t>タオル(配布用) 600</t>
    <phoneticPr fontId="1"/>
  </si>
  <si>
    <t>乾電池</t>
    <rPh sb="0" eb="3">
      <t>カンデンチ</t>
    </rPh>
    <phoneticPr fontId="1"/>
  </si>
  <si>
    <t>筆ペンほか</t>
    <rPh sb="0" eb="1">
      <t>フデ</t>
    </rPh>
    <phoneticPr fontId="1"/>
  </si>
  <si>
    <t>その他</t>
    <rPh sb="2" eb="3">
      <t>タ</t>
    </rPh>
    <phoneticPr fontId="1"/>
  </si>
  <si>
    <t>はりてる：さらし２反</t>
    <rPh sb="9" eb="10">
      <t>タン</t>
    </rPh>
    <phoneticPr fontId="1"/>
  </si>
  <si>
    <t>すずき金物：平麻６束</t>
    <rPh sb="3" eb="5">
      <t>カナモノ</t>
    </rPh>
    <phoneticPr fontId="1"/>
  </si>
  <si>
    <t>ホームズ：藁縄大巻３分</t>
    <phoneticPr fontId="1"/>
  </si>
  <si>
    <t>平成25年度（2013年度）</t>
    <rPh sb="0" eb="2">
      <t>ヘイセイ</t>
    </rPh>
    <rPh sb="4" eb="5">
      <t>ネン</t>
    </rPh>
    <rPh sb="5" eb="6">
      <t>ド</t>
    </rPh>
    <rPh sb="11" eb="13">
      <t>ネンド</t>
    </rPh>
    <phoneticPr fontId="1"/>
  </si>
  <si>
    <t>(円)</t>
    <rPh sb="1" eb="2">
      <t>エン</t>
    </rPh>
    <phoneticPr fontId="1"/>
  </si>
  <si>
    <t>宵宮用　乾き物</t>
    <rPh sb="0" eb="2">
      <t>ヨイミヤ</t>
    </rPh>
    <rPh sb="2" eb="3">
      <t>ヨウ</t>
    </rPh>
    <rPh sb="4" eb="5">
      <t>カワ</t>
    </rPh>
    <rPh sb="6" eb="7">
      <t>モノ</t>
    </rPh>
    <phoneticPr fontId="4"/>
  </si>
  <si>
    <t>京急ストア船越店</t>
    <rPh sb="0" eb="2">
      <t>ケイキュウ</t>
    </rPh>
    <rPh sb="5" eb="8">
      <t>フナコシテン</t>
    </rPh>
    <phoneticPr fontId="4"/>
  </si>
  <si>
    <t>宵宮用　巻物寿司　13</t>
    <rPh sb="0" eb="2">
      <t>ヨイミヤ</t>
    </rPh>
    <rPh sb="2" eb="3">
      <t>ヨウ</t>
    </rPh>
    <rPh sb="4" eb="6">
      <t>マキモノ</t>
    </rPh>
    <rPh sb="6" eb="8">
      <t>スシ</t>
    </rPh>
    <phoneticPr fontId="4"/>
  </si>
  <si>
    <t>いさみ鮨</t>
    <rPh sb="3" eb="4">
      <t>スシ</t>
    </rPh>
    <phoneticPr fontId="4"/>
  </si>
  <si>
    <t>ほんだし、味噌、茶菓子</t>
    <rPh sb="5" eb="7">
      <t>ミソ</t>
    </rPh>
    <rPh sb="8" eb="11">
      <t>チャガシ</t>
    </rPh>
    <phoneticPr fontId="4"/>
  </si>
  <si>
    <t>評議員さん作業時のお茶菓子</t>
    <rPh sb="0" eb="3">
      <t>ヒョウギイン</t>
    </rPh>
    <rPh sb="5" eb="7">
      <t>サギョウ</t>
    </rPh>
    <rPh sb="7" eb="8">
      <t>ジ</t>
    </rPh>
    <rPh sb="10" eb="13">
      <t>チャガシ</t>
    </rPh>
    <phoneticPr fontId="4"/>
  </si>
  <si>
    <t>セブンイレブン</t>
    <phoneticPr fontId="4"/>
  </si>
  <si>
    <t>野菜各種</t>
    <rPh sb="0" eb="2">
      <t>ヤサイ</t>
    </rPh>
    <rPh sb="2" eb="4">
      <t>カクシュ</t>
    </rPh>
    <phoneticPr fontId="4"/>
  </si>
  <si>
    <t>やおぎん</t>
    <phoneticPr fontId="4"/>
  </si>
  <si>
    <t>タクアン追加分</t>
    <rPh sb="4" eb="7">
      <t>ツイカブン</t>
    </rPh>
    <phoneticPr fontId="4"/>
  </si>
  <si>
    <t>ちくわ、さつま揚げ、こんにゃく</t>
    <rPh sb="7" eb="8">
      <t>ア</t>
    </rPh>
    <phoneticPr fontId="4"/>
  </si>
  <si>
    <t>魚広</t>
    <rPh sb="0" eb="1">
      <t>ウオ</t>
    </rPh>
    <rPh sb="1" eb="2">
      <t>ヒロ</t>
    </rPh>
    <phoneticPr fontId="4"/>
  </si>
  <si>
    <t>食品各種</t>
    <rPh sb="0" eb="2">
      <t>ショクヒン</t>
    </rPh>
    <rPh sb="2" eb="4">
      <t>カクシュ</t>
    </rPh>
    <phoneticPr fontId="4"/>
  </si>
  <si>
    <t>やました</t>
    <phoneticPr fontId="4"/>
  </si>
  <si>
    <t>コロッケ他つまみ</t>
    <rPh sb="4" eb="5">
      <t>タ</t>
    </rPh>
    <phoneticPr fontId="4"/>
  </si>
  <si>
    <t>岡本肉店</t>
    <rPh sb="0" eb="2">
      <t>オカモト</t>
    </rPh>
    <rPh sb="2" eb="3">
      <t>ニク</t>
    </rPh>
    <rPh sb="3" eb="4">
      <t>テン</t>
    </rPh>
    <phoneticPr fontId="4"/>
  </si>
  <si>
    <t>合計：</t>
    <rPh sb="0" eb="2">
      <t>ゴウケイ</t>
    </rPh>
    <phoneticPr fontId="1"/>
  </si>
  <si>
    <t>令和元年度（2019年度）</t>
    <rPh sb="0" eb="2">
      <t>レイワ</t>
    </rPh>
    <rPh sb="2" eb="4">
      <t>ガンネン</t>
    </rPh>
    <rPh sb="3" eb="4">
      <t>ネン</t>
    </rPh>
    <rPh sb="4" eb="5">
      <t>ド</t>
    </rPh>
    <rPh sb="10" eb="12">
      <t>ネンド</t>
    </rPh>
    <phoneticPr fontId="1"/>
  </si>
  <si>
    <t>食材費他</t>
    <rPh sb="0" eb="2">
      <t>ショクザイ</t>
    </rPh>
    <rPh sb="2" eb="3">
      <t>ヒ</t>
    </rPh>
    <rPh sb="3" eb="4">
      <t>タ</t>
    </rPh>
    <phoneticPr fontId="4"/>
  </si>
  <si>
    <t>イオン</t>
    <phoneticPr fontId="4"/>
  </si>
  <si>
    <t>米、豆腐他</t>
    <rPh sb="0" eb="1">
      <t>コメ</t>
    </rPh>
    <rPh sb="2" eb="4">
      <t>トウフ</t>
    </rPh>
    <rPh sb="4" eb="5">
      <t>タ</t>
    </rPh>
    <phoneticPr fontId="4"/>
  </si>
  <si>
    <t>食材各種</t>
    <rPh sb="0" eb="2">
      <t>ショクザイ</t>
    </rPh>
    <rPh sb="2" eb="4">
      <t>カクシュ</t>
    </rPh>
    <phoneticPr fontId="4"/>
  </si>
  <si>
    <t>京急ストア追浜店</t>
    <rPh sb="0" eb="2">
      <t>ケイキュウ</t>
    </rPh>
    <rPh sb="5" eb="8">
      <t>オッパマテン</t>
    </rPh>
    <phoneticPr fontId="4"/>
  </si>
  <si>
    <t>たまご</t>
    <phoneticPr fontId="4"/>
  </si>
  <si>
    <t>巻き物　12</t>
    <rPh sb="0" eb="1">
      <t>マ</t>
    </rPh>
    <rPh sb="2" eb="3">
      <t>モノ</t>
    </rPh>
    <phoneticPr fontId="4"/>
  </si>
  <si>
    <t>オードブル他</t>
    <rPh sb="5" eb="6">
      <t>タ</t>
    </rPh>
    <phoneticPr fontId="4"/>
  </si>
  <si>
    <t>岡本肉店</t>
    <rPh sb="0" eb="2">
      <t>オカモト</t>
    </rPh>
    <rPh sb="2" eb="4">
      <t>ニクテン</t>
    </rPh>
    <phoneticPr fontId="4"/>
  </si>
  <si>
    <t>はんぺん、ちくわ、こんにゃく
氷</t>
    <rPh sb="15" eb="16">
      <t>コオリ</t>
    </rPh>
    <phoneticPr fontId="4"/>
  </si>
  <si>
    <t>たくあん</t>
    <phoneticPr fontId="4"/>
  </si>
  <si>
    <t>八百武</t>
    <rPh sb="0" eb="3">
      <t>ヤオタケ</t>
    </rPh>
    <phoneticPr fontId="4"/>
  </si>
  <si>
    <t>コロッケ75個</t>
    <rPh sb="6" eb="7">
      <t>コ</t>
    </rPh>
    <phoneticPr fontId="4"/>
  </si>
  <si>
    <t>H25年度の町内寄付金=518,000円。令和元年度の町内寄付金=475,000円。</t>
    <rPh sb="3" eb="5">
      <t>ネンド</t>
    </rPh>
    <rPh sb="6" eb="8">
      <t>チョウナイ</t>
    </rPh>
    <rPh sb="8" eb="10">
      <t>キフ</t>
    </rPh>
    <rPh sb="10" eb="11">
      <t>キン</t>
    </rPh>
    <rPh sb="19" eb="20">
      <t>エン</t>
    </rPh>
    <rPh sb="21" eb="23">
      <t>レイワ</t>
    </rPh>
    <rPh sb="23" eb="25">
      <t>ガンネン</t>
    </rPh>
    <rPh sb="25" eb="26">
      <t>ド</t>
    </rPh>
    <phoneticPr fontId="1"/>
  </si>
  <si>
    <r>
      <t>（H25</t>
    </r>
    <r>
      <rPr>
        <sz val="10"/>
        <color theme="1"/>
        <rFont val="Segoe UI Symbol"/>
        <family val="2"/>
        <charset val="1"/>
      </rPr>
      <t>→</t>
    </r>
    <r>
      <rPr>
        <sz val="10"/>
        <color theme="1"/>
        <rFont val="Yu Gothic"/>
        <family val="2"/>
        <charset val="128"/>
        <scheme val="minor"/>
      </rPr>
      <t>R1で）収入は、47,000円ほど落ち込んでいます。</t>
    </r>
    <rPh sb="9" eb="11">
      <t>シュウニュウ</t>
    </rPh>
    <rPh sb="19" eb="20">
      <t>エン</t>
    </rPh>
    <rPh sb="22" eb="23">
      <t>オ</t>
    </rPh>
    <rPh sb="24" eb="25">
      <t>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</si>
</sst>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#,##0;&quot;△ &quot;#,##0"/>
  </numFmts>
  <fonts count="5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2"/>
      <scheme val="minor"/>
    </font>
    <font>
      <sz val="10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sz val="10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0"/>
      <color theme="1"/>
      <name val="Segoe UI Symbol"/>
      <family val="2"/>
      <charset val="1"/>
    </font>
    <font>
      <sz val="11"/>
      <color theme="1"/>
      <name val="Yu Gothic"/>
      <family val="3"/>
      <charset val="128"/>
      <scheme val="minor"/>
    </font>
    <font>
      <sz val="16"/>
      <color theme="1"/>
      <name val="メイリオ"/>
      <family val="3"/>
      <charset val="128"/>
    </font>
    <font>
      <b/>
      <sz val="16"/>
      <color theme="1"/>
      <name val="Yu Gothic"/>
      <family val="3"/>
      <charset val="128"/>
      <scheme val="minor"/>
    </font>
    <font>
      <sz val="16"/>
      <name val="メイリオ"/>
      <family val="3"/>
      <charset val="128"/>
    </font>
    <font>
      <b/>
      <sz val="16"/>
      <color theme="1"/>
      <name val="メイリオ"/>
      <family val="3"/>
      <charset val="128"/>
    </font>
    <font>
      <sz val="20"/>
      <color theme="1"/>
      <name val="BIZ UDP明朝 Medium"/>
      <family val="1"/>
      <charset val="128"/>
    </font>
    <font>
      <sz val="11"/>
      <color theme="1"/>
      <name val="BIZ UDP明朝 Medium"/>
      <family val="1"/>
      <charset val="128"/>
    </font>
    <font>
      <b/>
      <sz val="16"/>
      <name val="メイリオ"/>
      <family val="3"/>
      <charset val="128"/>
    </font>
    <font>
      <sz val="12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6"/>
      <color rgb="FFFF0000"/>
      <name val="メイリオ"/>
      <family val="3"/>
      <charset val="128"/>
    </font>
    <font>
      <b/>
      <sz val="10"/>
      <color indexed="8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4"/>
      <color theme="1"/>
      <name val="BIZ UDP明朝 Medium"/>
      <family val="1"/>
      <charset val="128"/>
    </font>
    <font>
      <b/>
      <sz val="14"/>
      <name val="BIZ UDP明朝 Medium"/>
      <family val="1"/>
      <charset val="128"/>
    </font>
    <font>
      <sz val="14"/>
      <color theme="1"/>
      <name val="BIZ UDP明朝 Medium"/>
      <family val="1"/>
      <charset val="128"/>
    </font>
    <font>
      <b/>
      <sz val="14"/>
      <name val="BIZ UDPゴシック"/>
      <family val="3"/>
      <charset val="128"/>
    </font>
    <font>
      <sz val="14"/>
      <name val="BIZ UDP明朝 Medium"/>
      <family val="1"/>
      <charset val="128"/>
    </font>
    <font>
      <b/>
      <sz val="14"/>
      <color rgb="FFFF0000"/>
      <name val="BIZ UDP明朝 Medium"/>
      <family val="1"/>
      <charset val="128"/>
    </font>
    <font>
      <sz val="14"/>
      <color rgb="FFFF0000"/>
      <name val="BIZ UDP明朝 Medium"/>
      <family val="1"/>
      <charset val="128"/>
    </font>
    <font>
      <sz val="14"/>
      <color rgb="FFEE0000"/>
      <name val="BIZ UDP明朝 Medium"/>
      <family val="1"/>
      <charset val="128"/>
    </font>
    <font>
      <b/>
      <sz val="14"/>
      <color theme="1"/>
      <name val="BIZ UDPゴシック"/>
      <family val="3"/>
      <charset val="128"/>
    </font>
    <font>
      <b/>
      <sz val="14"/>
      <color rgb="FF00B050"/>
      <name val="BIZ UDP明朝 Medium"/>
      <family val="1"/>
      <charset val="128"/>
    </font>
    <font>
      <sz val="12"/>
      <color theme="1"/>
      <name val="BIZ UDP明朝 Medium"/>
      <family val="1"/>
      <charset val="128"/>
    </font>
    <font>
      <sz val="12"/>
      <name val="BIZ UDP明朝 Medium"/>
      <family val="1"/>
      <charset val="128"/>
    </font>
    <font>
      <b/>
      <sz val="12"/>
      <name val="BIZ UDP明朝 Medium"/>
      <family val="1"/>
      <charset val="128"/>
    </font>
    <font>
      <b/>
      <sz val="12"/>
      <color theme="1"/>
      <name val="BIZ UDP明朝 Medium"/>
      <family val="1"/>
      <charset val="128"/>
    </font>
    <font>
      <sz val="14"/>
      <color rgb="FF00B050"/>
      <name val="BIZ UDP明朝 Medium"/>
      <family val="1"/>
      <charset val="128"/>
    </font>
    <font>
      <b/>
      <sz val="11"/>
      <name val="BIZ UDP明朝 Medium"/>
      <family val="1"/>
      <charset val="128"/>
    </font>
    <font>
      <sz val="12"/>
      <color rgb="FFFF0000"/>
      <name val="BIZ UDP明朝 Medium"/>
      <family val="1"/>
      <charset val="128"/>
    </font>
    <font>
      <b/>
      <sz val="9"/>
      <color indexed="81"/>
      <name val="BIZ UDPゴシック"/>
      <family val="3"/>
      <charset val="128"/>
    </font>
    <font>
      <b/>
      <sz val="22"/>
      <color theme="1"/>
      <name val="HG正楷書体-PRO"/>
      <family val="4"/>
      <charset val="128"/>
    </font>
    <font>
      <sz val="22"/>
      <color theme="1"/>
      <name val="HG正楷書体-PRO"/>
      <family val="4"/>
      <charset val="128"/>
    </font>
    <font>
      <b/>
      <u/>
      <sz val="14"/>
      <name val="BIZ UDP明朝 Medium"/>
      <family val="1"/>
      <charset val="128"/>
    </font>
    <font>
      <b/>
      <sz val="12"/>
      <color indexed="81"/>
      <name val="BIZ UDPゴシック"/>
      <family val="3"/>
      <charset val="128"/>
    </font>
    <font>
      <b/>
      <sz val="11"/>
      <color indexed="81"/>
      <name val="BIZ UDPゴシック"/>
      <family val="3"/>
      <charset val="128"/>
    </font>
    <font>
      <b/>
      <sz val="12"/>
      <color indexed="10"/>
      <name val="BIZ UDPゴシック"/>
      <family val="3"/>
      <charset val="128"/>
    </font>
    <font>
      <b/>
      <sz val="10"/>
      <color indexed="10"/>
      <name val="BIZ UDPゴシック"/>
      <family val="3"/>
      <charset val="128"/>
    </font>
    <font>
      <sz val="10"/>
      <color theme="1"/>
      <name val="BIZ UDP明朝 Medium"/>
      <family val="1"/>
      <charset val="128"/>
    </font>
    <font>
      <sz val="10"/>
      <color theme="0"/>
      <name val="BIZ UDP明朝 Medium"/>
      <family val="1"/>
      <charset val="128"/>
    </font>
    <font>
      <sz val="10"/>
      <name val="BIZ UDP明朝 Medium"/>
      <family val="1"/>
      <charset val="128"/>
    </font>
    <font>
      <b/>
      <sz val="12"/>
      <name val="BIZ UDPゴシック"/>
      <family val="3"/>
      <charset val="128"/>
    </font>
    <font>
      <sz val="12"/>
      <color theme="1"/>
      <name val="Yu Gothic"/>
      <family val="2"/>
      <scheme val="minor"/>
    </font>
    <font>
      <b/>
      <sz val="12"/>
      <color rgb="FF00B050"/>
      <name val="BIZ UDP明朝 Medium"/>
      <family val="1"/>
      <charset val="128"/>
    </font>
  </fonts>
  <fills count="2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7F4B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476D2D"/>
        <bgColor indexed="64"/>
      </patternFill>
    </fill>
    <fill>
      <patternFill patternType="solid">
        <fgColor rgb="FF649A40"/>
        <bgColor indexed="64"/>
      </patternFill>
    </fill>
    <fill>
      <patternFill patternType="solid">
        <fgColor rgb="FF73B04A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theme="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/>
      <diagonal/>
    </border>
    <border>
      <left style="mediumDashed">
        <color rgb="FFFF0000"/>
      </left>
      <right style="mediumDashed">
        <color rgb="FFFF0000"/>
      </right>
      <top/>
      <bottom/>
      <diagonal/>
    </border>
    <border>
      <left style="mediumDashed">
        <color rgb="FFFF0000"/>
      </left>
      <right style="mediumDashed">
        <color rgb="FFFF0000"/>
      </right>
      <top/>
      <bottom style="mediumDashed">
        <color rgb="FFFF0000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ck">
        <color theme="0"/>
      </right>
      <top/>
      <bottom style="hair">
        <color auto="1"/>
      </bottom>
      <diagonal/>
    </border>
    <border>
      <left/>
      <right style="thin">
        <color theme="0"/>
      </right>
      <top/>
      <bottom style="hair">
        <color auto="1"/>
      </bottom>
      <diagonal/>
    </border>
    <border>
      <left style="mediumDashed">
        <color rgb="FFFF0000"/>
      </left>
      <right style="mediumDashed">
        <color rgb="FFFF0000"/>
      </right>
      <top/>
      <bottom style="hair">
        <color auto="1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 style="hair">
        <color auto="1"/>
      </top>
      <bottom/>
      <diagonal/>
    </border>
    <border>
      <left/>
      <right style="thin">
        <color theme="0"/>
      </right>
      <top style="hair">
        <color auto="1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Dashed">
        <color rgb="FFFF0000"/>
      </left>
      <right style="mediumDashed">
        <color rgb="FFFF0000"/>
      </right>
      <top style="hair">
        <color auto="1"/>
      </top>
      <bottom/>
      <diagonal/>
    </border>
    <border>
      <left style="thin">
        <color theme="0"/>
      </left>
      <right/>
      <top style="hair">
        <color auto="1"/>
      </top>
      <bottom style="thin">
        <color theme="0"/>
      </bottom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 style="hair">
        <color auto="1"/>
      </bottom>
      <diagonal/>
    </border>
    <border>
      <left style="medium">
        <color rgb="FF008000"/>
      </left>
      <right style="medium">
        <color rgb="FF008000"/>
      </right>
      <top/>
      <bottom/>
      <diagonal/>
    </border>
    <border>
      <left style="medium">
        <color rgb="FF008000"/>
      </left>
      <right style="medium">
        <color rgb="FF008000"/>
      </right>
      <top style="double">
        <color rgb="FF008000"/>
      </top>
      <bottom/>
      <diagonal/>
    </border>
    <border>
      <left style="medium">
        <color rgb="FF008000"/>
      </left>
      <right style="medium">
        <color rgb="FF008000"/>
      </right>
      <top/>
      <bottom style="double">
        <color rgb="FF008000"/>
      </bottom>
      <diagonal/>
    </border>
    <border>
      <left style="medium">
        <color rgb="FF008000"/>
      </left>
      <right style="medium">
        <color rgb="FF008000"/>
      </right>
      <top style="double">
        <color theme="0" tint="-4.9989318521683403E-2"/>
      </top>
      <bottom style="double">
        <color theme="0" tint="-4.9989318521683403E-2"/>
      </bottom>
      <diagonal/>
    </border>
    <border>
      <left style="medium">
        <color rgb="FF008000"/>
      </left>
      <right style="medium">
        <color rgb="FF008000"/>
      </right>
      <top style="double">
        <color theme="0" tint="-4.9989318521683403E-2"/>
      </top>
      <bottom/>
      <diagonal/>
    </border>
    <border>
      <left style="medium">
        <color rgb="FF008000"/>
      </left>
      <right style="medium">
        <color rgb="FF008000"/>
      </right>
      <top/>
      <bottom style="double">
        <color theme="0" tint="-4.9989318521683403E-2"/>
      </bottom>
      <diagonal/>
    </border>
    <border>
      <left style="medium">
        <color rgb="FF008000"/>
      </left>
      <right style="medium">
        <color rgb="FF008000"/>
      </right>
      <top style="double">
        <color rgb="FF008000"/>
      </top>
      <bottom style="double">
        <color theme="0" tint="-4.9989318521683403E-2"/>
      </bottom>
      <diagonal/>
    </border>
    <border>
      <left/>
      <right style="medium">
        <color rgb="FF008000"/>
      </right>
      <top style="double">
        <color theme="0" tint="-4.9989318521683403E-2"/>
      </top>
      <bottom/>
      <diagonal/>
    </border>
    <border>
      <left style="thick">
        <color theme="9" tint="-0.24994659260841701"/>
      </left>
      <right style="medium">
        <color rgb="FF008000"/>
      </right>
      <top style="double">
        <color theme="0" tint="-4.9989318521683403E-2"/>
      </top>
      <bottom/>
      <diagonal/>
    </border>
    <border>
      <left style="medium">
        <color rgb="FF008000"/>
      </left>
      <right style="medium">
        <color rgb="FF008000"/>
      </right>
      <top/>
      <bottom style="double">
        <color theme="0" tint="-0.14996795556505021"/>
      </bottom>
      <diagonal/>
    </border>
    <border>
      <left style="medium">
        <color rgb="FF008000"/>
      </left>
      <right style="medium">
        <color rgb="FF008000"/>
      </right>
      <top style="double">
        <color theme="0" tint="-0.14996795556505021"/>
      </top>
      <bottom/>
      <diagonal/>
    </border>
    <border>
      <left style="medium">
        <color rgb="FF008000"/>
      </left>
      <right style="medium">
        <color rgb="FF008000"/>
      </right>
      <top/>
      <bottom style="medium">
        <color theme="0" tint="-4.9989318521683403E-2"/>
      </bottom>
      <diagonal/>
    </border>
    <border>
      <left style="medium">
        <color rgb="FF008000"/>
      </left>
      <right style="medium">
        <color rgb="FF008000"/>
      </right>
      <top style="medium">
        <color theme="0" tint="-4.9989318521683403E-2"/>
      </top>
      <bottom/>
      <diagonal/>
    </border>
    <border>
      <left/>
      <right style="medium">
        <color rgb="FF008000"/>
      </right>
      <top/>
      <bottom style="medium">
        <color theme="0" tint="-4.9989318521683403E-2"/>
      </bottom>
      <diagonal/>
    </border>
    <border>
      <left/>
      <right style="medium">
        <color rgb="FF008000"/>
      </right>
      <top style="medium">
        <color theme="0" tint="-4.9989318521683403E-2"/>
      </top>
      <bottom/>
      <diagonal/>
    </border>
    <border>
      <left/>
      <right style="medium">
        <color rgb="FF008000"/>
      </right>
      <top/>
      <bottom/>
      <diagonal/>
    </border>
    <border>
      <left/>
      <right style="medium">
        <color rgb="FF008000"/>
      </right>
      <top/>
      <bottom style="double">
        <color theme="0" tint="-4.9989318521683403E-2"/>
      </bottom>
      <diagonal/>
    </border>
    <border>
      <left/>
      <right style="medium">
        <color rgb="FF008000"/>
      </right>
      <top/>
      <bottom style="double">
        <color theme="0" tint="-0.14996795556505021"/>
      </bottom>
      <diagonal/>
    </border>
    <border>
      <left/>
      <right style="medium">
        <color rgb="FF008000"/>
      </right>
      <top style="double">
        <color theme="0" tint="-0.14996795556505021"/>
      </top>
      <bottom/>
      <diagonal/>
    </border>
    <border>
      <left style="medium">
        <color rgb="FF008000"/>
      </left>
      <right/>
      <top/>
      <bottom/>
      <diagonal/>
    </border>
    <border>
      <left style="medium">
        <color rgb="FF008000"/>
      </left>
      <right/>
      <top/>
      <bottom style="hair">
        <color auto="1"/>
      </bottom>
      <diagonal/>
    </border>
    <border>
      <left/>
      <right style="medium">
        <color rgb="FF008000"/>
      </right>
      <top/>
      <bottom style="hair">
        <color auto="1"/>
      </bottom>
      <diagonal/>
    </border>
    <border>
      <left style="medium">
        <color rgb="FF008000"/>
      </left>
      <right/>
      <top style="hair">
        <color auto="1"/>
      </top>
      <bottom/>
      <diagonal/>
    </border>
    <border>
      <left/>
      <right style="medium">
        <color rgb="FF008000"/>
      </right>
      <top style="hair">
        <color auto="1"/>
      </top>
      <bottom/>
      <diagonal/>
    </border>
    <border>
      <left style="mediumDashed">
        <color rgb="FFFF0000"/>
      </left>
      <right style="medium">
        <color rgb="FF008000"/>
      </right>
      <top style="mediumDashed">
        <color rgb="FFFF0000"/>
      </top>
      <bottom/>
      <diagonal/>
    </border>
    <border>
      <left style="mediumDashed">
        <color rgb="FFFF0000"/>
      </left>
      <right style="medium">
        <color rgb="FF008000"/>
      </right>
      <top/>
      <bottom/>
      <diagonal/>
    </border>
    <border>
      <left style="mediumDashed">
        <color rgb="FFFF0000"/>
      </left>
      <right style="medium">
        <color rgb="FF008000"/>
      </right>
      <top/>
      <bottom style="hair">
        <color auto="1"/>
      </bottom>
      <diagonal/>
    </border>
    <border>
      <left style="mediumDashed">
        <color rgb="FFFF0000"/>
      </left>
      <right style="medium">
        <color rgb="FF008000"/>
      </right>
      <top style="hair">
        <color auto="1"/>
      </top>
      <bottom/>
      <diagonal/>
    </border>
    <border>
      <left style="mediumDashed">
        <color rgb="FFFF0000"/>
      </left>
      <right style="medium">
        <color rgb="FF008000"/>
      </right>
      <top/>
      <bottom style="mediumDashed">
        <color rgb="FFFF0000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/>
      <top style="medium">
        <color theme="0" tint="-4.9989318521683403E-2"/>
      </top>
      <bottom/>
      <diagonal/>
    </border>
    <border>
      <left/>
      <right/>
      <top/>
      <bottom style="double">
        <color theme="0" tint="-4.9989318521683403E-2"/>
      </bottom>
      <diagonal/>
    </border>
    <border>
      <left/>
      <right/>
      <top style="double">
        <color theme="0" tint="-4.9989318521683403E-2"/>
      </top>
      <bottom/>
      <diagonal/>
    </border>
    <border>
      <left/>
      <right/>
      <top/>
      <bottom style="double">
        <color theme="0" tint="-0.14996795556505021"/>
      </bottom>
      <diagonal/>
    </border>
    <border>
      <left/>
      <right/>
      <top style="double">
        <color theme="0" tint="-0.14996795556505021"/>
      </top>
      <bottom/>
      <diagonal/>
    </border>
    <border>
      <left style="medium">
        <color theme="9" tint="-0.24994659260841701"/>
      </left>
      <right/>
      <top/>
      <bottom/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/>
      <top/>
      <bottom style="hair">
        <color auto="1"/>
      </bottom>
      <diagonal/>
    </border>
    <border>
      <left/>
      <right style="medium">
        <color theme="9" tint="-0.24994659260841701"/>
      </right>
      <top/>
      <bottom style="hair">
        <color auto="1"/>
      </bottom>
      <diagonal/>
    </border>
    <border>
      <left style="medium">
        <color theme="9" tint="-0.24994659260841701"/>
      </left>
      <right/>
      <top style="hair">
        <color auto="1"/>
      </top>
      <bottom/>
      <diagonal/>
    </border>
    <border>
      <left/>
      <right style="medium">
        <color theme="9" tint="-0.24994659260841701"/>
      </right>
      <top style="hair">
        <color auto="1"/>
      </top>
      <bottom/>
      <diagonal/>
    </border>
    <border>
      <left style="medium">
        <color theme="9" tint="-0.24994659260841701"/>
      </left>
      <right/>
      <top style="hair">
        <color auto="1"/>
      </top>
      <bottom style="thin">
        <color theme="0"/>
      </bottom>
      <diagonal/>
    </border>
    <border>
      <left style="medium">
        <color theme="9" tint="-0.24994659260841701"/>
      </left>
      <right/>
      <top/>
      <bottom style="thick">
        <color theme="0"/>
      </bottom>
      <diagonal/>
    </border>
  </borders>
  <cellStyleXfs count="2">
    <xf numFmtId="0" fontId="0" fillId="0" borderId="0"/>
    <xf numFmtId="38" fontId="2" fillId="0" borderId="0" applyFont="0" applyFill="0" applyBorder="0" applyAlignment="0" applyProtection="0">
      <alignment vertical="center"/>
    </xf>
  </cellStyleXfs>
  <cellXfs count="68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38" fontId="0" fillId="0" borderId="1" xfId="1" applyFont="1" applyBorder="1" applyAlignment="1">
      <alignment horizontal="right" vertical="center"/>
    </xf>
    <xf numFmtId="38" fontId="5" fillId="0" borderId="1" xfId="1" applyFont="1" applyBorder="1">
      <alignment vertical="center"/>
    </xf>
    <xf numFmtId="38" fontId="5" fillId="0" borderId="1" xfId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/>
    <xf numFmtId="0" fontId="0" fillId="0" borderId="0" xfId="0" applyAlignment="1">
      <alignment horizontal="right"/>
    </xf>
    <xf numFmtId="38" fontId="5" fillId="0" borderId="4" xfId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5" fontId="9" fillId="0" borderId="1" xfId="0" applyNumberFormat="1" applyFont="1" applyBorder="1" applyAlignment="1">
      <alignment vertical="center"/>
    </xf>
    <xf numFmtId="0" fontId="9" fillId="0" borderId="2" xfId="0" applyFont="1" applyBorder="1"/>
    <xf numFmtId="0" fontId="9" fillId="0" borderId="0" xfId="0" applyFont="1" applyAlignment="1">
      <alignment vertical="top"/>
    </xf>
    <xf numFmtId="5" fontId="9" fillId="4" borderId="1" xfId="0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top"/>
    </xf>
    <xf numFmtId="0" fontId="9" fillId="3" borderId="1" xfId="0" applyFont="1" applyFill="1" applyBorder="1" applyAlignment="1">
      <alignment horizontal="center" vertical="center" wrapText="1"/>
    </xf>
    <xf numFmtId="0" fontId="9" fillId="6" borderId="0" xfId="0" applyFont="1" applyFill="1"/>
    <xf numFmtId="0" fontId="9" fillId="7" borderId="0" xfId="0" applyFont="1" applyFill="1"/>
    <xf numFmtId="0" fontId="9" fillId="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2" xfId="0" applyFont="1" applyFill="1" applyBorder="1"/>
    <xf numFmtId="0" fontId="9" fillId="7" borderId="3" xfId="0" applyFont="1" applyFill="1" applyBorder="1"/>
    <xf numFmtId="0" fontId="9" fillId="7" borderId="5" xfId="0" applyFont="1" applyFill="1" applyBorder="1"/>
    <xf numFmtId="5" fontId="9" fillId="6" borderId="1" xfId="0" applyNumberFormat="1" applyFont="1" applyFill="1" applyBorder="1" applyAlignment="1">
      <alignment vertical="center"/>
    </xf>
    <xf numFmtId="0" fontId="9" fillId="7" borderId="7" xfId="0" applyFont="1" applyFill="1" applyBorder="1"/>
    <xf numFmtId="0" fontId="9" fillId="7" borderId="8" xfId="0" applyFont="1" applyFill="1" applyBorder="1"/>
    <xf numFmtId="0" fontId="9" fillId="7" borderId="9" xfId="0" applyFont="1" applyFill="1" applyBorder="1"/>
    <xf numFmtId="0" fontId="9" fillId="7" borderId="10" xfId="0" applyFont="1" applyFill="1" applyBorder="1"/>
    <xf numFmtId="0" fontId="9" fillId="7" borderId="0" xfId="0" applyFont="1" applyFill="1" applyAlignment="1">
      <alignment horizontal="left"/>
    </xf>
    <xf numFmtId="5" fontId="9" fillId="0" borderId="1" xfId="0" applyNumberFormat="1" applyFont="1" applyBorder="1" applyAlignment="1">
      <alignment horizontal="right" vertical="center"/>
    </xf>
    <xf numFmtId="5" fontId="9" fillId="6" borderId="0" xfId="0" applyNumberFormat="1" applyFont="1" applyFill="1" applyAlignment="1">
      <alignment vertical="center"/>
    </xf>
    <xf numFmtId="5" fontId="9" fillId="7" borderId="0" xfId="0" applyNumberFormat="1" applyFont="1" applyFill="1" applyAlignment="1">
      <alignment vertical="center"/>
    </xf>
    <xf numFmtId="0" fontId="9" fillId="7" borderId="0" xfId="0" applyFont="1" applyFill="1" applyAlignment="1">
      <alignment horizontal="right"/>
    </xf>
    <xf numFmtId="0" fontId="9" fillId="7" borderId="0" xfId="0" applyFont="1" applyFill="1" applyAlignment="1">
      <alignment vertical="center"/>
    </xf>
    <xf numFmtId="0" fontId="9" fillId="7" borderId="4" xfId="0" applyFont="1" applyFill="1" applyBorder="1"/>
    <xf numFmtId="0" fontId="9" fillId="7" borderId="2" xfId="0" applyFont="1" applyFill="1" applyBorder="1"/>
    <xf numFmtId="0" fontId="9" fillId="7" borderId="6" xfId="0" applyFont="1" applyFill="1" applyBorder="1"/>
    <xf numFmtId="0" fontId="9" fillId="7" borderId="0" xfId="0" applyFont="1" applyFill="1" applyAlignment="1">
      <alignment horizontal="left" vertical="center"/>
    </xf>
    <xf numFmtId="5" fontId="11" fillId="0" borderId="1" xfId="0" applyNumberFormat="1" applyFont="1" applyBorder="1" applyAlignment="1">
      <alignment vertical="center"/>
    </xf>
    <xf numFmtId="5" fontId="11" fillId="6" borderId="1" xfId="0" applyNumberFormat="1" applyFont="1" applyFill="1" applyBorder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5" fontId="12" fillId="4" borderId="1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3" borderId="1" xfId="0" applyFont="1" applyFill="1" applyBorder="1" applyAlignment="1">
      <alignment horizontal="center" vertical="center" wrapText="1"/>
    </xf>
    <xf numFmtId="5" fontId="15" fillId="0" borderId="1" xfId="0" applyNumberFormat="1" applyFont="1" applyBorder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5" fontId="15" fillId="6" borderId="1" xfId="0" applyNumberFormat="1" applyFont="1" applyFill="1" applyBorder="1" applyAlignment="1">
      <alignment vertical="center"/>
    </xf>
    <xf numFmtId="5" fontId="12" fillId="0" borderId="1" xfId="0" applyNumberFormat="1" applyFont="1" applyBorder="1" applyAlignment="1">
      <alignment vertical="center"/>
    </xf>
    <xf numFmtId="0" fontId="16" fillId="7" borderId="3" xfId="0" applyFont="1" applyFill="1" applyBorder="1"/>
    <xf numFmtId="0" fontId="16" fillId="7" borderId="5" xfId="0" applyFont="1" applyFill="1" applyBorder="1"/>
    <xf numFmtId="0" fontId="16" fillId="7" borderId="7" xfId="0" applyFont="1" applyFill="1" applyBorder="1"/>
    <xf numFmtId="0" fontId="16" fillId="7" borderId="8" xfId="0" applyFont="1" applyFill="1" applyBorder="1"/>
    <xf numFmtId="0" fontId="17" fillId="0" borderId="0" xfId="0" applyFont="1" applyAlignment="1">
      <alignment horizontal="right" vertical="top"/>
    </xf>
    <xf numFmtId="5" fontId="17" fillId="0" borderId="0" xfId="0" applyNumberFormat="1" applyFont="1" applyAlignment="1">
      <alignment vertical="top"/>
    </xf>
    <xf numFmtId="0" fontId="11" fillId="3" borderId="1" xfId="0" applyFont="1" applyFill="1" applyBorder="1" applyAlignment="1">
      <alignment horizontal="center" vertical="center" wrapText="1"/>
    </xf>
    <xf numFmtId="176" fontId="18" fillId="0" borderId="1" xfId="0" applyNumberFormat="1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5" fontId="0" fillId="0" borderId="0" xfId="0" applyNumberFormat="1"/>
    <xf numFmtId="5" fontId="0" fillId="4" borderId="2" xfId="0" applyNumberFormat="1" applyFill="1" applyBorder="1"/>
    <xf numFmtId="5" fontId="0" fillId="0" borderId="2" xfId="0" applyNumberFormat="1" applyBorder="1"/>
    <xf numFmtId="5" fontId="0" fillId="0" borderId="3" xfId="0" applyNumberFormat="1" applyBorder="1"/>
    <xf numFmtId="0" fontId="0" fillId="4" borderId="10" xfId="0" applyFill="1" applyBorder="1"/>
    <xf numFmtId="0" fontId="0" fillId="0" borderId="10" xfId="0" applyBorder="1"/>
    <xf numFmtId="0" fontId="0" fillId="0" borderId="8" xfId="0" applyBorder="1"/>
    <xf numFmtId="0" fontId="0" fillId="2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7" xfId="0" applyFill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6" fontId="0" fillId="0" borderId="3" xfId="0" applyNumberFormat="1" applyBorder="1"/>
    <xf numFmtId="5" fontId="6" fillId="0" borderId="2" xfId="0" applyNumberFormat="1" applyFont="1" applyBorder="1"/>
    <xf numFmtId="0" fontId="8" fillId="0" borderId="0" xfId="0" applyFont="1" applyAlignment="1">
      <alignment vertical="center"/>
    </xf>
    <xf numFmtId="20" fontId="20" fillId="0" borderId="0" xfId="0" quotePrefix="1" applyNumberFormat="1" applyFont="1" applyAlignment="1">
      <alignment horizontal="left" vertical="center" indent="1"/>
    </xf>
    <xf numFmtId="0" fontId="0" fillId="0" borderId="0" xfId="0" applyAlignment="1">
      <alignment horizontal="right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horizontal="center" vertical="center"/>
    </xf>
    <xf numFmtId="0" fontId="23" fillId="0" borderId="0" xfId="0" quotePrefix="1" applyFont="1" applyAlignment="1">
      <alignment horizontal="left" vertical="center"/>
    </xf>
    <xf numFmtId="0" fontId="23" fillId="0" borderId="0" xfId="0" applyFont="1" applyAlignment="1">
      <alignment horizontal="left" vertical="center" indent="1"/>
    </xf>
    <xf numFmtId="0" fontId="23" fillId="7" borderId="0" xfId="0" applyFont="1" applyFill="1" applyAlignment="1">
      <alignment horizontal="left" vertical="center"/>
    </xf>
    <xf numFmtId="0" fontId="23" fillId="0" borderId="0" xfId="0" applyFont="1" applyAlignment="1">
      <alignment horizontal="center" vertical="center"/>
    </xf>
    <xf numFmtId="20" fontId="24" fillId="0" borderId="0" xfId="0" applyNumberFormat="1" applyFont="1" applyAlignment="1">
      <alignment horizontal="left" vertical="center"/>
    </xf>
    <xf numFmtId="0" fontId="23" fillId="0" borderId="0" xfId="0" quotePrefix="1" applyFont="1" applyAlignment="1">
      <alignment vertical="center"/>
    </xf>
    <xf numFmtId="0" fontId="21" fillId="0" borderId="13" xfId="0" applyFont="1" applyBorder="1" applyAlignment="1">
      <alignment horizontal="center" vertical="center"/>
    </xf>
    <xf numFmtId="0" fontId="25" fillId="8" borderId="0" xfId="0" quotePrefix="1" applyFont="1" applyFill="1" applyAlignment="1">
      <alignment horizontal="left" vertical="center"/>
    </xf>
    <xf numFmtId="0" fontId="23" fillId="8" borderId="0" xfId="0" applyFont="1" applyFill="1" applyAlignment="1">
      <alignment vertical="center"/>
    </xf>
    <xf numFmtId="0" fontId="23" fillId="0" borderId="0" xfId="0" quotePrefix="1" applyFont="1" applyAlignment="1">
      <alignment horizontal="left" vertical="center" indent="1"/>
    </xf>
    <xf numFmtId="0" fontId="23" fillId="8" borderId="0" xfId="0" applyFont="1" applyFill="1" applyAlignment="1">
      <alignment horizontal="left" vertical="center"/>
    </xf>
    <xf numFmtId="0" fontId="23" fillId="0" borderId="13" xfId="0" quotePrefix="1" applyFont="1" applyBorder="1" applyAlignment="1">
      <alignment horizontal="center" vertical="center"/>
    </xf>
    <xf numFmtId="0" fontId="23" fillId="8" borderId="0" xfId="0" quotePrefix="1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 indent="1"/>
    </xf>
    <xf numFmtId="0" fontId="23" fillId="8" borderId="0" xfId="0" applyFont="1" applyFill="1" applyAlignment="1">
      <alignment horizontal="left" vertical="center" indent="1"/>
    </xf>
    <xf numFmtId="0" fontId="23" fillId="9" borderId="0" xfId="0" quotePrefix="1" applyFont="1" applyFill="1" applyAlignment="1">
      <alignment horizontal="left" vertical="center" indent="1"/>
    </xf>
    <xf numFmtId="0" fontId="27" fillId="0" borderId="0" xfId="0" quotePrefix="1" applyFont="1" applyAlignment="1">
      <alignment horizontal="left" vertical="center"/>
    </xf>
    <xf numFmtId="0" fontId="23" fillId="9" borderId="0" xfId="0" applyFont="1" applyFill="1" applyAlignment="1">
      <alignment vertical="center"/>
    </xf>
    <xf numFmtId="20" fontId="24" fillId="9" borderId="15" xfId="0" quotePrefix="1" applyNumberFormat="1" applyFont="1" applyFill="1" applyBorder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23" fillId="0" borderId="0" xfId="0" quotePrefix="1" applyFont="1" applyAlignment="1">
      <alignment horizontal="right" vertical="center"/>
    </xf>
    <xf numFmtId="20" fontId="23" fillId="0" borderId="0" xfId="0" quotePrefix="1" applyNumberFormat="1" applyFont="1" applyAlignment="1">
      <alignment horizontal="right" vertical="center"/>
    </xf>
    <xf numFmtId="20" fontId="23" fillId="8" borderId="16" xfId="0" applyNumberFormat="1" applyFont="1" applyFill="1" applyBorder="1" applyAlignment="1">
      <alignment horizontal="left" vertical="center" indent="1"/>
    </xf>
    <xf numFmtId="20" fontId="25" fillId="8" borderId="16" xfId="0" applyNumberFormat="1" applyFont="1" applyFill="1" applyBorder="1" applyAlignment="1">
      <alignment horizontal="left" vertical="center" indent="1"/>
    </xf>
    <xf numFmtId="20" fontId="21" fillId="8" borderId="17" xfId="0" applyNumberFormat="1" applyFont="1" applyFill="1" applyBorder="1" applyAlignment="1">
      <alignment horizontal="center" vertical="center"/>
    </xf>
    <xf numFmtId="20" fontId="21" fillId="8" borderId="18" xfId="0" applyNumberFormat="1" applyFont="1" applyFill="1" applyBorder="1" applyAlignment="1">
      <alignment horizontal="left" vertical="center" indent="1"/>
    </xf>
    <xf numFmtId="20" fontId="21" fillId="8" borderId="19" xfId="0" applyNumberFormat="1" applyFont="1" applyFill="1" applyBorder="1" applyAlignment="1">
      <alignment horizontal="left" vertical="center" inden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20" fontId="21" fillId="0" borderId="0" xfId="0" applyNumberFormat="1" applyFont="1" applyAlignment="1">
      <alignment horizontal="left" vertical="center" indent="2"/>
    </xf>
    <xf numFmtId="20" fontId="23" fillId="9" borderId="0" xfId="0" quotePrefix="1" applyNumberFormat="1" applyFont="1" applyFill="1" applyAlignment="1">
      <alignment horizontal="right" vertical="center"/>
    </xf>
    <xf numFmtId="20" fontId="23" fillId="9" borderId="0" xfId="0" quotePrefix="1" applyNumberFormat="1" applyFont="1" applyFill="1" applyAlignment="1">
      <alignment horizontal="left" vertical="center" indent="1"/>
    </xf>
    <xf numFmtId="20" fontId="25" fillId="9" borderId="0" xfId="0" applyNumberFormat="1" applyFont="1" applyFill="1" applyAlignment="1">
      <alignment horizontal="left" vertical="center" indent="1"/>
    </xf>
    <xf numFmtId="20" fontId="21" fillId="0" borderId="0" xfId="0" quotePrefix="1" applyNumberFormat="1" applyFont="1" applyAlignment="1">
      <alignment horizontal="left" vertical="center" indent="1"/>
    </xf>
    <xf numFmtId="0" fontId="23" fillId="9" borderId="0" xfId="0" applyFont="1" applyFill="1" applyAlignment="1">
      <alignment horizontal="right" vertical="center"/>
    </xf>
    <xf numFmtId="0" fontId="21" fillId="9" borderId="0" xfId="0" applyFont="1" applyFill="1" applyAlignment="1">
      <alignment horizontal="right" vertical="center"/>
    </xf>
    <xf numFmtId="0" fontId="21" fillId="9" borderId="0" xfId="0" applyFont="1" applyFill="1" applyAlignment="1">
      <alignment horizontal="left" vertical="center" indent="1"/>
    </xf>
    <xf numFmtId="20" fontId="21" fillId="0" borderId="0" xfId="0" applyNumberFormat="1" applyFont="1" applyAlignment="1">
      <alignment horizontal="left" vertical="center" indent="1"/>
    </xf>
    <xf numFmtId="20" fontId="21" fillId="9" borderId="0" xfId="0" applyNumberFormat="1" applyFont="1" applyFill="1" applyAlignment="1">
      <alignment horizontal="right" vertical="center"/>
    </xf>
    <xf numFmtId="20" fontId="21" fillId="9" borderId="0" xfId="0" applyNumberFormat="1" applyFont="1" applyFill="1" applyAlignment="1">
      <alignment horizontal="left" vertical="center" indent="1"/>
    </xf>
    <xf numFmtId="0" fontId="25" fillId="8" borderId="0" xfId="0" applyFont="1" applyFill="1" applyAlignment="1">
      <alignment vertical="center"/>
    </xf>
    <xf numFmtId="0" fontId="23" fillId="0" borderId="20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23" fillId="0" borderId="20" xfId="0" applyFont="1" applyBorder="1" applyAlignment="1">
      <alignment horizontal="left" vertical="center" indent="1"/>
    </xf>
    <xf numFmtId="0" fontId="23" fillId="0" borderId="20" xfId="0" quotePrefix="1" applyFont="1" applyBorder="1" applyAlignment="1">
      <alignment vertical="center"/>
    </xf>
    <xf numFmtId="0" fontId="25" fillId="8" borderId="20" xfId="0" quotePrefix="1" applyFont="1" applyFill="1" applyBorder="1" applyAlignment="1">
      <alignment horizontal="left" vertical="center"/>
    </xf>
    <xf numFmtId="0" fontId="23" fillId="8" borderId="20" xfId="0" applyFont="1" applyFill="1" applyBorder="1" applyAlignment="1">
      <alignment vertical="center"/>
    </xf>
    <xf numFmtId="0" fontId="25" fillId="8" borderId="20" xfId="0" applyFont="1" applyFill="1" applyBorder="1" applyAlignment="1">
      <alignment vertical="center"/>
    </xf>
    <xf numFmtId="0" fontId="23" fillId="8" borderId="20" xfId="0" applyFont="1" applyFill="1" applyBorder="1" applyAlignment="1">
      <alignment horizontal="left" vertical="center" indent="1"/>
    </xf>
    <xf numFmtId="0" fontId="23" fillId="0" borderId="20" xfId="0" applyFont="1" applyBorder="1" applyAlignment="1">
      <alignment horizontal="right" vertical="center"/>
    </xf>
    <xf numFmtId="20" fontId="23" fillId="8" borderId="20" xfId="0" quotePrefix="1" applyNumberFormat="1" applyFont="1" applyFill="1" applyBorder="1" applyAlignment="1">
      <alignment horizontal="right" vertical="center"/>
    </xf>
    <xf numFmtId="20" fontId="23" fillId="8" borderId="23" xfId="0" applyNumberFormat="1" applyFont="1" applyFill="1" applyBorder="1" applyAlignment="1">
      <alignment horizontal="left" vertical="center" indent="1"/>
    </xf>
    <xf numFmtId="20" fontId="23" fillId="0" borderId="20" xfId="0" quotePrefix="1" applyNumberFormat="1" applyFont="1" applyBorder="1" applyAlignment="1">
      <alignment horizontal="right" vertical="center"/>
    </xf>
    <xf numFmtId="20" fontId="23" fillId="5" borderId="20" xfId="0" quotePrefix="1" applyNumberFormat="1" applyFont="1" applyFill="1" applyBorder="1" applyAlignment="1">
      <alignment horizontal="left" vertical="center"/>
    </xf>
    <xf numFmtId="20" fontId="23" fillId="5" borderId="20" xfId="0" quotePrefix="1" applyNumberFormat="1" applyFont="1" applyFill="1" applyBorder="1" applyAlignment="1">
      <alignment horizontal="left" vertical="center" indent="1"/>
    </xf>
    <xf numFmtId="0" fontId="23" fillId="8" borderId="21" xfId="0" applyFont="1" applyFill="1" applyBorder="1" applyAlignment="1">
      <alignment horizontal="right" vertical="center"/>
    </xf>
    <xf numFmtId="0" fontId="23" fillId="8" borderId="21" xfId="0" applyFont="1" applyFill="1" applyBorder="1" applyAlignment="1">
      <alignment vertical="center"/>
    </xf>
    <xf numFmtId="20" fontId="21" fillId="8" borderId="24" xfId="0" applyNumberFormat="1" applyFont="1" applyFill="1" applyBorder="1" applyAlignment="1">
      <alignment horizontal="left" vertical="center" indent="1"/>
    </xf>
    <xf numFmtId="20" fontId="23" fillId="8" borderId="16" xfId="0" applyNumberFormat="1" applyFont="1" applyFill="1" applyBorder="1" applyAlignment="1">
      <alignment horizontal="left" vertical="center" indent="2"/>
    </xf>
    <xf numFmtId="0" fontId="23" fillId="8" borderId="20" xfId="0" applyFont="1" applyFill="1" applyBorder="1" applyAlignment="1">
      <alignment horizontal="right" vertical="center"/>
    </xf>
    <xf numFmtId="20" fontId="23" fillId="9" borderId="20" xfId="0" quotePrefix="1" applyNumberFormat="1" applyFont="1" applyFill="1" applyBorder="1" applyAlignment="1">
      <alignment horizontal="right" vertical="center"/>
    </xf>
    <xf numFmtId="20" fontId="23" fillId="9" borderId="20" xfId="0" quotePrefix="1" applyNumberFormat="1" applyFont="1" applyFill="1" applyBorder="1" applyAlignment="1">
      <alignment horizontal="left" vertical="center" indent="1"/>
    </xf>
    <xf numFmtId="20" fontId="25" fillId="0" borderId="0" xfId="0" quotePrefix="1" applyNumberFormat="1" applyFont="1" applyAlignment="1">
      <alignment horizontal="left" vertical="center"/>
    </xf>
    <xf numFmtId="20" fontId="23" fillId="10" borderId="21" xfId="0" quotePrefix="1" applyNumberFormat="1" applyFont="1" applyFill="1" applyBorder="1" applyAlignment="1">
      <alignment horizontal="right" vertical="center"/>
    </xf>
    <xf numFmtId="20" fontId="23" fillId="10" borderId="21" xfId="0" applyNumberFormat="1" applyFont="1" applyFill="1" applyBorder="1" applyAlignment="1">
      <alignment horizontal="left" vertical="center" indent="1"/>
    </xf>
    <xf numFmtId="20" fontId="25" fillId="0" borderId="0" xfId="0" applyNumberFormat="1" applyFont="1" applyAlignment="1">
      <alignment horizontal="left" vertical="center" indent="1"/>
    </xf>
    <xf numFmtId="20" fontId="23" fillId="10" borderId="20" xfId="0" applyNumberFormat="1" applyFont="1" applyFill="1" applyBorder="1" applyAlignment="1">
      <alignment horizontal="left" vertical="center" indent="1"/>
    </xf>
    <xf numFmtId="20" fontId="23" fillId="8" borderId="23" xfId="0" applyNumberFormat="1" applyFont="1" applyFill="1" applyBorder="1" applyAlignment="1">
      <alignment horizontal="left" vertical="center" indent="2"/>
    </xf>
    <xf numFmtId="20" fontId="21" fillId="8" borderId="18" xfId="0" applyNumberFormat="1" applyFont="1" applyFill="1" applyBorder="1" applyAlignment="1">
      <alignment horizontal="left" vertical="center" indent="2"/>
    </xf>
    <xf numFmtId="20" fontId="23" fillId="8" borderId="17" xfId="0" applyNumberFormat="1" applyFont="1" applyFill="1" applyBorder="1" applyAlignment="1">
      <alignment horizontal="left" vertical="center" indent="1"/>
    </xf>
    <xf numFmtId="20" fontId="23" fillId="8" borderId="18" xfId="0" applyNumberFormat="1" applyFont="1" applyFill="1" applyBorder="1" applyAlignment="1">
      <alignment horizontal="left" vertical="center" indent="1"/>
    </xf>
    <xf numFmtId="20" fontId="23" fillId="8" borderId="19" xfId="0" applyNumberFormat="1" applyFont="1" applyFill="1" applyBorder="1" applyAlignment="1">
      <alignment horizontal="left" vertical="center" indent="1"/>
    </xf>
    <xf numFmtId="0" fontId="27" fillId="8" borderId="0" xfId="0" quotePrefix="1" applyFont="1" applyFill="1" applyAlignment="1">
      <alignment horizontal="left" vertical="center"/>
    </xf>
    <xf numFmtId="0" fontId="27" fillId="8" borderId="20" xfId="0" quotePrefix="1" applyFont="1" applyFill="1" applyBorder="1" applyAlignment="1">
      <alignment horizontal="left" vertical="center"/>
    </xf>
    <xf numFmtId="0" fontId="37" fillId="8" borderId="20" xfId="0" applyFont="1" applyFill="1" applyBorder="1" applyAlignment="1">
      <alignment vertical="center"/>
    </xf>
    <xf numFmtId="0" fontId="27" fillId="9" borderId="0" xfId="0" quotePrefix="1" applyFont="1" applyFill="1" applyAlignment="1">
      <alignment horizontal="left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36" fillId="8" borderId="19" xfId="0" applyFont="1" applyFill="1" applyBorder="1" applyAlignment="1">
      <alignment horizontal="left" vertical="center" indent="2"/>
    </xf>
    <xf numFmtId="0" fontId="27" fillId="5" borderId="0" xfId="0" quotePrefix="1" applyFont="1" applyFill="1" applyAlignment="1">
      <alignment horizontal="left" vertical="center"/>
    </xf>
    <xf numFmtId="0" fontId="23" fillId="9" borderId="0" xfId="0" applyFont="1" applyFill="1" applyAlignment="1">
      <alignment horizontal="left" vertical="center"/>
    </xf>
    <xf numFmtId="0" fontId="23" fillId="9" borderId="0" xfId="0" applyFont="1" applyFill="1" applyAlignment="1">
      <alignment horizontal="left" vertical="center" indent="1"/>
    </xf>
    <xf numFmtId="0" fontId="21" fillId="0" borderId="0" xfId="0" applyFont="1" applyAlignment="1">
      <alignment vertical="center"/>
    </xf>
    <xf numFmtId="0" fontId="21" fillId="9" borderId="0" xfId="0" applyFont="1" applyFill="1" applyAlignment="1">
      <alignment horizontal="left" vertical="center"/>
    </xf>
    <xf numFmtId="0" fontId="21" fillId="9" borderId="0" xfId="0" applyFont="1" applyFill="1" applyAlignment="1">
      <alignment vertical="center"/>
    </xf>
    <xf numFmtId="0" fontId="23" fillId="7" borderId="0" xfId="0" applyFont="1" applyFill="1" applyAlignment="1">
      <alignment vertical="center"/>
    </xf>
    <xf numFmtId="0" fontId="25" fillId="9" borderId="0" xfId="0" applyFont="1" applyFill="1" applyAlignment="1">
      <alignment horizontal="left" vertical="center" indent="1"/>
    </xf>
    <xf numFmtId="20" fontId="27" fillId="9" borderId="0" xfId="0" quotePrefix="1" applyNumberFormat="1" applyFont="1" applyFill="1" applyAlignment="1">
      <alignment horizontal="right" vertical="center"/>
    </xf>
    <xf numFmtId="0" fontId="41" fillId="9" borderId="0" xfId="0" applyFont="1" applyFill="1" applyAlignment="1">
      <alignment vertical="center"/>
    </xf>
    <xf numFmtId="0" fontId="25" fillId="9" borderId="0" xfId="0" quotePrefix="1" applyFont="1" applyFill="1" applyAlignment="1">
      <alignment horizontal="left" vertical="center" indent="2"/>
    </xf>
    <xf numFmtId="20" fontId="27" fillId="5" borderId="0" xfId="0" quotePrefix="1" applyNumberFormat="1" applyFont="1" applyFill="1" applyAlignment="1">
      <alignment horizontal="right" vertical="center"/>
    </xf>
    <xf numFmtId="20" fontId="27" fillId="0" borderId="20" xfId="0" quotePrefix="1" applyNumberFormat="1" applyFont="1" applyBorder="1" applyAlignment="1">
      <alignment horizontal="right" vertical="center"/>
    </xf>
    <xf numFmtId="20" fontId="27" fillId="0" borderId="0" xfId="0" quotePrefix="1" applyNumberFormat="1" applyFont="1" applyAlignment="1">
      <alignment horizontal="right" vertical="center"/>
    </xf>
    <xf numFmtId="0" fontId="27" fillId="0" borderId="0" xfId="0" applyFont="1" applyAlignment="1">
      <alignment vertical="center"/>
    </xf>
    <xf numFmtId="0" fontId="27" fillId="5" borderId="0" xfId="0" applyFont="1" applyFill="1" applyAlignment="1">
      <alignment horizontal="right" vertical="center"/>
    </xf>
    <xf numFmtId="0" fontId="27" fillId="0" borderId="20" xfId="0" applyFont="1" applyBorder="1" applyAlignment="1">
      <alignment vertical="center"/>
    </xf>
    <xf numFmtId="0" fontId="27" fillId="5" borderId="20" xfId="0" applyFont="1" applyFill="1" applyBorder="1" applyAlignment="1">
      <alignment horizontal="right" vertical="center"/>
    </xf>
    <xf numFmtId="20" fontId="26" fillId="0" borderId="13" xfId="0" quotePrefix="1" applyNumberFormat="1" applyFont="1" applyBorder="1" applyAlignment="1">
      <alignment horizontal="center" vertical="center"/>
    </xf>
    <xf numFmtId="20" fontId="23" fillId="0" borderId="0" xfId="0" applyNumberFormat="1" applyFont="1" applyAlignment="1">
      <alignment horizontal="left" vertical="center" indent="1"/>
    </xf>
    <xf numFmtId="0" fontId="30" fillId="11" borderId="0" xfId="0" applyFont="1" applyFill="1" applyAlignment="1">
      <alignment horizontal="right" vertical="center"/>
    </xf>
    <xf numFmtId="20" fontId="23" fillId="11" borderId="0" xfId="0" quotePrefix="1" applyNumberFormat="1" applyFont="1" applyFill="1" applyAlignment="1">
      <alignment horizontal="left" vertical="center"/>
    </xf>
    <xf numFmtId="0" fontId="23" fillId="9" borderId="21" xfId="0" applyFont="1" applyFill="1" applyBorder="1" applyAlignment="1">
      <alignment horizontal="right" vertical="center"/>
    </xf>
    <xf numFmtId="0" fontId="25" fillId="5" borderId="0" xfId="0" quotePrefix="1" applyFont="1" applyFill="1" applyAlignment="1">
      <alignment horizontal="left" vertical="center"/>
    </xf>
    <xf numFmtId="0" fontId="25" fillId="5" borderId="0" xfId="0" quotePrefix="1" applyFont="1" applyFill="1" applyAlignment="1">
      <alignment horizontal="left" vertical="center" indent="1"/>
    </xf>
    <xf numFmtId="0" fontId="23" fillId="9" borderId="0" xfId="0" quotePrefix="1" applyFont="1" applyFill="1" applyAlignment="1">
      <alignment horizontal="left" vertical="center" indent="2"/>
    </xf>
    <xf numFmtId="0" fontId="25" fillId="9" borderId="0" xfId="0" applyFont="1" applyFill="1" applyAlignment="1">
      <alignment horizontal="left" vertical="center" indent="2"/>
    </xf>
    <xf numFmtId="0" fontId="22" fillId="9" borderId="0" xfId="0" applyFont="1" applyFill="1" applyAlignment="1">
      <alignment horizontal="left" vertical="center" indent="3"/>
    </xf>
    <xf numFmtId="20" fontId="23" fillId="10" borderId="0" xfId="0" applyNumberFormat="1" applyFont="1" applyFill="1" applyAlignment="1">
      <alignment horizontal="left" vertical="center" indent="1"/>
    </xf>
    <xf numFmtId="0" fontId="25" fillId="0" borderId="0" xfId="0" applyFont="1" applyAlignment="1">
      <alignment horizontal="left" vertical="center" indent="1"/>
    </xf>
    <xf numFmtId="20" fontId="25" fillId="5" borderId="0" xfId="0" applyNumberFormat="1" applyFont="1" applyFill="1" applyAlignment="1">
      <alignment horizontal="left" vertical="center" indent="1"/>
    </xf>
    <xf numFmtId="20" fontId="23" fillId="5" borderId="0" xfId="0" applyNumberFormat="1" applyFont="1" applyFill="1" applyAlignment="1">
      <alignment horizontal="left" vertical="center" indent="1"/>
    </xf>
    <xf numFmtId="20" fontId="23" fillId="12" borderId="0" xfId="0" applyNumberFormat="1" applyFont="1" applyFill="1" applyAlignment="1">
      <alignment horizontal="left" vertical="center"/>
    </xf>
    <xf numFmtId="0" fontId="0" fillId="12" borderId="0" xfId="0" applyFill="1" applyAlignment="1">
      <alignment vertical="center"/>
    </xf>
    <xf numFmtId="20" fontId="25" fillId="9" borderId="0" xfId="0" quotePrefix="1" applyNumberFormat="1" applyFont="1" applyFill="1" applyAlignment="1">
      <alignment horizontal="left" vertical="center" indent="1"/>
    </xf>
    <xf numFmtId="20" fontId="23" fillId="9" borderId="21" xfId="0" quotePrefix="1" applyNumberFormat="1" applyFont="1" applyFill="1" applyBorder="1" applyAlignment="1">
      <alignment horizontal="right" vertical="center"/>
    </xf>
    <xf numFmtId="20" fontId="27" fillId="5" borderId="0" xfId="0" quotePrefix="1" applyNumberFormat="1" applyFont="1" applyFill="1" applyAlignment="1">
      <alignment horizontal="left" vertical="center" indent="2"/>
    </xf>
    <xf numFmtId="20" fontId="23" fillId="0" borderId="0" xfId="0" quotePrefix="1" applyNumberFormat="1" applyFont="1" applyAlignment="1">
      <alignment horizontal="left" vertical="center" indent="1"/>
    </xf>
    <xf numFmtId="20" fontId="23" fillId="0" borderId="0" xfId="0" quotePrefix="1" applyNumberFormat="1" applyFont="1" applyAlignment="1">
      <alignment horizontal="left" vertical="center"/>
    </xf>
    <xf numFmtId="20" fontId="23" fillId="9" borderId="20" xfId="0" quotePrefix="1" applyNumberFormat="1" applyFont="1" applyFill="1" applyBorder="1" applyAlignment="1">
      <alignment horizontal="left" vertical="center"/>
    </xf>
    <xf numFmtId="20" fontId="23" fillId="9" borderId="21" xfId="0" quotePrefix="1" applyNumberFormat="1" applyFont="1" applyFill="1" applyBorder="1" applyAlignment="1">
      <alignment horizontal="left" vertical="center" indent="1"/>
    </xf>
    <xf numFmtId="20" fontId="23" fillId="0" borderId="21" xfId="0" quotePrefix="1" applyNumberFormat="1" applyFont="1" applyBorder="1" applyAlignment="1">
      <alignment horizontal="right" vertical="center"/>
    </xf>
    <xf numFmtId="0" fontId="23" fillId="5" borderId="0" xfId="0" applyFont="1" applyFill="1" applyAlignment="1">
      <alignment horizontal="right" vertical="center"/>
    </xf>
    <xf numFmtId="0" fontId="22" fillId="5" borderId="0" xfId="0" applyFont="1" applyFill="1" applyAlignment="1">
      <alignment horizontal="left" vertical="center" indent="1"/>
    </xf>
    <xf numFmtId="20" fontId="23" fillId="5" borderId="0" xfId="0" quotePrefix="1" applyNumberFormat="1" applyFont="1" applyFill="1" applyAlignment="1">
      <alignment horizontal="left" vertical="center" indent="1"/>
    </xf>
    <xf numFmtId="0" fontId="23" fillId="8" borderId="0" xfId="0" applyFont="1" applyFill="1" applyAlignment="1">
      <alignment horizontal="right" vertical="center"/>
    </xf>
    <xf numFmtId="20" fontId="21" fillId="8" borderId="13" xfId="0" quotePrefix="1" applyNumberFormat="1" applyFont="1" applyFill="1" applyBorder="1" applyAlignment="1">
      <alignment horizontal="left" vertical="center" indent="1"/>
    </xf>
    <xf numFmtId="20" fontId="23" fillId="8" borderId="0" xfId="0" quotePrefix="1" applyNumberFormat="1" applyFont="1" applyFill="1" applyAlignment="1">
      <alignment horizontal="right" vertical="center"/>
    </xf>
    <xf numFmtId="0" fontId="23" fillId="8" borderId="0" xfId="0" quotePrefix="1" applyFont="1" applyFill="1" applyAlignment="1">
      <alignment horizontal="right" vertical="center"/>
    </xf>
    <xf numFmtId="20" fontId="25" fillId="8" borderId="0" xfId="0" quotePrefix="1" applyNumberFormat="1" applyFont="1" applyFill="1" applyAlignment="1">
      <alignment horizontal="right" vertical="center"/>
    </xf>
    <xf numFmtId="20" fontId="25" fillId="8" borderId="21" xfId="0" quotePrefix="1" applyNumberFormat="1" applyFont="1" applyFill="1" applyBorder="1" applyAlignment="1">
      <alignment horizontal="right" vertical="center"/>
    </xf>
    <xf numFmtId="20" fontId="25" fillId="0" borderId="21" xfId="0" applyNumberFormat="1" applyFont="1" applyBorder="1" applyAlignment="1">
      <alignment horizontal="left" vertical="center" indent="1"/>
    </xf>
    <xf numFmtId="20" fontId="21" fillId="0" borderId="21" xfId="0" quotePrefix="1" applyNumberFormat="1" applyFont="1" applyBorder="1" applyAlignment="1">
      <alignment horizontal="left" vertical="center" indent="1"/>
    </xf>
    <xf numFmtId="0" fontId="25" fillId="9" borderId="21" xfId="0" applyFont="1" applyFill="1" applyBorder="1" applyAlignment="1">
      <alignment horizontal="left" vertical="center"/>
    </xf>
    <xf numFmtId="0" fontId="22" fillId="9" borderId="26" xfId="0" quotePrefix="1" applyFont="1" applyFill="1" applyBorder="1" applyAlignment="1">
      <alignment horizontal="left" vertical="center" indent="1"/>
    </xf>
    <xf numFmtId="0" fontId="23" fillId="0" borderId="21" xfId="0" applyFont="1" applyBorder="1" applyAlignment="1">
      <alignment horizontal="right" vertical="center"/>
    </xf>
    <xf numFmtId="0" fontId="23" fillId="9" borderId="21" xfId="0" applyFont="1" applyFill="1" applyBorder="1" applyAlignment="1">
      <alignment vertical="center"/>
    </xf>
    <xf numFmtId="20" fontId="23" fillId="12" borderId="21" xfId="0" quotePrefix="1" applyNumberFormat="1" applyFont="1" applyFill="1" applyBorder="1" applyAlignment="1">
      <alignment horizontal="right" vertical="center"/>
    </xf>
    <xf numFmtId="20" fontId="21" fillId="12" borderId="21" xfId="0" applyNumberFormat="1" applyFont="1" applyFill="1" applyBorder="1" applyAlignment="1">
      <alignment horizontal="left" vertical="center" indent="1"/>
    </xf>
    <xf numFmtId="20" fontId="21" fillId="0" borderId="21" xfId="0" applyNumberFormat="1" applyFont="1" applyBorder="1" applyAlignment="1">
      <alignment horizontal="left" vertical="center"/>
    </xf>
    <xf numFmtId="0" fontId="23" fillId="12" borderId="0" xfId="0" applyFont="1" applyFill="1" applyAlignment="1">
      <alignment horizontal="right" vertical="center"/>
    </xf>
    <xf numFmtId="0" fontId="22" fillId="12" borderId="0" xfId="0" applyFont="1" applyFill="1" applyAlignment="1">
      <alignment horizontal="center" vertical="center"/>
    </xf>
    <xf numFmtId="20" fontId="23" fillId="0" borderId="21" xfId="0" applyNumberFormat="1" applyFont="1" applyBorder="1" applyAlignment="1">
      <alignment horizontal="left" vertical="center" indent="1"/>
    </xf>
    <xf numFmtId="0" fontId="30" fillId="0" borderId="21" xfId="0" applyFont="1" applyBorder="1" applyAlignment="1">
      <alignment horizontal="right" vertical="center"/>
    </xf>
    <xf numFmtId="0" fontId="23" fillId="10" borderId="20" xfId="0" applyFont="1" applyFill="1" applyBorder="1" applyAlignment="1">
      <alignment horizontal="right" vertical="center"/>
    </xf>
    <xf numFmtId="20" fontId="23" fillId="8" borderId="27" xfId="0" applyNumberFormat="1" applyFont="1" applyFill="1" applyBorder="1" applyAlignment="1">
      <alignment horizontal="left" vertical="center" indent="2"/>
    </xf>
    <xf numFmtId="0" fontId="30" fillId="0" borderId="21" xfId="0" applyFont="1" applyBorder="1" applyAlignment="1">
      <alignment horizontal="left" vertical="center"/>
    </xf>
    <xf numFmtId="0" fontId="0" fillId="0" borderId="21" xfId="0" applyBorder="1" applyAlignment="1">
      <alignment horizontal="right" vertical="center"/>
    </xf>
    <xf numFmtId="0" fontId="0" fillId="0" borderId="21" xfId="0" applyBorder="1" applyAlignment="1">
      <alignment vertical="center"/>
    </xf>
    <xf numFmtId="20" fontId="25" fillId="9" borderId="20" xfId="0" applyNumberFormat="1" applyFont="1" applyFill="1" applyBorder="1" applyAlignment="1">
      <alignment horizontal="left" vertical="center" indent="1"/>
    </xf>
    <xf numFmtId="20" fontId="23" fillId="5" borderId="0" xfId="0" quotePrefix="1" applyNumberFormat="1" applyFont="1" applyFill="1" applyAlignment="1">
      <alignment horizontal="right" vertical="center"/>
    </xf>
    <xf numFmtId="20" fontId="23" fillId="9" borderId="0" xfId="0" applyNumberFormat="1" applyFont="1" applyFill="1" applyAlignment="1">
      <alignment horizontal="left" vertical="center" indent="1"/>
    </xf>
    <xf numFmtId="0" fontId="27" fillId="0" borderId="0" xfId="0" applyFont="1" applyAlignment="1">
      <alignment horizontal="right" vertical="center"/>
    </xf>
    <xf numFmtId="20" fontId="27" fillId="0" borderId="21" xfId="0" applyNumberFormat="1" applyFont="1" applyBorder="1" applyAlignment="1">
      <alignment horizontal="left" vertical="center" indent="2"/>
    </xf>
    <xf numFmtId="20" fontId="25" fillId="0" borderId="25" xfId="0" quotePrefix="1" applyNumberFormat="1" applyFont="1" applyBorder="1" applyAlignment="1">
      <alignment horizontal="right" vertical="center"/>
    </xf>
    <xf numFmtId="20" fontId="27" fillId="5" borderId="0" xfId="0" applyNumberFormat="1" applyFont="1" applyFill="1" applyAlignment="1">
      <alignment horizontal="left" vertical="center" indent="1"/>
    </xf>
    <xf numFmtId="20" fontId="23" fillId="0" borderId="21" xfId="0" quotePrefix="1" applyNumberFormat="1" applyFont="1" applyBorder="1" applyAlignment="1">
      <alignment horizontal="left" vertical="center" indent="1"/>
    </xf>
    <xf numFmtId="20" fontId="25" fillId="9" borderId="21" xfId="0" applyNumberFormat="1" applyFont="1" applyFill="1" applyBorder="1" applyAlignment="1">
      <alignment horizontal="left" vertical="center" indent="1"/>
    </xf>
    <xf numFmtId="20" fontId="25" fillId="8" borderId="21" xfId="0" quotePrefix="1" applyNumberFormat="1" applyFont="1" applyFill="1" applyBorder="1" applyAlignment="1">
      <alignment horizontal="left" vertical="center"/>
    </xf>
    <xf numFmtId="0" fontId="23" fillId="0" borderId="21" xfId="0" applyFont="1" applyBorder="1" applyAlignment="1">
      <alignment horizontal="center" vertical="center"/>
    </xf>
    <xf numFmtId="0" fontId="25" fillId="8" borderId="21" xfId="0" quotePrefix="1" applyFont="1" applyFill="1" applyBorder="1" applyAlignment="1">
      <alignment horizontal="left" vertical="center"/>
    </xf>
    <xf numFmtId="0" fontId="25" fillId="8" borderId="21" xfId="0" applyFont="1" applyFill="1" applyBorder="1" applyAlignment="1">
      <alignment vertical="center"/>
    </xf>
    <xf numFmtId="0" fontId="23" fillId="0" borderId="21" xfId="0" quotePrefix="1" applyFont="1" applyBorder="1" applyAlignment="1">
      <alignment horizontal="left" vertical="center" indent="1"/>
    </xf>
    <xf numFmtId="20" fontId="23" fillId="8" borderId="21" xfId="0" quotePrefix="1" applyNumberFormat="1" applyFont="1" applyFill="1" applyBorder="1" applyAlignment="1">
      <alignment horizontal="left" vertical="center"/>
    </xf>
    <xf numFmtId="0" fontId="22" fillId="8" borderId="0" xfId="0" applyFont="1" applyFill="1" applyAlignment="1">
      <alignment horizontal="left" vertical="center"/>
    </xf>
    <xf numFmtId="0" fontId="23" fillId="0" borderId="21" xfId="0" quotePrefix="1" applyFont="1" applyBorder="1" applyAlignment="1">
      <alignment horizontal="left" vertical="center"/>
    </xf>
    <xf numFmtId="0" fontId="23" fillId="8" borderId="28" xfId="0" quotePrefix="1" applyFont="1" applyFill="1" applyBorder="1" applyAlignment="1">
      <alignment horizontal="left" vertical="center"/>
    </xf>
    <xf numFmtId="0" fontId="34" fillId="8" borderId="29" xfId="0" applyFont="1" applyFill="1" applyBorder="1" applyAlignment="1">
      <alignment horizontal="left" vertical="center" indent="1"/>
    </xf>
    <xf numFmtId="0" fontId="25" fillId="8" borderId="0" xfId="0" applyFont="1" applyFill="1" applyAlignment="1">
      <alignment horizontal="left" vertical="center" indent="1"/>
    </xf>
    <xf numFmtId="20" fontId="23" fillId="5" borderId="0" xfId="0" quotePrefix="1" applyNumberFormat="1" applyFont="1" applyFill="1" applyAlignment="1">
      <alignment horizontal="left" vertical="center"/>
    </xf>
    <xf numFmtId="0" fontId="23" fillId="8" borderId="21" xfId="0" applyFont="1" applyFill="1" applyBorder="1" applyAlignment="1">
      <alignment horizontal="left" vertical="center"/>
    </xf>
    <xf numFmtId="0" fontId="23" fillId="8" borderId="21" xfId="0" applyFont="1" applyFill="1" applyBorder="1" applyAlignment="1">
      <alignment horizontal="left" vertical="center" indent="1"/>
    </xf>
    <xf numFmtId="0" fontId="23" fillId="5" borderId="0" xfId="0" quotePrefix="1" applyFont="1" applyFill="1" applyAlignment="1">
      <alignment horizontal="left" vertical="center"/>
    </xf>
    <xf numFmtId="20" fontId="24" fillId="0" borderId="0" xfId="0" quotePrefix="1" applyNumberFormat="1" applyFont="1" applyAlignment="1">
      <alignment horizontal="center" vertical="center"/>
    </xf>
    <xf numFmtId="0" fontId="23" fillId="0" borderId="20" xfId="0" quotePrefix="1" applyFont="1" applyBorder="1" applyAlignment="1">
      <alignment horizontal="left" vertical="center"/>
    </xf>
    <xf numFmtId="0" fontId="23" fillId="0" borderId="21" xfId="0" quotePrefix="1" applyFont="1" applyBorder="1" applyAlignment="1">
      <alignment vertical="center"/>
    </xf>
    <xf numFmtId="0" fontId="25" fillId="5" borderId="21" xfId="0" quotePrefix="1" applyFont="1" applyFill="1" applyBorder="1" applyAlignment="1">
      <alignment horizontal="left" vertical="center" indent="1"/>
    </xf>
    <xf numFmtId="0" fontId="23" fillId="8" borderId="20" xfId="0" applyFont="1" applyFill="1" applyBorder="1" applyAlignment="1">
      <alignment horizontal="left" vertical="center" indent="2"/>
    </xf>
    <xf numFmtId="0" fontId="23" fillId="0" borderId="20" xfId="0" applyFont="1" applyBorder="1" applyAlignment="1">
      <alignment horizontal="left" vertical="center"/>
    </xf>
    <xf numFmtId="0" fontId="27" fillId="0" borderId="21" xfId="0" quotePrefix="1" applyFont="1" applyBorder="1" applyAlignment="1">
      <alignment horizontal="left" vertical="center"/>
    </xf>
    <xf numFmtId="0" fontId="23" fillId="0" borderId="21" xfId="0" applyFont="1" applyBorder="1" applyAlignment="1">
      <alignment horizontal="left" vertical="center" indent="1"/>
    </xf>
    <xf numFmtId="0" fontId="23" fillId="9" borderId="21" xfId="0" quotePrefix="1" applyFont="1" applyFill="1" applyBorder="1" applyAlignment="1">
      <alignment horizontal="left" vertical="center"/>
    </xf>
    <xf numFmtId="0" fontId="22" fillId="9" borderId="21" xfId="0" applyFont="1" applyFill="1" applyBorder="1" applyAlignment="1">
      <alignment horizontal="left" vertical="center" indent="1"/>
    </xf>
    <xf numFmtId="0" fontId="23" fillId="9" borderId="21" xfId="0" applyFont="1" applyFill="1" applyBorder="1" applyAlignment="1">
      <alignment horizontal="left" vertical="center"/>
    </xf>
    <xf numFmtId="0" fontId="27" fillId="0" borderId="20" xfId="0" quotePrefix="1" applyFont="1" applyBorder="1" applyAlignment="1">
      <alignment horizontal="left" vertical="center"/>
    </xf>
    <xf numFmtId="0" fontId="23" fillId="9" borderId="20" xfId="0" quotePrefix="1" applyFont="1" applyFill="1" applyBorder="1" applyAlignment="1">
      <alignment horizontal="left" vertical="center" indent="1"/>
    </xf>
    <xf numFmtId="0" fontId="14" fillId="9" borderId="20" xfId="0" applyFont="1" applyFill="1" applyBorder="1" applyAlignment="1">
      <alignment horizontal="left" vertical="center"/>
    </xf>
    <xf numFmtId="0" fontId="25" fillId="9" borderId="20" xfId="0" quotePrefix="1" applyFont="1" applyFill="1" applyBorder="1" applyAlignment="1">
      <alignment horizontal="left" vertical="center" indent="2"/>
    </xf>
    <xf numFmtId="0" fontId="23" fillId="9" borderId="20" xfId="0" quotePrefix="1" applyFont="1" applyFill="1" applyBorder="1" applyAlignment="1">
      <alignment horizontal="left" vertical="center" indent="2"/>
    </xf>
    <xf numFmtId="0" fontId="23" fillId="9" borderId="20" xfId="0" applyFont="1" applyFill="1" applyBorder="1" applyAlignment="1">
      <alignment horizontal="left" vertical="center"/>
    </xf>
    <xf numFmtId="0" fontId="23" fillId="9" borderId="20" xfId="0" applyFont="1" applyFill="1" applyBorder="1" applyAlignment="1">
      <alignment vertical="center"/>
    </xf>
    <xf numFmtId="0" fontId="23" fillId="0" borderId="21" xfId="0" applyFont="1" applyBorder="1" applyAlignment="1">
      <alignment horizontal="left" vertical="center"/>
    </xf>
    <xf numFmtId="0" fontId="23" fillId="9" borderId="21" xfId="0" applyFont="1" applyFill="1" applyBorder="1" applyAlignment="1">
      <alignment horizontal="left" vertical="center" indent="1"/>
    </xf>
    <xf numFmtId="0" fontId="27" fillId="9" borderId="20" xfId="0" quotePrefix="1" applyFont="1" applyFill="1" applyBorder="1" applyAlignment="1">
      <alignment horizontal="left" vertical="center"/>
    </xf>
    <xf numFmtId="0" fontId="23" fillId="9" borderId="20" xfId="0" applyFont="1" applyFill="1" applyBorder="1" applyAlignment="1">
      <alignment horizontal="left" vertical="center" indent="1"/>
    </xf>
    <xf numFmtId="0" fontId="25" fillId="9" borderId="21" xfId="0" quotePrefix="1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5" fillId="9" borderId="20" xfId="0" applyFont="1" applyFill="1" applyBorder="1" applyAlignment="1">
      <alignment horizontal="left" vertical="center" indent="1"/>
    </xf>
    <xf numFmtId="0" fontId="29" fillId="10" borderId="21" xfId="0" applyFont="1" applyFill="1" applyBorder="1" applyAlignment="1">
      <alignment horizontal="left" vertical="center" indent="1"/>
    </xf>
    <xf numFmtId="20" fontId="24" fillId="7" borderId="21" xfId="0" applyNumberFormat="1" applyFont="1" applyFill="1" applyBorder="1" applyAlignment="1">
      <alignment horizontal="left" vertical="center"/>
    </xf>
    <xf numFmtId="0" fontId="23" fillId="7" borderId="21" xfId="0" applyFont="1" applyFill="1" applyBorder="1" applyAlignment="1">
      <alignment vertical="center"/>
    </xf>
    <xf numFmtId="0" fontId="23" fillId="7" borderId="21" xfId="0" quotePrefix="1" applyFont="1" applyFill="1" applyBorder="1" applyAlignment="1">
      <alignment horizontal="left" vertical="center"/>
    </xf>
    <xf numFmtId="20" fontId="21" fillId="7" borderId="26" xfId="0" applyNumberFormat="1" applyFont="1" applyFill="1" applyBorder="1" applyAlignment="1">
      <alignment horizontal="left" vertical="center" indent="1"/>
    </xf>
    <xf numFmtId="0" fontId="14" fillId="0" borderId="21" xfId="0" applyFont="1" applyBorder="1" applyAlignment="1">
      <alignment horizontal="left" vertical="center" indent="1"/>
    </xf>
    <xf numFmtId="0" fontId="21" fillId="0" borderId="26" xfId="0" applyFont="1" applyBorder="1" applyAlignment="1">
      <alignment horizontal="center" vertical="center"/>
    </xf>
    <xf numFmtId="0" fontId="21" fillId="0" borderId="21" xfId="0" applyFont="1" applyBorder="1" applyAlignment="1">
      <alignment horizontal="left" vertical="center"/>
    </xf>
    <xf numFmtId="0" fontId="25" fillId="0" borderId="0" xfId="0" quotePrefix="1" applyFont="1" applyAlignment="1">
      <alignment horizontal="left" vertical="center" indent="1"/>
    </xf>
    <xf numFmtId="0" fontId="23" fillId="13" borderId="0" xfId="0" quotePrefix="1" applyFont="1" applyFill="1" applyAlignment="1">
      <alignment horizontal="right" vertical="center"/>
    </xf>
    <xf numFmtId="20" fontId="21" fillId="13" borderId="13" xfId="0" quotePrefix="1" applyNumberFormat="1" applyFont="1" applyFill="1" applyBorder="1" applyAlignment="1">
      <alignment horizontal="left" vertical="center"/>
    </xf>
    <xf numFmtId="0" fontId="23" fillId="13" borderId="20" xfId="0" applyFont="1" applyFill="1" applyBorder="1" applyAlignment="1">
      <alignment horizontal="right" vertical="center"/>
    </xf>
    <xf numFmtId="20" fontId="21" fillId="13" borderId="22" xfId="0" quotePrefix="1" applyNumberFormat="1" applyFont="1" applyFill="1" applyBorder="1" applyAlignment="1">
      <alignment horizontal="center" vertical="center"/>
    </xf>
    <xf numFmtId="20" fontId="25" fillId="9" borderId="20" xfId="0" quotePrefix="1" applyNumberFormat="1" applyFont="1" applyFill="1" applyBorder="1" applyAlignment="1">
      <alignment horizontal="right" vertical="center"/>
    </xf>
    <xf numFmtId="0" fontId="25" fillId="5" borderId="20" xfId="0" quotePrefix="1" applyFont="1" applyFill="1" applyBorder="1" applyAlignment="1">
      <alignment horizontal="right" vertical="center"/>
    </xf>
    <xf numFmtId="20" fontId="25" fillId="5" borderId="20" xfId="0" quotePrefix="1" applyNumberFormat="1" applyFont="1" applyFill="1" applyBorder="1" applyAlignment="1">
      <alignment horizontal="right" vertical="center"/>
    </xf>
    <xf numFmtId="20" fontId="24" fillId="0" borderId="30" xfId="0" applyNumberFormat="1" applyFont="1" applyBorder="1" applyAlignment="1">
      <alignment horizontal="left" vertical="center"/>
    </xf>
    <xf numFmtId="0" fontId="23" fillId="0" borderId="0" xfId="0" applyFont="1" applyAlignment="1">
      <alignment horizontal="left" vertical="center" indent="6"/>
    </xf>
    <xf numFmtId="0" fontId="25" fillId="8" borderId="0" xfId="0" applyFont="1" applyFill="1" applyAlignment="1">
      <alignment horizontal="left" vertical="center"/>
    </xf>
    <xf numFmtId="0" fontId="25" fillId="9" borderId="0" xfId="0" quotePrefix="1" applyFont="1" applyFill="1" applyAlignment="1">
      <alignment horizontal="left" vertical="center"/>
    </xf>
    <xf numFmtId="0" fontId="25" fillId="9" borderId="20" xfId="0" quotePrefix="1" applyFont="1" applyFill="1" applyBorder="1" applyAlignment="1">
      <alignment horizontal="left" vertical="center"/>
    </xf>
    <xf numFmtId="0" fontId="23" fillId="9" borderId="0" xfId="0" quotePrefix="1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23" fillId="9" borderId="20" xfId="0" quotePrefix="1" applyFont="1" applyFill="1" applyBorder="1" applyAlignment="1">
      <alignment horizontal="left" vertical="center"/>
    </xf>
    <xf numFmtId="0" fontId="27" fillId="9" borderId="0" xfId="0" applyFont="1" applyFill="1" applyAlignment="1">
      <alignment horizontal="left" vertical="center"/>
    </xf>
    <xf numFmtId="0" fontId="25" fillId="10" borderId="21" xfId="0" quotePrefix="1" applyFont="1" applyFill="1" applyBorder="1" applyAlignment="1">
      <alignment horizontal="left" vertical="center"/>
    </xf>
    <xf numFmtId="0" fontId="27" fillId="10" borderId="0" xfId="0" quotePrefix="1" applyFont="1" applyFill="1" applyAlignment="1">
      <alignment horizontal="left" vertical="center"/>
    </xf>
    <xf numFmtId="0" fontId="23" fillId="0" borderId="22" xfId="0" applyFont="1" applyBorder="1" applyAlignment="1">
      <alignment horizontal="left" vertical="center" indent="1"/>
    </xf>
    <xf numFmtId="20" fontId="23" fillId="7" borderId="21" xfId="0" quotePrefix="1" applyNumberFormat="1" applyFont="1" applyFill="1" applyBorder="1" applyAlignment="1">
      <alignment horizontal="left" vertical="center"/>
    </xf>
    <xf numFmtId="0" fontId="21" fillId="7" borderId="21" xfId="0" applyFont="1" applyFill="1" applyBorder="1" applyAlignment="1">
      <alignment horizontal="left" vertical="center" indent="1"/>
    </xf>
    <xf numFmtId="20" fontId="23" fillId="0" borderId="26" xfId="0" quotePrefix="1" applyNumberFormat="1" applyFont="1" applyBorder="1" applyAlignment="1">
      <alignment horizontal="left" vertical="center"/>
    </xf>
    <xf numFmtId="20" fontId="23" fillId="0" borderId="21" xfId="0" quotePrefix="1" applyNumberFormat="1" applyFont="1" applyBorder="1" applyAlignment="1">
      <alignment horizontal="center" vertical="center"/>
    </xf>
    <xf numFmtId="20" fontId="23" fillId="0" borderId="21" xfId="0" quotePrefix="1" applyNumberFormat="1" applyFont="1" applyBorder="1" applyAlignment="1">
      <alignment horizontal="left" vertical="center"/>
    </xf>
    <xf numFmtId="0" fontId="23" fillId="7" borderId="20" xfId="0" applyFont="1" applyFill="1" applyBorder="1" applyAlignment="1">
      <alignment horizontal="left" vertical="center"/>
    </xf>
    <xf numFmtId="0" fontId="23" fillId="7" borderId="20" xfId="0" applyFont="1" applyFill="1" applyBorder="1" applyAlignment="1">
      <alignment vertical="center"/>
    </xf>
    <xf numFmtId="20" fontId="24" fillId="7" borderId="31" xfId="0" applyNumberFormat="1" applyFont="1" applyFill="1" applyBorder="1" applyAlignment="1">
      <alignment horizontal="left" vertical="center"/>
    </xf>
    <xf numFmtId="0" fontId="23" fillId="7" borderId="31" xfId="0" applyFont="1" applyFill="1" applyBorder="1" applyAlignment="1">
      <alignment vertical="center"/>
    </xf>
    <xf numFmtId="0" fontId="23" fillId="0" borderId="31" xfId="0" applyFont="1" applyBorder="1" applyAlignment="1">
      <alignment vertical="center"/>
    </xf>
    <xf numFmtId="20" fontId="24" fillId="0" borderId="31" xfId="0" applyNumberFormat="1" applyFont="1" applyBorder="1" applyAlignment="1">
      <alignment horizontal="left" vertical="center"/>
    </xf>
    <xf numFmtId="0" fontId="23" fillId="0" borderId="31" xfId="0" applyFont="1" applyBorder="1" applyAlignment="1">
      <alignment horizontal="left" vertical="center"/>
    </xf>
    <xf numFmtId="20" fontId="24" fillId="7" borderId="20" xfId="0" applyNumberFormat="1" applyFont="1" applyFill="1" applyBorder="1" applyAlignment="1">
      <alignment horizontal="left" vertical="center"/>
    </xf>
    <xf numFmtId="20" fontId="24" fillId="0" borderId="20" xfId="0" applyNumberFormat="1" applyFont="1" applyBorder="1" applyAlignment="1">
      <alignment horizontal="left" vertical="center"/>
    </xf>
    <xf numFmtId="0" fontId="23" fillId="11" borderId="31" xfId="0" applyFont="1" applyFill="1" applyBorder="1" applyAlignment="1">
      <alignment vertical="center"/>
    </xf>
    <xf numFmtId="0" fontId="14" fillId="7" borderId="20" xfId="0" applyFont="1" applyFill="1" applyBorder="1" applyAlignment="1">
      <alignment horizontal="left" vertical="center" indent="1"/>
    </xf>
    <xf numFmtId="20" fontId="23" fillId="0" borderId="20" xfId="0" applyNumberFormat="1" applyFont="1" applyBorder="1" applyAlignment="1">
      <alignment horizontal="center" vertical="center"/>
    </xf>
    <xf numFmtId="0" fontId="22" fillId="8" borderId="32" xfId="0" applyFont="1" applyFill="1" applyBorder="1" applyAlignment="1">
      <alignment vertical="center"/>
    </xf>
    <xf numFmtId="0" fontId="27" fillId="5" borderId="20" xfId="0" quotePrefix="1" applyFont="1" applyFill="1" applyBorder="1" applyAlignment="1">
      <alignment horizontal="left" vertical="center"/>
    </xf>
    <xf numFmtId="0" fontId="25" fillId="5" borderId="20" xfId="0" quotePrefix="1" applyFont="1" applyFill="1" applyBorder="1" applyAlignment="1">
      <alignment horizontal="left" vertical="center" indent="1"/>
    </xf>
    <xf numFmtId="0" fontId="23" fillId="9" borderId="21" xfId="0" quotePrefix="1" applyFont="1" applyFill="1" applyBorder="1" applyAlignment="1">
      <alignment horizontal="left" vertical="center" indent="1"/>
    </xf>
    <xf numFmtId="0" fontId="27" fillId="10" borderId="20" xfId="0" quotePrefix="1" applyFont="1" applyFill="1" applyBorder="1" applyAlignment="1">
      <alignment horizontal="left" vertical="center"/>
    </xf>
    <xf numFmtId="0" fontId="25" fillId="0" borderId="21" xfId="0" applyFont="1" applyBorder="1" applyAlignment="1">
      <alignment horizontal="left" vertical="center" indent="1"/>
    </xf>
    <xf numFmtId="20" fontId="23" fillId="10" borderId="20" xfId="0" quotePrefix="1" applyNumberFormat="1" applyFont="1" applyFill="1" applyBorder="1" applyAlignment="1">
      <alignment horizontal="right" vertical="center"/>
    </xf>
    <xf numFmtId="0" fontId="23" fillId="0" borderId="20" xfId="0" applyFont="1" applyBorder="1" applyAlignment="1">
      <alignment horizontal="center" vertical="center"/>
    </xf>
    <xf numFmtId="0" fontId="23" fillId="12" borderId="20" xfId="0" applyFont="1" applyFill="1" applyBorder="1" applyAlignment="1">
      <alignment horizontal="right" vertical="center"/>
    </xf>
    <xf numFmtId="20" fontId="23" fillId="12" borderId="20" xfId="0" applyNumberFormat="1" applyFont="1" applyFill="1" applyBorder="1" applyAlignment="1">
      <alignment horizontal="center" vertical="center"/>
    </xf>
    <xf numFmtId="0" fontId="23" fillId="9" borderId="20" xfId="0" applyFont="1" applyFill="1" applyBorder="1" applyAlignment="1">
      <alignment horizontal="right" vertical="center"/>
    </xf>
    <xf numFmtId="20" fontId="23" fillId="0" borderId="20" xfId="0" applyNumberFormat="1" applyFont="1" applyBorder="1" applyAlignment="1">
      <alignment horizontal="left" vertical="center" indent="1"/>
    </xf>
    <xf numFmtId="20" fontId="23" fillId="5" borderId="20" xfId="0" applyNumberFormat="1" applyFont="1" applyFill="1" applyBorder="1" applyAlignment="1">
      <alignment horizontal="left" vertical="center" indent="1"/>
    </xf>
    <xf numFmtId="0" fontId="27" fillId="0" borderId="21" xfId="0" applyFont="1" applyBorder="1" applyAlignment="1">
      <alignment vertical="center"/>
    </xf>
    <xf numFmtId="20" fontId="21" fillId="0" borderId="33" xfId="0" applyNumberFormat="1" applyFont="1" applyBorder="1" applyAlignment="1">
      <alignment horizontal="right" vertical="center"/>
    </xf>
    <xf numFmtId="20" fontId="23" fillId="8" borderId="21" xfId="0" quotePrefix="1" applyNumberFormat="1" applyFont="1" applyFill="1" applyBorder="1" applyAlignment="1">
      <alignment horizontal="right" vertical="center"/>
    </xf>
    <xf numFmtId="20" fontId="23" fillId="8" borderId="27" xfId="0" applyNumberFormat="1" applyFont="1" applyFill="1" applyBorder="1" applyAlignment="1">
      <alignment horizontal="left" vertical="center" indent="1"/>
    </xf>
    <xf numFmtId="20" fontId="27" fillId="0" borderId="21" xfId="0" quotePrefix="1" applyNumberFormat="1" applyFont="1" applyBorder="1" applyAlignment="1">
      <alignment horizontal="right" vertical="center"/>
    </xf>
    <xf numFmtId="20" fontId="25" fillId="5" borderId="21" xfId="0" quotePrefix="1" applyNumberFormat="1" applyFont="1" applyFill="1" applyBorder="1" applyAlignment="1">
      <alignment horizontal="right" vertical="center"/>
    </xf>
    <xf numFmtId="20" fontId="25" fillId="5" borderId="21" xfId="0" quotePrefix="1" applyNumberFormat="1" applyFont="1" applyFill="1" applyBorder="1" applyAlignment="1">
      <alignment horizontal="left" vertical="center" indent="1"/>
    </xf>
    <xf numFmtId="0" fontId="30" fillId="11" borderId="20" xfId="0" applyFont="1" applyFill="1" applyBorder="1" applyAlignment="1">
      <alignment horizontal="right" vertical="center"/>
    </xf>
    <xf numFmtId="20" fontId="23" fillId="11" borderId="20" xfId="0" quotePrefix="1" applyNumberFormat="1" applyFont="1" applyFill="1" applyBorder="1" applyAlignment="1">
      <alignment horizontal="left" vertical="center"/>
    </xf>
    <xf numFmtId="20" fontId="26" fillId="8" borderId="32" xfId="0" applyNumberFormat="1" applyFont="1" applyFill="1" applyBorder="1" applyAlignment="1">
      <alignment horizontal="center" vertical="center"/>
    </xf>
    <xf numFmtId="0" fontId="23" fillId="8" borderId="20" xfId="0" quotePrefix="1" applyFont="1" applyFill="1" applyBorder="1" applyAlignment="1">
      <alignment horizontal="right" vertical="center"/>
    </xf>
    <xf numFmtId="20" fontId="23" fillId="5" borderId="21" xfId="0" quotePrefix="1" applyNumberFormat="1" applyFont="1" applyFill="1" applyBorder="1" applyAlignment="1">
      <alignment horizontal="left" vertical="center" indent="1"/>
    </xf>
    <xf numFmtId="20" fontId="23" fillId="0" borderId="26" xfId="0" quotePrefix="1" applyNumberFormat="1" applyFont="1" applyBorder="1" applyAlignment="1">
      <alignment horizontal="left" vertical="center" indent="1"/>
    </xf>
    <xf numFmtId="20" fontId="23" fillId="0" borderId="26" xfId="0" quotePrefix="1" applyNumberFormat="1" applyFont="1" applyBorder="1" applyAlignment="1">
      <alignment horizontal="center" vertical="center"/>
    </xf>
    <xf numFmtId="0" fontId="25" fillId="5" borderId="21" xfId="0" quotePrefix="1" applyFont="1" applyFill="1" applyBorder="1" applyAlignment="1">
      <alignment horizontal="left" vertical="center"/>
    </xf>
    <xf numFmtId="0" fontId="25" fillId="8" borderId="34" xfId="0" applyFont="1" applyFill="1" applyBorder="1" applyAlignment="1">
      <alignment vertical="center"/>
    </xf>
    <xf numFmtId="20" fontId="23" fillId="5" borderId="0" xfId="0" quotePrefix="1" applyNumberFormat="1" applyFont="1" applyFill="1" applyAlignment="1">
      <alignment horizontal="left" vertical="center" indent="2"/>
    </xf>
    <xf numFmtId="20" fontId="23" fillId="5" borderId="20" xfId="0" quotePrefix="1" applyNumberFormat="1" applyFont="1" applyFill="1" applyBorder="1" applyAlignment="1">
      <alignment horizontal="right" vertical="center"/>
    </xf>
    <xf numFmtId="20" fontId="25" fillId="9" borderId="21" xfId="0" quotePrefix="1" applyNumberFormat="1" applyFont="1" applyFill="1" applyBorder="1" applyAlignment="1">
      <alignment horizontal="left" vertical="center" indent="1"/>
    </xf>
    <xf numFmtId="20" fontId="27" fillId="9" borderId="0" xfId="0" quotePrefix="1" applyNumberFormat="1" applyFont="1" applyFill="1" applyAlignment="1">
      <alignment horizontal="left" vertical="center" indent="2"/>
    </xf>
    <xf numFmtId="20" fontId="25" fillId="9" borderId="20" xfId="0" quotePrefix="1" applyNumberFormat="1" applyFont="1" applyFill="1" applyBorder="1" applyAlignment="1">
      <alignment horizontal="left" vertical="center" indent="1"/>
    </xf>
    <xf numFmtId="0" fontId="25" fillId="9" borderId="0" xfId="0" quotePrefix="1" applyFont="1" applyFill="1" applyAlignment="1">
      <alignment horizontal="left" vertical="center" indent="1"/>
    </xf>
    <xf numFmtId="0" fontId="14" fillId="0" borderId="21" xfId="0" applyFont="1" applyBorder="1" applyAlignment="1">
      <alignment horizontal="left" vertical="center"/>
    </xf>
    <xf numFmtId="20" fontId="23" fillId="10" borderId="0" xfId="0" quotePrefix="1" applyNumberFormat="1" applyFont="1" applyFill="1" applyAlignment="1">
      <alignment horizontal="right" vertical="center"/>
    </xf>
    <xf numFmtId="0" fontId="21" fillId="10" borderId="0" xfId="0" applyFont="1" applyFill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5" fontId="9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14" borderId="35" xfId="0" applyFont="1" applyFill="1" applyBorder="1" applyAlignment="1">
      <alignment horizontal="center" vertical="center"/>
    </xf>
    <xf numFmtId="0" fontId="46" fillId="16" borderId="35" xfId="0" applyFont="1" applyFill="1" applyBorder="1" applyAlignment="1">
      <alignment horizontal="center" vertical="center"/>
    </xf>
    <xf numFmtId="0" fontId="48" fillId="15" borderId="35" xfId="0" applyFont="1" applyFill="1" applyBorder="1" applyAlignment="1">
      <alignment horizontal="center" vertical="center"/>
    </xf>
    <xf numFmtId="0" fontId="48" fillId="15" borderId="36" xfId="0" applyFont="1" applyFill="1" applyBorder="1" applyAlignment="1">
      <alignment horizontal="center" vertical="center"/>
    </xf>
    <xf numFmtId="0" fontId="48" fillId="15" borderId="37" xfId="0" applyFont="1" applyFill="1" applyBorder="1" applyAlignment="1">
      <alignment horizontal="center" vertical="center"/>
    </xf>
    <xf numFmtId="0" fontId="47" fillId="17" borderId="35" xfId="0" applyFont="1" applyFill="1" applyBorder="1" applyAlignment="1">
      <alignment horizontal="center" vertical="center"/>
    </xf>
    <xf numFmtId="0" fontId="47" fillId="16" borderId="39" xfId="0" applyFont="1" applyFill="1" applyBorder="1" applyAlignment="1">
      <alignment horizontal="center" vertical="center"/>
    </xf>
    <xf numFmtId="0" fontId="46" fillId="16" borderId="40" xfId="0" applyFont="1" applyFill="1" applyBorder="1" applyAlignment="1">
      <alignment horizontal="center" vertical="center"/>
    </xf>
    <xf numFmtId="0" fontId="47" fillId="14" borderId="39" xfId="0" applyFont="1" applyFill="1" applyBorder="1" applyAlignment="1">
      <alignment horizontal="center" vertical="center"/>
    </xf>
    <xf numFmtId="0" fontId="47" fillId="14" borderId="40" xfId="0" applyFont="1" applyFill="1" applyBorder="1" applyAlignment="1">
      <alignment horizontal="center" vertical="center"/>
    </xf>
    <xf numFmtId="0" fontId="48" fillId="18" borderId="35" xfId="0" applyFont="1" applyFill="1" applyBorder="1" applyAlignment="1">
      <alignment horizontal="center" vertical="center"/>
    </xf>
    <xf numFmtId="0" fontId="47" fillId="14" borderId="38" xfId="0" applyFont="1" applyFill="1" applyBorder="1" applyAlignment="1">
      <alignment horizontal="center" vertical="center"/>
    </xf>
    <xf numFmtId="0" fontId="48" fillId="18" borderId="39" xfId="0" applyFont="1" applyFill="1" applyBorder="1" applyAlignment="1">
      <alignment horizontal="center" vertical="center"/>
    </xf>
    <xf numFmtId="0" fontId="48" fillId="18" borderId="40" xfId="0" applyFont="1" applyFill="1" applyBorder="1" applyAlignment="1">
      <alignment horizontal="center" vertical="center"/>
    </xf>
    <xf numFmtId="0" fontId="48" fillId="19" borderId="36" xfId="0" applyFont="1" applyFill="1" applyBorder="1" applyAlignment="1">
      <alignment horizontal="center" vertical="center"/>
    </xf>
    <xf numFmtId="0" fontId="48" fillId="19" borderId="35" xfId="0" applyFont="1" applyFill="1" applyBorder="1" applyAlignment="1">
      <alignment horizontal="center" vertical="center"/>
    </xf>
    <xf numFmtId="0" fontId="21" fillId="7" borderId="0" xfId="0" applyFont="1" applyFill="1" applyBorder="1" applyAlignment="1">
      <alignment horizontal="left" vertical="center" indent="1"/>
    </xf>
    <xf numFmtId="0" fontId="23" fillId="0" borderId="0" xfId="0" applyFont="1" applyBorder="1" applyAlignment="1">
      <alignment horizontal="left" vertical="center" indent="1"/>
    </xf>
    <xf numFmtId="0" fontId="47" fillId="14" borderId="42" xfId="0" applyFont="1" applyFill="1" applyBorder="1" applyAlignment="1">
      <alignment horizontal="center" vertical="center"/>
    </xf>
    <xf numFmtId="20" fontId="21" fillId="7" borderId="21" xfId="0" applyNumberFormat="1" applyFont="1" applyFill="1" applyBorder="1" applyAlignment="1">
      <alignment horizontal="left" vertical="center" indent="1"/>
    </xf>
    <xf numFmtId="0" fontId="48" fillId="19" borderId="37" xfId="0" applyFont="1" applyFill="1" applyBorder="1" applyAlignment="1">
      <alignment horizontal="center" vertical="center"/>
    </xf>
    <xf numFmtId="0" fontId="48" fillId="18" borderId="41" xfId="0" applyFont="1" applyFill="1" applyBorder="1" applyAlignment="1">
      <alignment horizontal="center" vertical="center"/>
    </xf>
    <xf numFmtId="0" fontId="22" fillId="9" borderId="21" xfId="0" quotePrefix="1" applyFont="1" applyFill="1" applyBorder="1" applyAlignment="1">
      <alignment horizontal="left" vertical="center" indent="1"/>
    </xf>
    <xf numFmtId="0" fontId="47" fillId="16" borderId="43" xfId="0" applyFont="1" applyFill="1" applyBorder="1" applyAlignment="1">
      <alignment horizontal="center" vertical="center"/>
    </xf>
    <xf numFmtId="0" fontId="47" fillId="14" borderId="44" xfId="0" applyFont="1" applyFill="1" applyBorder="1" applyAlignment="1">
      <alignment horizontal="center" vertical="center"/>
    </xf>
    <xf numFmtId="0" fontId="47" fillId="14" borderId="45" xfId="0" applyFont="1" applyFill="1" applyBorder="1" applyAlignment="1">
      <alignment horizontal="center" vertical="center"/>
    </xf>
    <xf numFmtId="0" fontId="48" fillId="19" borderId="46" xfId="0" applyFont="1" applyFill="1" applyBorder="1" applyAlignment="1">
      <alignment horizontal="center" vertical="center"/>
    </xf>
    <xf numFmtId="0" fontId="48" fillId="15" borderId="46" xfId="0" applyFont="1" applyFill="1" applyBorder="1" applyAlignment="1">
      <alignment horizontal="center" vertical="center"/>
    </xf>
    <xf numFmtId="0" fontId="48" fillId="15" borderId="47" xfId="0" applyFont="1" applyFill="1" applyBorder="1" applyAlignment="1">
      <alignment horizontal="center" vertical="center"/>
    </xf>
    <xf numFmtId="0" fontId="47" fillId="18" borderId="47" xfId="0" applyFont="1" applyFill="1" applyBorder="1" applyAlignment="1">
      <alignment horizontal="center" vertical="center"/>
    </xf>
    <xf numFmtId="0" fontId="47" fillId="18" borderId="35" xfId="0" applyFont="1" applyFill="1" applyBorder="1" applyAlignment="1">
      <alignment horizontal="center" vertical="center"/>
    </xf>
    <xf numFmtId="0" fontId="47" fillId="18" borderId="40" xfId="0" applyFont="1" applyFill="1" applyBorder="1" applyAlignment="1">
      <alignment horizontal="center" vertical="center"/>
    </xf>
    <xf numFmtId="0" fontId="47" fillId="18" borderId="39" xfId="0" applyFont="1" applyFill="1" applyBorder="1" applyAlignment="1">
      <alignment horizontal="center" vertical="center"/>
    </xf>
    <xf numFmtId="0" fontId="47" fillId="19" borderId="47" xfId="0" applyFont="1" applyFill="1" applyBorder="1" applyAlignment="1">
      <alignment horizontal="center" vertical="center"/>
    </xf>
    <xf numFmtId="0" fontId="47" fillId="17" borderId="39" xfId="0" applyFont="1" applyFill="1" applyBorder="1" applyAlignment="1">
      <alignment horizontal="center" vertical="center"/>
    </xf>
    <xf numFmtId="0" fontId="48" fillId="15" borderId="48" xfId="0" applyFont="1" applyFill="1" applyBorder="1" applyAlignment="1">
      <alignment horizontal="center" vertical="center"/>
    </xf>
    <xf numFmtId="0" fontId="48" fillId="15" borderId="49" xfId="0" applyFont="1" applyFill="1" applyBorder="1" applyAlignment="1">
      <alignment horizontal="center" vertical="center"/>
    </xf>
    <xf numFmtId="0" fontId="48" fillId="15" borderId="50" xfId="0" applyFont="1" applyFill="1" applyBorder="1" applyAlignment="1">
      <alignment horizontal="center" vertical="center"/>
    </xf>
    <xf numFmtId="0" fontId="47" fillId="19" borderId="49" xfId="0" applyFont="1" applyFill="1" applyBorder="1" applyAlignment="1">
      <alignment horizontal="center" vertical="center"/>
    </xf>
    <xf numFmtId="0" fontId="48" fillId="19" borderId="50" xfId="0" applyFont="1" applyFill="1" applyBorder="1" applyAlignment="1">
      <alignment horizontal="center" vertical="center"/>
    </xf>
    <xf numFmtId="0" fontId="48" fillId="19" borderId="48" xfId="0" applyFont="1" applyFill="1" applyBorder="1" applyAlignment="1">
      <alignment horizontal="center" vertical="center"/>
    </xf>
    <xf numFmtId="0" fontId="47" fillId="18" borderId="49" xfId="0" applyFont="1" applyFill="1" applyBorder="1" applyAlignment="1">
      <alignment horizontal="center" vertical="center"/>
    </xf>
    <xf numFmtId="0" fontId="47" fillId="18" borderId="50" xfId="0" applyFont="1" applyFill="1" applyBorder="1" applyAlignment="1">
      <alignment horizontal="center" vertical="center"/>
    </xf>
    <xf numFmtId="0" fontId="47" fillId="18" borderId="51" xfId="0" applyFont="1" applyFill="1" applyBorder="1" applyAlignment="1">
      <alignment horizontal="center" vertical="center"/>
    </xf>
    <xf numFmtId="0" fontId="47" fillId="18" borderId="42" xfId="0" applyFont="1" applyFill="1" applyBorder="1" applyAlignment="1">
      <alignment horizontal="center" vertical="center"/>
    </xf>
    <xf numFmtId="0" fontId="48" fillId="18" borderId="50" xfId="0" applyFont="1" applyFill="1" applyBorder="1" applyAlignment="1">
      <alignment horizontal="center" vertical="center"/>
    </xf>
    <xf numFmtId="0" fontId="47" fillId="14" borderId="50" xfId="0" applyFont="1" applyFill="1" applyBorder="1" applyAlignment="1">
      <alignment horizontal="center" vertical="center"/>
    </xf>
    <xf numFmtId="0" fontId="47" fillId="14" borderId="51" xfId="0" applyFont="1" applyFill="1" applyBorder="1" applyAlignment="1">
      <alignment horizontal="center" vertical="center"/>
    </xf>
    <xf numFmtId="0" fontId="47" fillId="14" borderId="52" xfId="0" applyFont="1" applyFill="1" applyBorder="1" applyAlignment="1">
      <alignment horizontal="center" vertical="center"/>
    </xf>
    <xf numFmtId="0" fontId="47" fillId="14" borderId="53" xfId="0" applyFont="1" applyFill="1" applyBorder="1" applyAlignment="1">
      <alignment horizontal="center" vertical="center"/>
    </xf>
    <xf numFmtId="0" fontId="47" fillId="17" borderId="42" xfId="0" applyFont="1" applyFill="1" applyBorder="1" applyAlignment="1">
      <alignment horizontal="center" vertical="center"/>
    </xf>
    <xf numFmtId="0" fontId="47" fillId="17" borderId="50" xfId="0" applyFont="1" applyFill="1" applyBorder="1" applyAlignment="1">
      <alignment horizontal="center" vertical="center"/>
    </xf>
    <xf numFmtId="0" fontId="47" fillId="16" borderId="42" xfId="0" applyFont="1" applyFill="1" applyBorder="1" applyAlignment="1">
      <alignment horizontal="center" vertical="center"/>
    </xf>
    <xf numFmtId="0" fontId="46" fillId="16" borderId="50" xfId="0" applyFont="1" applyFill="1" applyBorder="1" applyAlignment="1">
      <alignment horizontal="center" vertical="center"/>
    </xf>
    <xf numFmtId="0" fontId="39" fillId="0" borderId="54" xfId="0" applyFont="1" applyBorder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23" fillId="0" borderId="50" xfId="0" applyFont="1" applyBorder="1" applyAlignment="1">
      <alignment vertical="center"/>
    </xf>
    <xf numFmtId="20" fontId="21" fillId="8" borderId="50" xfId="0" quotePrefix="1" applyNumberFormat="1" applyFont="1" applyFill="1" applyBorder="1" applyAlignment="1">
      <alignment horizontal="left" vertical="center" indent="1"/>
    </xf>
    <xf numFmtId="20" fontId="23" fillId="8" borderId="56" xfId="0" applyNumberFormat="1" applyFont="1" applyFill="1" applyBorder="1" applyAlignment="1">
      <alignment horizontal="left" vertical="center" indent="1"/>
    </xf>
    <xf numFmtId="20" fontId="23" fillId="8" borderId="58" xfId="0" applyNumberFormat="1" applyFont="1" applyFill="1" applyBorder="1" applyAlignment="1">
      <alignment horizontal="left" vertical="center" indent="1"/>
    </xf>
    <xf numFmtId="0" fontId="23" fillId="8" borderId="56" xfId="0" applyFont="1" applyFill="1" applyBorder="1" applyAlignment="1">
      <alignment horizontal="left" vertical="center" indent="1"/>
    </xf>
    <xf numFmtId="20" fontId="25" fillId="8" borderId="50" xfId="0" applyNumberFormat="1" applyFont="1" applyFill="1" applyBorder="1" applyAlignment="1">
      <alignment horizontal="left" vertical="center" indent="1"/>
    </xf>
    <xf numFmtId="20" fontId="23" fillId="8" borderId="50" xfId="0" applyNumberFormat="1" applyFont="1" applyFill="1" applyBorder="1" applyAlignment="1">
      <alignment horizontal="left" vertical="center" indent="1"/>
    </xf>
    <xf numFmtId="20" fontId="23" fillId="8" borderId="56" xfId="0" applyNumberFormat="1" applyFont="1" applyFill="1" applyBorder="1" applyAlignment="1">
      <alignment horizontal="left" vertical="center" indent="2"/>
    </xf>
    <xf numFmtId="0" fontId="23" fillId="8" borderId="58" xfId="0" applyFont="1" applyFill="1" applyBorder="1" applyAlignment="1">
      <alignment vertical="center"/>
    </xf>
    <xf numFmtId="20" fontId="21" fillId="8" borderId="59" xfId="0" applyNumberFormat="1" applyFont="1" applyFill="1" applyBorder="1" applyAlignment="1">
      <alignment horizontal="center" vertical="center"/>
    </xf>
    <xf numFmtId="20" fontId="21" fillId="8" borderId="60" xfId="0" applyNumberFormat="1" applyFont="1" applyFill="1" applyBorder="1" applyAlignment="1">
      <alignment horizontal="left" vertical="center" indent="1"/>
    </xf>
    <xf numFmtId="20" fontId="21" fillId="8" borderId="61" xfId="0" applyNumberFormat="1" applyFont="1" applyFill="1" applyBorder="1" applyAlignment="1">
      <alignment horizontal="left" vertical="center" indent="1"/>
    </xf>
    <xf numFmtId="20" fontId="26" fillId="8" borderId="62" xfId="0" applyNumberFormat="1" applyFont="1" applyFill="1" applyBorder="1" applyAlignment="1">
      <alignment horizontal="center" vertical="center"/>
    </xf>
    <xf numFmtId="20" fontId="21" fillId="8" borderId="60" xfId="0" applyNumberFormat="1" applyFont="1" applyFill="1" applyBorder="1" applyAlignment="1">
      <alignment horizontal="left" vertical="center" indent="2"/>
    </xf>
    <xf numFmtId="20" fontId="21" fillId="8" borderId="63" xfId="0" applyNumberFormat="1" applyFont="1" applyFill="1" applyBorder="1" applyAlignment="1">
      <alignment horizontal="left" vertical="center" indent="1"/>
    </xf>
    <xf numFmtId="20" fontId="23" fillId="8" borderId="58" xfId="0" applyNumberFormat="1" applyFont="1" applyFill="1" applyBorder="1" applyAlignment="1">
      <alignment horizontal="left" vertical="center" indent="2"/>
    </xf>
    <xf numFmtId="20" fontId="23" fillId="8" borderId="50" xfId="0" applyNumberFormat="1" applyFont="1" applyFill="1" applyBorder="1" applyAlignment="1">
      <alignment horizontal="left" vertical="center" indent="2"/>
    </xf>
    <xf numFmtId="0" fontId="23" fillId="8" borderId="56" xfId="0" applyFont="1" applyFill="1" applyBorder="1" applyAlignment="1">
      <alignment vertical="center"/>
    </xf>
    <xf numFmtId="0" fontId="23" fillId="8" borderId="50" xfId="0" applyFont="1" applyFill="1" applyBorder="1" applyAlignment="1">
      <alignment vertical="center"/>
    </xf>
    <xf numFmtId="20" fontId="23" fillId="8" borderId="59" xfId="0" applyNumberFormat="1" applyFont="1" applyFill="1" applyBorder="1" applyAlignment="1">
      <alignment horizontal="left" vertical="center" indent="1"/>
    </xf>
    <xf numFmtId="20" fontId="23" fillId="8" borderId="60" xfId="0" applyNumberFormat="1" applyFont="1" applyFill="1" applyBorder="1" applyAlignment="1">
      <alignment horizontal="left" vertical="center" indent="1"/>
    </xf>
    <xf numFmtId="20" fontId="23" fillId="8" borderId="63" xfId="0" applyNumberFormat="1" applyFont="1" applyFill="1" applyBorder="1" applyAlignment="1">
      <alignment horizontal="left" vertical="center" indent="1"/>
    </xf>
    <xf numFmtId="0" fontId="23" fillId="0" borderId="56" xfId="0" applyFont="1" applyBorder="1" applyAlignment="1">
      <alignment vertical="center"/>
    </xf>
    <xf numFmtId="0" fontId="23" fillId="0" borderId="58" xfId="0" applyFont="1" applyBorder="1" applyAlignment="1">
      <alignment vertical="center"/>
    </xf>
    <xf numFmtId="0" fontId="0" fillId="0" borderId="50" xfId="0" applyBorder="1" applyAlignment="1">
      <alignment vertical="center"/>
    </xf>
    <xf numFmtId="0" fontId="23" fillId="0" borderId="50" xfId="0" applyFont="1" applyBorder="1" applyAlignment="1">
      <alignment horizontal="left" vertical="center"/>
    </xf>
    <xf numFmtId="0" fontId="23" fillId="0" borderId="50" xfId="0" applyFont="1" applyBorder="1" applyAlignment="1">
      <alignment horizontal="left" vertical="center" indent="1"/>
    </xf>
    <xf numFmtId="20" fontId="21" fillId="13" borderId="50" xfId="0" quotePrefix="1" applyNumberFormat="1" applyFont="1" applyFill="1" applyBorder="1" applyAlignment="1">
      <alignment horizontal="left" vertical="center"/>
    </xf>
    <xf numFmtId="20" fontId="21" fillId="13" borderId="56" xfId="0" quotePrefix="1" applyNumberFormat="1" applyFont="1" applyFill="1" applyBorder="1" applyAlignment="1">
      <alignment horizontal="center" vertical="center"/>
    </xf>
    <xf numFmtId="20" fontId="23" fillId="0" borderId="58" xfId="0" quotePrefix="1" applyNumberFormat="1" applyFont="1" applyBorder="1" applyAlignment="1">
      <alignment horizontal="left" vertical="center" indent="1"/>
    </xf>
    <xf numFmtId="20" fontId="23" fillId="0" borderId="50" xfId="0" quotePrefix="1" applyNumberFormat="1" applyFont="1" applyBorder="1" applyAlignment="1">
      <alignment horizontal="left" vertical="center" indent="1"/>
    </xf>
    <xf numFmtId="20" fontId="23" fillId="0" borderId="50" xfId="0" quotePrefix="1" applyNumberFormat="1" applyFont="1" applyBorder="1" applyAlignment="1">
      <alignment horizontal="left" vertical="center"/>
    </xf>
    <xf numFmtId="0" fontId="41" fillId="9" borderId="50" xfId="0" applyFont="1" applyFill="1" applyBorder="1" applyAlignment="1">
      <alignment vertical="center"/>
    </xf>
    <xf numFmtId="20" fontId="23" fillId="9" borderId="56" xfId="0" quotePrefix="1" applyNumberFormat="1" applyFont="1" applyFill="1" applyBorder="1" applyAlignment="1">
      <alignment horizontal="left" vertical="center"/>
    </xf>
    <xf numFmtId="20" fontId="23" fillId="9" borderId="58" xfId="0" quotePrefix="1" applyNumberFormat="1" applyFont="1" applyFill="1" applyBorder="1" applyAlignment="1">
      <alignment horizontal="left" vertical="center" indent="1"/>
    </xf>
    <xf numFmtId="20" fontId="25" fillId="9" borderId="50" xfId="0" quotePrefix="1" applyNumberFormat="1" applyFont="1" applyFill="1" applyBorder="1" applyAlignment="1">
      <alignment horizontal="left" vertical="center" indent="1"/>
    </xf>
    <xf numFmtId="20" fontId="27" fillId="9" borderId="50" xfId="0" quotePrefix="1" applyNumberFormat="1" applyFont="1" applyFill="1" applyBorder="1" applyAlignment="1">
      <alignment horizontal="left" vertical="center" indent="2"/>
    </xf>
    <xf numFmtId="20" fontId="23" fillId="9" borderId="50" xfId="0" quotePrefix="1" applyNumberFormat="1" applyFont="1" applyFill="1" applyBorder="1" applyAlignment="1">
      <alignment horizontal="left" vertical="center" indent="1"/>
    </xf>
    <xf numFmtId="20" fontId="25" fillId="9" borderId="56" xfId="0" quotePrefix="1" applyNumberFormat="1" applyFont="1" applyFill="1" applyBorder="1" applyAlignment="1">
      <alignment horizontal="left" vertical="center" indent="1"/>
    </xf>
    <xf numFmtId="20" fontId="25" fillId="9" borderId="58" xfId="0" quotePrefix="1" applyNumberFormat="1" applyFont="1" applyFill="1" applyBorder="1" applyAlignment="1">
      <alignment horizontal="left" vertical="center" indent="1"/>
    </xf>
    <xf numFmtId="20" fontId="25" fillId="9" borderId="50" xfId="0" applyNumberFormat="1" applyFont="1" applyFill="1" applyBorder="1" applyAlignment="1">
      <alignment horizontal="left" vertical="center" indent="1"/>
    </xf>
    <xf numFmtId="20" fontId="23" fillId="0" borderId="50" xfId="0" quotePrefix="1" applyNumberFormat="1" applyFont="1" applyBorder="1" applyAlignment="1">
      <alignment horizontal="right" vertical="center"/>
    </xf>
    <xf numFmtId="20" fontId="23" fillId="0" borderId="56" xfId="0" quotePrefix="1" applyNumberFormat="1" applyFont="1" applyBorder="1" applyAlignment="1">
      <alignment horizontal="right" vertical="center"/>
    </xf>
    <xf numFmtId="20" fontId="23" fillId="11" borderId="50" xfId="0" quotePrefix="1" applyNumberFormat="1" applyFont="1" applyFill="1" applyBorder="1" applyAlignment="1">
      <alignment horizontal="left" vertical="center"/>
    </xf>
    <xf numFmtId="20" fontId="21" fillId="0" borderId="50" xfId="0" applyNumberFormat="1" applyFont="1" applyBorder="1" applyAlignment="1">
      <alignment horizontal="left" vertical="center" indent="2"/>
    </xf>
    <xf numFmtId="20" fontId="23" fillId="11" borderId="56" xfId="0" quotePrefix="1" applyNumberFormat="1" applyFont="1" applyFill="1" applyBorder="1" applyAlignment="1">
      <alignment horizontal="left" vertical="center"/>
    </xf>
    <xf numFmtId="0" fontId="0" fillId="0" borderId="58" xfId="0" applyBorder="1" applyAlignment="1">
      <alignment vertical="center"/>
    </xf>
    <xf numFmtId="20" fontId="23" fillId="9" borderId="56" xfId="0" quotePrefix="1" applyNumberFormat="1" applyFont="1" applyFill="1" applyBorder="1" applyAlignment="1">
      <alignment horizontal="left" vertical="center" indent="1"/>
    </xf>
    <xf numFmtId="20" fontId="25" fillId="9" borderId="58" xfId="0" applyNumberFormat="1" applyFont="1" applyFill="1" applyBorder="1" applyAlignment="1">
      <alignment horizontal="left" vertical="center" indent="1"/>
    </xf>
    <xf numFmtId="20" fontId="23" fillId="9" borderId="50" xfId="0" applyNumberFormat="1" applyFont="1" applyFill="1" applyBorder="1" applyAlignment="1">
      <alignment horizontal="left" vertical="center" indent="1"/>
    </xf>
    <xf numFmtId="20" fontId="25" fillId="9" borderId="56" xfId="0" applyNumberFormat="1" applyFont="1" applyFill="1" applyBorder="1" applyAlignment="1">
      <alignment horizontal="left" vertical="center" indent="1"/>
    </xf>
    <xf numFmtId="20" fontId="25" fillId="0" borderId="58" xfId="0" applyNumberFormat="1" applyFont="1" applyBorder="1" applyAlignment="1">
      <alignment horizontal="left" vertical="center" indent="1"/>
    </xf>
    <xf numFmtId="20" fontId="25" fillId="0" borderId="50" xfId="0" applyNumberFormat="1" applyFont="1" applyBorder="1" applyAlignment="1">
      <alignment horizontal="left" vertical="center" indent="1"/>
    </xf>
    <xf numFmtId="20" fontId="23" fillId="0" borderId="50" xfId="0" applyNumberFormat="1" applyFont="1" applyBorder="1" applyAlignment="1">
      <alignment horizontal="left" vertical="center" indent="1"/>
    </xf>
    <xf numFmtId="20" fontId="23" fillId="0" borderId="56" xfId="0" applyNumberFormat="1" applyFont="1" applyBorder="1" applyAlignment="1">
      <alignment horizontal="left" vertical="center" indent="1"/>
    </xf>
    <xf numFmtId="20" fontId="21" fillId="12" borderId="58" xfId="0" applyNumberFormat="1" applyFont="1" applyFill="1" applyBorder="1" applyAlignment="1">
      <alignment horizontal="left" vertical="center" indent="1"/>
    </xf>
    <xf numFmtId="0" fontId="22" fillId="12" borderId="50" xfId="0" applyFont="1" applyFill="1" applyBorder="1" applyAlignment="1">
      <alignment horizontal="center" vertical="center"/>
    </xf>
    <xf numFmtId="20" fontId="23" fillId="12" borderId="56" xfId="0" applyNumberFormat="1" applyFont="1" applyFill="1" applyBorder="1" applyAlignment="1">
      <alignment horizontal="center" vertical="center"/>
    </xf>
    <xf numFmtId="20" fontId="23" fillId="0" borderId="58" xfId="0" applyNumberFormat="1" applyFont="1" applyBorder="1" applyAlignment="1">
      <alignment horizontal="left" vertical="center" indent="1"/>
    </xf>
    <xf numFmtId="0" fontId="21" fillId="10" borderId="50" xfId="0" applyFont="1" applyFill="1" applyBorder="1" applyAlignment="1">
      <alignment horizontal="left" vertical="center" indent="1"/>
    </xf>
    <xf numFmtId="20" fontId="23" fillId="10" borderId="56" xfId="0" applyNumberFormat="1" applyFont="1" applyFill="1" applyBorder="1" applyAlignment="1">
      <alignment horizontal="left" vertical="center" indent="1"/>
    </xf>
    <xf numFmtId="20" fontId="23" fillId="10" borderId="58" xfId="0" applyNumberFormat="1" applyFont="1" applyFill="1" applyBorder="1" applyAlignment="1">
      <alignment horizontal="left" vertical="center" indent="1"/>
    </xf>
    <xf numFmtId="0" fontId="48" fillId="15" borderId="64" xfId="0" applyFont="1" applyFill="1" applyBorder="1" applyAlignment="1">
      <alignment horizontal="center" vertical="center"/>
    </xf>
    <xf numFmtId="0" fontId="48" fillId="15" borderId="65" xfId="0" applyFont="1" applyFill="1" applyBorder="1" applyAlignment="1">
      <alignment horizontal="center" vertical="center"/>
    </xf>
    <xf numFmtId="0" fontId="48" fillId="15" borderId="0" xfId="0" applyFont="1" applyFill="1" applyBorder="1" applyAlignment="1">
      <alignment horizontal="center" vertical="center"/>
    </xf>
    <xf numFmtId="0" fontId="47" fillId="19" borderId="65" xfId="0" applyFont="1" applyFill="1" applyBorder="1" applyAlignment="1">
      <alignment horizontal="center" vertical="center"/>
    </xf>
    <xf numFmtId="0" fontId="48" fillId="19" borderId="0" xfId="0" applyFont="1" applyFill="1" applyBorder="1" applyAlignment="1">
      <alignment horizontal="center" vertical="center"/>
    </xf>
    <xf numFmtId="0" fontId="48" fillId="19" borderId="64" xfId="0" applyFont="1" applyFill="1" applyBorder="1" applyAlignment="1">
      <alignment horizontal="center" vertical="center"/>
    </xf>
    <xf numFmtId="0" fontId="47" fillId="18" borderId="65" xfId="0" applyFont="1" applyFill="1" applyBorder="1" applyAlignment="1">
      <alignment horizontal="center" vertical="center"/>
    </xf>
    <xf numFmtId="0" fontId="47" fillId="18" borderId="0" xfId="0" applyFont="1" applyFill="1" applyBorder="1" applyAlignment="1">
      <alignment horizontal="center" vertical="center"/>
    </xf>
    <xf numFmtId="0" fontId="47" fillId="18" borderId="66" xfId="0" applyFont="1" applyFill="1" applyBorder="1" applyAlignment="1">
      <alignment horizontal="center" vertical="center"/>
    </xf>
    <xf numFmtId="0" fontId="47" fillId="18" borderId="67" xfId="0" applyFont="1" applyFill="1" applyBorder="1" applyAlignment="1">
      <alignment horizontal="center" vertical="center"/>
    </xf>
    <xf numFmtId="0" fontId="48" fillId="18" borderId="0" xfId="0" applyFont="1" applyFill="1" applyBorder="1" applyAlignment="1">
      <alignment horizontal="center" vertical="center"/>
    </xf>
    <xf numFmtId="0" fontId="47" fillId="14" borderId="67" xfId="0" applyFont="1" applyFill="1" applyBorder="1" applyAlignment="1">
      <alignment horizontal="center" vertical="center"/>
    </xf>
    <xf numFmtId="0" fontId="47" fillId="14" borderId="0" xfId="0" applyFont="1" applyFill="1" applyBorder="1" applyAlignment="1">
      <alignment horizontal="center" vertical="center"/>
    </xf>
    <xf numFmtId="0" fontId="47" fillId="14" borderId="66" xfId="0" applyFont="1" applyFill="1" applyBorder="1" applyAlignment="1">
      <alignment horizontal="center" vertical="center"/>
    </xf>
    <xf numFmtId="0" fontId="47" fillId="14" borderId="68" xfId="0" applyFont="1" applyFill="1" applyBorder="1" applyAlignment="1">
      <alignment horizontal="center" vertical="center"/>
    </xf>
    <xf numFmtId="0" fontId="47" fillId="14" borderId="69" xfId="0" applyFont="1" applyFill="1" applyBorder="1" applyAlignment="1">
      <alignment horizontal="center" vertical="center"/>
    </xf>
    <xf numFmtId="0" fontId="47" fillId="17" borderId="67" xfId="0" applyFont="1" applyFill="1" applyBorder="1" applyAlignment="1">
      <alignment horizontal="center" vertical="center"/>
    </xf>
    <xf numFmtId="0" fontId="47" fillId="17" borderId="0" xfId="0" applyFont="1" applyFill="1" applyBorder="1" applyAlignment="1">
      <alignment horizontal="center" vertical="center"/>
    </xf>
    <xf numFmtId="0" fontId="47" fillId="16" borderId="67" xfId="0" applyFont="1" applyFill="1" applyBorder="1" applyAlignment="1">
      <alignment horizontal="center" vertical="center"/>
    </xf>
    <xf numFmtId="0" fontId="46" fillId="16" borderId="0" xfId="0" applyFont="1" applyFill="1" applyBorder="1" applyAlignment="1">
      <alignment horizontal="center" vertical="center"/>
    </xf>
    <xf numFmtId="0" fontId="39" fillId="0" borderId="70" xfId="0" applyFont="1" applyBorder="1" applyAlignment="1">
      <alignment horizontal="center" vertical="center"/>
    </xf>
    <xf numFmtId="0" fontId="39" fillId="0" borderId="71" xfId="0" applyFont="1" applyBorder="1" applyAlignment="1">
      <alignment horizontal="center" vertical="center"/>
    </xf>
    <xf numFmtId="0" fontId="23" fillId="0" borderId="71" xfId="0" applyFont="1" applyBorder="1" applyAlignment="1">
      <alignment vertical="center"/>
    </xf>
    <xf numFmtId="0" fontId="23" fillId="0" borderId="73" xfId="0" applyFont="1" applyBorder="1" applyAlignment="1">
      <alignment vertical="center"/>
    </xf>
    <xf numFmtId="20" fontId="23" fillId="0" borderId="75" xfId="0" quotePrefix="1" applyNumberFormat="1" applyFont="1" applyBorder="1" applyAlignment="1">
      <alignment horizontal="center" vertical="center"/>
    </xf>
    <xf numFmtId="0" fontId="22" fillId="5" borderId="71" xfId="0" applyFont="1" applyFill="1" applyBorder="1" applyAlignment="1">
      <alignment horizontal="left" vertical="center" indent="1"/>
    </xf>
    <xf numFmtId="20" fontId="23" fillId="5" borderId="73" xfId="0" quotePrefix="1" applyNumberFormat="1" applyFont="1" applyFill="1" applyBorder="1" applyAlignment="1">
      <alignment horizontal="left" vertical="center"/>
    </xf>
    <xf numFmtId="20" fontId="23" fillId="5" borderId="75" xfId="0" quotePrefix="1" applyNumberFormat="1" applyFont="1" applyFill="1" applyBorder="1" applyAlignment="1">
      <alignment horizontal="left" vertical="center" indent="1"/>
    </xf>
    <xf numFmtId="20" fontId="23" fillId="5" borderId="71" xfId="0" quotePrefix="1" applyNumberFormat="1" applyFont="1" applyFill="1" applyBorder="1" applyAlignment="1">
      <alignment horizontal="left" vertical="center" indent="2"/>
    </xf>
    <xf numFmtId="20" fontId="23" fillId="5" borderId="71" xfId="0" quotePrefix="1" applyNumberFormat="1" applyFont="1" applyFill="1" applyBorder="1" applyAlignment="1">
      <alignment horizontal="left" vertical="center" indent="1"/>
    </xf>
    <xf numFmtId="20" fontId="27" fillId="5" borderId="71" xfId="0" quotePrefix="1" applyNumberFormat="1" applyFont="1" applyFill="1" applyBorder="1" applyAlignment="1">
      <alignment horizontal="left" vertical="center" indent="2"/>
    </xf>
    <xf numFmtId="20" fontId="23" fillId="5" borderId="73" xfId="0" quotePrefix="1" applyNumberFormat="1" applyFont="1" applyFill="1" applyBorder="1" applyAlignment="1">
      <alignment horizontal="left" vertical="center" indent="1"/>
    </xf>
    <xf numFmtId="20" fontId="23" fillId="0" borderId="75" xfId="0" quotePrefix="1" applyNumberFormat="1" applyFont="1" applyBorder="1" applyAlignment="1">
      <alignment horizontal="left" vertical="center" indent="1"/>
    </xf>
    <xf numFmtId="20" fontId="23" fillId="0" borderId="71" xfId="0" quotePrefix="1" applyNumberFormat="1" applyFont="1" applyBorder="1" applyAlignment="1">
      <alignment horizontal="right" vertical="center"/>
    </xf>
    <xf numFmtId="0" fontId="23" fillId="0" borderId="75" xfId="0" applyFont="1" applyBorder="1" applyAlignment="1">
      <alignment vertical="center"/>
    </xf>
    <xf numFmtId="20" fontId="25" fillId="5" borderId="75" xfId="0" quotePrefix="1" applyNumberFormat="1" applyFont="1" applyFill="1" applyBorder="1" applyAlignment="1">
      <alignment horizontal="left" vertical="center" indent="1"/>
    </xf>
    <xf numFmtId="20" fontId="25" fillId="5" borderId="71" xfId="0" applyNumberFormat="1" applyFont="1" applyFill="1" applyBorder="1" applyAlignment="1">
      <alignment horizontal="left" vertical="center" indent="1"/>
    </xf>
    <xf numFmtId="20" fontId="23" fillId="5" borderId="71" xfId="0" applyNumberFormat="1" applyFont="1" applyFill="1" applyBorder="1" applyAlignment="1">
      <alignment horizontal="left" vertical="center" indent="1"/>
    </xf>
    <xf numFmtId="20" fontId="27" fillId="5" borderId="71" xfId="0" applyNumberFormat="1" applyFont="1" applyFill="1" applyBorder="1" applyAlignment="1">
      <alignment horizontal="left" vertical="center" indent="1"/>
    </xf>
    <xf numFmtId="20" fontId="23" fillId="5" borderId="73" xfId="0" applyNumberFormat="1" applyFont="1" applyFill="1" applyBorder="1" applyAlignment="1">
      <alignment horizontal="left" vertical="center" indent="1"/>
    </xf>
    <xf numFmtId="20" fontId="27" fillId="0" borderId="75" xfId="0" applyNumberFormat="1" applyFont="1" applyBorder="1" applyAlignment="1">
      <alignment horizontal="left" vertical="center" indent="2"/>
    </xf>
    <xf numFmtId="20" fontId="25" fillId="0" borderId="71" xfId="0" applyNumberFormat="1" applyFont="1" applyBorder="1" applyAlignment="1">
      <alignment horizontal="left" vertical="center" indent="1"/>
    </xf>
    <xf numFmtId="20" fontId="23" fillId="0" borderId="71" xfId="0" applyNumberFormat="1" applyFont="1" applyBorder="1" applyAlignment="1">
      <alignment horizontal="left" vertical="center" indent="1"/>
    </xf>
    <xf numFmtId="0" fontId="22" fillId="9" borderId="75" xfId="0" quotePrefix="1" applyFont="1" applyFill="1" applyBorder="1" applyAlignment="1">
      <alignment horizontal="left" vertical="center" indent="1"/>
    </xf>
    <xf numFmtId="0" fontId="25" fillId="9" borderId="71" xfId="0" quotePrefix="1" applyFont="1" applyFill="1" applyBorder="1" applyAlignment="1">
      <alignment horizontal="left" vertical="center" indent="2"/>
    </xf>
    <xf numFmtId="0" fontId="21" fillId="9" borderId="71" xfId="0" applyFont="1" applyFill="1" applyBorder="1" applyAlignment="1">
      <alignment horizontal="left" vertical="center" indent="1"/>
    </xf>
    <xf numFmtId="20" fontId="21" fillId="9" borderId="71" xfId="0" applyNumberFormat="1" applyFont="1" applyFill="1" applyBorder="1" applyAlignment="1">
      <alignment horizontal="left" vertical="center" indent="1"/>
    </xf>
    <xf numFmtId="0" fontId="23" fillId="9" borderId="71" xfId="0" applyFont="1" applyFill="1" applyBorder="1" applyAlignment="1">
      <alignment vertical="center"/>
    </xf>
    <xf numFmtId="20" fontId="23" fillId="9" borderId="73" xfId="0" quotePrefix="1" applyNumberFormat="1" applyFont="1" applyFill="1" applyBorder="1" applyAlignment="1">
      <alignment horizontal="left" vertical="center" indent="1"/>
    </xf>
    <xf numFmtId="0" fontId="23" fillId="9" borderId="75" xfId="0" applyFont="1" applyFill="1" applyBorder="1" applyAlignment="1">
      <alignment vertical="center"/>
    </xf>
    <xf numFmtId="0" fontId="23" fillId="9" borderId="73" xfId="0" applyFont="1" applyFill="1" applyBorder="1" applyAlignment="1">
      <alignment vertical="center"/>
    </xf>
    <xf numFmtId="20" fontId="25" fillId="0" borderId="75" xfId="0" applyNumberFormat="1" applyFont="1" applyBorder="1" applyAlignment="1">
      <alignment horizontal="left" vertical="center" indent="1"/>
    </xf>
    <xf numFmtId="0" fontId="23" fillId="0" borderId="73" xfId="0" applyFont="1" applyBorder="1" applyAlignment="1">
      <alignment horizontal="right" vertical="center"/>
    </xf>
    <xf numFmtId="0" fontId="0" fillId="12" borderId="50" xfId="0" applyFill="1" applyBorder="1" applyAlignment="1">
      <alignment horizontal="centerContinuous" vertical="center"/>
    </xf>
    <xf numFmtId="0" fontId="31" fillId="0" borderId="0" xfId="0" applyFont="1" applyAlignment="1">
      <alignment horizontal="left" vertical="center"/>
    </xf>
    <xf numFmtId="20" fontId="32" fillId="0" borderId="0" xfId="0" quotePrefix="1" applyNumberFormat="1" applyFont="1" applyAlignment="1">
      <alignment horizontal="left" vertical="center"/>
    </xf>
    <xf numFmtId="0" fontId="31" fillId="0" borderId="20" xfId="0" applyFont="1" applyBorder="1" applyAlignment="1">
      <alignment horizontal="left" vertical="center"/>
    </xf>
    <xf numFmtId="20" fontId="31" fillId="7" borderId="21" xfId="0" quotePrefix="1" applyNumberFormat="1" applyFont="1" applyFill="1" applyBorder="1" applyAlignment="1">
      <alignment horizontal="left" vertical="center"/>
    </xf>
    <xf numFmtId="0" fontId="31" fillId="7" borderId="0" xfId="0" applyFont="1" applyFill="1" applyAlignment="1">
      <alignment horizontal="left" vertical="center"/>
    </xf>
    <xf numFmtId="0" fontId="31" fillId="7" borderId="20" xfId="0" applyFont="1" applyFill="1" applyBorder="1" applyAlignment="1">
      <alignment horizontal="left" vertical="center"/>
    </xf>
    <xf numFmtId="20" fontId="49" fillId="7" borderId="31" xfId="0" applyNumberFormat="1" applyFont="1" applyFill="1" applyBorder="1" applyAlignment="1">
      <alignment horizontal="left" vertical="center"/>
    </xf>
    <xf numFmtId="20" fontId="49" fillId="7" borderId="21" xfId="0" applyNumberFormat="1" applyFont="1" applyFill="1" applyBorder="1" applyAlignment="1">
      <alignment horizontal="left" vertical="center"/>
    </xf>
    <xf numFmtId="20" fontId="49" fillId="7" borderId="20" xfId="0" applyNumberFormat="1" applyFont="1" applyFill="1" applyBorder="1" applyAlignment="1">
      <alignment horizontal="left" vertical="center"/>
    </xf>
    <xf numFmtId="0" fontId="31" fillId="7" borderId="21" xfId="0" quotePrefix="1" applyFont="1" applyFill="1" applyBorder="1" applyAlignment="1">
      <alignment horizontal="left" vertical="center"/>
    </xf>
    <xf numFmtId="0" fontId="31" fillId="0" borderId="21" xfId="0" applyFont="1" applyBorder="1" applyAlignment="1">
      <alignment horizontal="left" vertical="center"/>
    </xf>
    <xf numFmtId="0" fontId="31" fillId="8" borderId="0" xfId="0" applyFont="1" applyFill="1" applyAlignment="1">
      <alignment horizontal="left" vertical="center"/>
    </xf>
    <xf numFmtId="0" fontId="32" fillId="8" borderId="20" xfId="0" quotePrefix="1" applyFont="1" applyFill="1" applyBorder="1" applyAlignment="1">
      <alignment horizontal="left" vertical="center"/>
    </xf>
    <xf numFmtId="20" fontId="32" fillId="8" borderId="21" xfId="0" quotePrefix="1" applyNumberFormat="1" applyFont="1" applyFill="1" applyBorder="1" applyAlignment="1">
      <alignment horizontal="left" vertical="center"/>
    </xf>
    <xf numFmtId="0" fontId="37" fillId="8" borderId="20" xfId="0" quotePrefix="1" applyFont="1" applyFill="1" applyBorder="1" applyAlignment="1">
      <alignment horizontal="left" vertical="center"/>
    </xf>
    <xf numFmtId="20" fontId="31" fillId="8" borderId="21" xfId="0" quotePrefix="1" applyNumberFormat="1" applyFont="1" applyFill="1" applyBorder="1" applyAlignment="1">
      <alignment horizontal="left" vertical="center"/>
    </xf>
    <xf numFmtId="0" fontId="31" fillId="8" borderId="0" xfId="0" quotePrefix="1" applyFont="1" applyFill="1" applyAlignment="1">
      <alignment horizontal="left" vertical="center"/>
    </xf>
    <xf numFmtId="0" fontId="32" fillId="8" borderId="0" xfId="0" quotePrefix="1" applyFont="1" applyFill="1" applyAlignment="1">
      <alignment horizontal="left" vertical="center"/>
    </xf>
    <xf numFmtId="0" fontId="32" fillId="8" borderId="21" xfId="0" quotePrefix="1" applyFont="1" applyFill="1" applyBorder="1" applyAlignment="1">
      <alignment horizontal="left" vertical="center"/>
    </xf>
    <xf numFmtId="0" fontId="37" fillId="8" borderId="0" xfId="0" quotePrefix="1" applyFont="1" applyFill="1" applyAlignment="1">
      <alignment horizontal="left" vertical="center"/>
    </xf>
    <xf numFmtId="0" fontId="37" fillId="0" borderId="21" xfId="0" quotePrefix="1" applyFont="1" applyBorder="1" applyAlignment="1">
      <alignment horizontal="left" vertical="center"/>
    </xf>
    <xf numFmtId="0" fontId="37" fillId="0" borderId="0" xfId="0" quotePrefix="1" applyFont="1" applyAlignment="1">
      <alignment horizontal="left" vertical="center"/>
    </xf>
    <xf numFmtId="0" fontId="37" fillId="0" borderId="20" xfId="0" quotePrefix="1" applyFont="1" applyBorder="1" applyAlignment="1">
      <alignment horizontal="left" vertical="center"/>
    </xf>
    <xf numFmtId="0" fontId="31" fillId="0" borderId="21" xfId="0" quotePrefix="1" applyFont="1" applyBorder="1" applyAlignment="1">
      <alignment horizontal="left" vertical="center"/>
    </xf>
    <xf numFmtId="0" fontId="31" fillId="0" borderId="0" xfId="0" quotePrefix="1" applyFont="1" applyAlignment="1">
      <alignment horizontal="left" vertical="center"/>
    </xf>
    <xf numFmtId="20" fontId="49" fillId="0" borderId="30" xfId="0" applyNumberFormat="1" applyFont="1" applyBorder="1" applyAlignment="1">
      <alignment horizontal="left" vertical="center"/>
    </xf>
    <xf numFmtId="20" fontId="49" fillId="0" borderId="31" xfId="0" applyNumberFormat="1" applyFont="1" applyBorder="1" applyAlignment="1">
      <alignment horizontal="left" vertical="center"/>
    </xf>
    <xf numFmtId="20" fontId="49" fillId="0" borderId="20" xfId="0" applyNumberFormat="1" applyFont="1" applyBorder="1" applyAlignment="1">
      <alignment horizontal="left" vertical="center"/>
    </xf>
    <xf numFmtId="0" fontId="31" fillId="0" borderId="20" xfId="0" quotePrefix="1" applyFont="1" applyBorder="1" applyAlignment="1">
      <alignment horizontal="left" vertical="center"/>
    </xf>
    <xf numFmtId="0" fontId="32" fillId="8" borderId="0" xfId="0" applyFont="1" applyFill="1" applyAlignment="1">
      <alignment horizontal="left" vertical="center"/>
    </xf>
    <xf numFmtId="20" fontId="49" fillId="0" borderId="0" xfId="0" quotePrefix="1" applyNumberFormat="1" applyFont="1" applyAlignment="1">
      <alignment horizontal="center" vertical="center"/>
    </xf>
    <xf numFmtId="0" fontId="31" fillId="9" borderId="21" xfId="0" quotePrefix="1" applyFont="1" applyFill="1" applyBorder="1" applyAlignment="1">
      <alignment horizontal="left" vertical="center"/>
    </xf>
    <xf numFmtId="0" fontId="37" fillId="9" borderId="0" xfId="0" quotePrefix="1" applyFont="1" applyFill="1" applyAlignment="1">
      <alignment horizontal="left" vertical="center"/>
    </xf>
    <xf numFmtId="0" fontId="32" fillId="9" borderId="0" xfId="0" quotePrefix="1" applyFont="1" applyFill="1" applyAlignment="1">
      <alignment horizontal="left" vertical="center"/>
    </xf>
    <xf numFmtId="0" fontId="32" fillId="9" borderId="20" xfId="0" quotePrefix="1" applyFont="1" applyFill="1" applyBorder="1" applyAlignment="1">
      <alignment horizontal="left" vertical="center"/>
    </xf>
    <xf numFmtId="0" fontId="31" fillId="9" borderId="0" xfId="0" applyFont="1" applyFill="1" applyAlignment="1">
      <alignment horizontal="left" vertical="center"/>
    </xf>
    <xf numFmtId="0" fontId="31" fillId="9" borderId="0" xfId="0" quotePrefix="1" applyFont="1" applyFill="1" applyAlignment="1">
      <alignment horizontal="left" vertical="center"/>
    </xf>
    <xf numFmtId="0" fontId="31" fillId="9" borderId="20" xfId="0" quotePrefix="1" applyFont="1" applyFill="1" applyBorder="1" applyAlignment="1">
      <alignment horizontal="left" vertical="center"/>
    </xf>
    <xf numFmtId="0" fontId="32" fillId="9" borderId="21" xfId="0" quotePrefix="1" applyFont="1" applyFill="1" applyBorder="1" applyAlignment="1">
      <alignment horizontal="left" vertical="center"/>
    </xf>
    <xf numFmtId="0" fontId="37" fillId="9" borderId="0" xfId="0" applyFont="1" applyFill="1" applyAlignment="1">
      <alignment horizontal="left" vertical="center"/>
    </xf>
    <xf numFmtId="0" fontId="32" fillId="10" borderId="21" xfId="0" quotePrefix="1" applyFont="1" applyFill="1" applyBorder="1" applyAlignment="1">
      <alignment horizontal="left" vertical="center"/>
    </xf>
    <xf numFmtId="0" fontId="37" fillId="10" borderId="0" xfId="0" quotePrefix="1" applyFont="1" applyFill="1" applyAlignment="1">
      <alignment horizontal="left" vertical="center"/>
    </xf>
    <xf numFmtId="0" fontId="37" fillId="10" borderId="20" xfId="0" quotePrefix="1" applyFont="1" applyFill="1" applyBorder="1" applyAlignment="1">
      <alignment horizontal="left" vertical="center"/>
    </xf>
    <xf numFmtId="20" fontId="49" fillId="0" borderId="0" xfId="0" applyNumberFormat="1" applyFont="1" applyAlignment="1">
      <alignment horizontal="left" vertical="center"/>
    </xf>
    <xf numFmtId="0" fontId="31" fillId="0" borderId="31" xfId="0" applyFont="1" applyBorder="1" applyAlignment="1">
      <alignment horizontal="left" vertical="center"/>
    </xf>
    <xf numFmtId="0" fontId="34" fillId="0" borderId="21" xfId="0" applyFont="1" applyBorder="1" applyAlignment="1">
      <alignment horizontal="left" vertical="center"/>
    </xf>
    <xf numFmtId="0" fontId="31" fillId="0" borderId="20" xfId="0" applyFont="1" applyBorder="1" applyAlignment="1">
      <alignment horizontal="left" vertical="center" indent="1"/>
    </xf>
    <xf numFmtId="0" fontId="31" fillId="8" borderId="28" xfId="0" quotePrefix="1" applyFont="1" applyFill="1" applyBorder="1" applyAlignment="1">
      <alignment horizontal="left" vertical="center"/>
    </xf>
    <xf numFmtId="0" fontId="31" fillId="8" borderId="20" xfId="0" applyFont="1" applyFill="1" applyBorder="1" applyAlignment="1">
      <alignment horizontal="left" vertical="center" indent="1"/>
    </xf>
    <xf numFmtId="0" fontId="31" fillId="8" borderId="21" xfId="0" applyFont="1" applyFill="1" applyBorder="1" applyAlignment="1">
      <alignment horizontal="left" vertical="center"/>
    </xf>
    <xf numFmtId="0" fontId="31" fillId="5" borderId="0" xfId="0" quotePrefix="1" applyFont="1" applyFill="1" applyAlignment="1">
      <alignment horizontal="left" vertical="center"/>
    </xf>
    <xf numFmtId="0" fontId="32" fillId="5" borderId="0" xfId="0" quotePrefix="1" applyFont="1" applyFill="1" applyAlignment="1">
      <alignment horizontal="left" vertical="center"/>
    </xf>
    <xf numFmtId="0" fontId="37" fillId="5" borderId="0" xfId="0" quotePrefix="1" applyFont="1" applyFill="1" applyAlignment="1">
      <alignment horizontal="left" vertical="center"/>
    </xf>
    <xf numFmtId="0" fontId="37" fillId="5" borderId="20" xfId="0" quotePrefix="1" applyFont="1" applyFill="1" applyBorder="1" applyAlignment="1">
      <alignment horizontal="left" vertical="center"/>
    </xf>
    <xf numFmtId="0" fontId="32" fillId="5" borderId="21" xfId="0" quotePrefix="1" applyFont="1" applyFill="1" applyBorder="1" applyAlignment="1">
      <alignment horizontal="left" vertical="center"/>
    </xf>
    <xf numFmtId="0" fontId="31" fillId="9" borderId="21" xfId="0" applyFont="1" applyFill="1" applyBorder="1" applyAlignment="1">
      <alignment horizontal="left" vertical="center"/>
    </xf>
    <xf numFmtId="20" fontId="49" fillId="9" borderId="15" xfId="0" quotePrefix="1" applyNumberFormat="1" applyFont="1" applyFill="1" applyBorder="1" applyAlignment="1">
      <alignment horizontal="left" vertical="center"/>
    </xf>
    <xf numFmtId="0" fontId="31" fillId="9" borderId="20" xfId="0" applyFont="1" applyFill="1" applyBorder="1" applyAlignment="1">
      <alignment horizontal="left" vertical="center"/>
    </xf>
    <xf numFmtId="0" fontId="31" fillId="9" borderId="21" xfId="0" quotePrefix="1" applyFont="1" applyFill="1" applyBorder="1" applyAlignment="1">
      <alignment horizontal="left" vertical="center" indent="1"/>
    </xf>
    <xf numFmtId="0" fontId="31" fillId="9" borderId="0" xfId="0" applyFont="1" applyFill="1" applyAlignment="1">
      <alignment horizontal="left" vertical="center" indent="1"/>
    </xf>
    <xf numFmtId="0" fontId="31" fillId="9" borderId="21" xfId="0" applyFont="1" applyFill="1" applyBorder="1" applyAlignment="1">
      <alignment horizontal="left" vertical="center" indent="1"/>
    </xf>
    <xf numFmtId="0" fontId="34" fillId="9" borderId="0" xfId="0" applyFont="1" applyFill="1" applyAlignment="1">
      <alignment horizontal="left" vertical="center"/>
    </xf>
    <xf numFmtId="0" fontId="37" fillId="9" borderId="20" xfId="0" quotePrefix="1" applyFont="1" applyFill="1" applyBorder="1" applyAlignment="1">
      <alignment horizontal="left" vertical="center"/>
    </xf>
    <xf numFmtId="0" fontId="31" fillId="0" borderId="54" xfId="0" applyFont="1" applyBorder="1" applyAlignment="1">
      <alignment horizontal="right" vertical="center"/>
    </xf>
    <xf numFmtId="0" fontId="31" fillId="0" borderId="54" xfId="0" quotePrefix="1" applyFont="1" applyBorder="1" applyAlignment="1">
      <alignment horizontal="right" vertical="center"/>
    </xf>
    <xf numFmtId="0" fontId="31" fillId="8" borderId="54" xfId="0" applyFont="1" applyFill="1" applyBorder="1" applyAlignment="1">
      <alignment horizontal="right" vertical="center"/>
    </xf>
    <xf numFmtId="20" fontId="31" fillId="8" borderId="55" xfId="0" quotePrefix="1" applyNumberFormat="1" applyFont="1" applyFill="1" applyBorder="1" applyAlignment="1">
      <alignment horizontal="right" vertical="center"/>
    </xf>
    <xf numFmtId="20" fontId="31" fillId="8" borderId="57" xfId="0" quotePrefix="1" applyNumberFormat="1" applyFont="1" applyFill="1" applyBorder="1" applyAlignment="1">
      <alignment horizontal="right" vertical="center"/>
    </xf>
    <xf numFmtId="0" fontId="31" fillId="8" borderId="54" xfId="0" quotePrefix="1" applyFont="1" applyFill="1" applyBorder="1" applyAlignment="1">
      <alignment horizontal="right" vertical="center"/>
    </xf>
    <xf numFmtId="20" fontId="32" fillId="8" borderId="54" xfId="0" quotePrefix="1" applyNumberFormat="1" applyFont="1" applyFill="1" applyBorder="1" applyAlignment="1">
      <alignment horizontal="right" vertical="center"/>
    </xf>
    <xf numFmtId="20" fontId="31" fillId="8" borderId="54" xfId="0" quotePrefix="1" applyNumberFormat="1" applyFont="1" applyFill="1" applyBorder="1" applyAlignment="1">
      <alignment horizontal="right" vertical="center"/>
    </xf>
    <xf numFmtId="0" fontId="31" fillId="8" borderId="55" xfId="0" quotePrefix="1" applyFont="1" applyFill="1" applyBorder="1" applyAlignment="1">
      <alignment horizontal="right" vertical="center"/>
    </xf>
    <xf numFmtId="20" fontId="32" fillId="8" borderId="57" xfId="0" quotePrefix="1" applyNumberFormat="1" applyFont="1" applyFill="1" applyBorder="1" applyAlignment="1">
      <alignment horizontal="right" vertical="center"/>
    </xf>
    <xf numFmtId="0" fontId="31" fillId="8" borderId="57" xfId="0" applyFont="1" applyFill="1" applyBorder="1" applyAlignment="1">
      <alignment horizontal="right" vertical="center"/>
    </xf>
    <xf numFmtId="0" fontId="31" fillId="8" borderId="55" xfId="0" applyFont="1" applyFill="1" applyBorder="1" applyAlignment="1">
      <alignment horizontal="right" vertical="center"/>
    </xf>
    <xf numFmtId="0" fontId="31" fillId="0" borderId="55" xfId="0" applyFont="1" applyBorder="1" applyAlignment="1">
      <alignment horizontal="right" vertical="center"/>
    </xf>
    <xf numFmtId="0" fontId="31" fillId="0" borderId="57" xfId="0" applyFont="1" applyBorder="1" applyAlignment="1">
      <alignment horizontal="right" vertical="center"/>
    </xf>
    <xf numFmtId="0" fontId="50" fillId="0" borderId="0" xfId="0" applyFont="1" applyAlignment="1">
      <alignment horizontal="right" vertical="center"/>
    </xf>
    <xf numFmtId="0" fontId="31" fillId="0" borderId="54" xfId="0" applyFont="1" applyBorder="1" applyAlignment="1">
      <alignment horizontal="center" vertical="center"/>
    </xf>
    <xf numFmtId="0" fontId="50" fillId="0" borderId="54" xfId="0" applyFont="1" applyBorder="1" applyAlignment="1">
      <alignment horizontal="center" vertical="center"/>
    </xf>
    <xf numFmtId="0" fontId="31" fillId="0" borderId="54" xfId="0" quotePrefix="1" applyFont="1" applyBorder="1" applyAlignment="1">
      <alignment horizontal="center" vertical="center"/>
    </xf>
    <xf numFmtId="0" fontId="31" fillId="13" borderId="54" xfId="0" quotePrefix="1" applyFont="1" applyFill="1" applyBorder="1" applyAlignment="1">
      <alignment horizontal="center" vertical="center"/>
    </xf>
    <xf numFmtId="0" fontId="31" fillId="13" borderId="55" xfId="0" applyFont="1" applyFill="1" applyBorder="1" applyAlignment="1">
      <alignment horizontal="center" vertical="center"/>
    </xf>
    <xf numFmtId="20" fontId="31" fillId="0" borderId="57" xfId="0" quotePrefix="1" applyNumberFormat="1" applyFont="1" applyBorder="1" applyAlignment="1">
      <alignment horizontal="center" vertical="center"/>
    </xf>
    <xf numFmtId="20" fontId="31" fillId="0" borderId="54" xfId="0" quotePrefix="1" applyNumberFormat="1" applyFont="1" applyBorder="1" applyAlignment="1">
      <alignment horizontal="center" vertical="center"/>
    </xf>
    <xf numFmtId="20" fontId="31" fillId="9" borderId="54" xfId="0" quotePrefix="1" applyNumberFormat="1" applyFont="1" applyFill="1" applyBorder="1" applyAlignment="1">
      <alignment horizontal="center" vertical="center"/>
    </xf>
    <xf numFmtId="20" fontId="32" fillId="9" borderId="55" xfId="0" quotePrefix="1" applyNumberFormat="1" applyFont="1" applyFill="1" applyBorder="1" applyAlignment="1">
      <alignment horizontal="center" vertical="center"/>
    </xf>
    <xf numFmtId="20" fontId="31" fillId="9" borderId="57" xfId="0" quotePrefix="1" applyNumberFormat="1" applyFont="1" applyFill="1" applyBorder="1" applyAlignment="1">
      <alignment horizontal="center" vertical="center"/>
    </xf>
    <xf numFmtId="20" fontId="31" fillId="9" borderId="55" xfId="0" quotePrefix="1" applyNumberFormat="1" applyFont="1" applyFill="1" applyBorder="1" applyAlignment="1">
      <alignment horizontal="center" vertical="center"/>
    </xf>
    <xf numFmtId="0" fontId="31" fillId="9" borderId="54" xfId="0" applyFont="1" applyFill="1" applyBorder="1" applyAlignment="1">
      <alignment horizontal="center" vertical="center"/>
    </xf>
    <xf numFmtId="20" fontId="31" fillId="0" borderId="55" xfId="0" quotePrefix="1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/>
    </xf>
    <xf numFmtId="0" fontId="51" fillId="11" borderId="54" xfId="0" applyFont="1" applyFill="1" applyBorder="1" applyAlignment="1">
      <alignment horizontal="center" vertical="center"/>
    </xf>
    <xf numFmtId="0" fontId="51" fillId="11" borderId="55" xfId="0" applyFont="1" applyFill="1" applyBorder="1" applyAlignment="1">
      <alignment horizontal="center" vertical="center"/>
    </xf>
    <xf numFmtId="0" fontId="50" fillId="0" borderId="57" xfId="0" applyFont="1" applyBorder="1" applyAlignment="1">
      <alignment horizontal="center" vertical="center"/>
    </xf>
    <xf numFmtId="20" fontId="37" fillId="9" borderId="54" xfId="0" quotePrefix="1" applyNumberFormat="1" applyFont="1" applyFill="1" applyBorder="1" applyAlignment="1">
      <alignment horizontal="center" vertical="center"/>
    </xf>
    <xf numFmtId="0" fontId="51" fillId="0" borderId="54" xfId="0" applyFont="1" applyBorder="1" applyAlignment="1">
      <alignment horizontal="center" vertical="center"/>
    </xf>
    <xf numFmtId="20" fontId="31" fillId="12" borderId="57" xfId="0" quotePrefix="1" applyNumberFormat="1" applyFont="1" applyFill="1" applyBorder="1" applyAlignment="1">
      <alignment horizontal="center" vertical="center"/>
    </xf>
    <xf numFmtId="0" fontId="31" fillId="12" borderId="54" xfId="0" applyFont="1" applyFill="1" applyBorder="1" applyAlignment="1">
      <alignment horizontal="center" vertical="center"/>
    </xf>
    <xf numFmtId="20" fontId="31" fillId="12" borderId="54" xfId="0" applyNumberFormat="1" applyFont="1" applyFill="1" applyBorder="1" applyAlignment="1">
      <alignment horizontal="left" vertical="center"/>
    </xf>
    <xf numFmtId="0" fontId="31" fillId="12" borderId="55" xfId="0" applyFont="1" applyFill="1" applyBorder="1" applyAlignment="1">
      <alignment horizontal="center" vertical="center"/>
    </xf>
    <xf numFmtId="20" fontId="31" fillId="10" borderId="54" xfId="0" quotePrefix="1" applyNumberFormat="1" applyFont="1" applyFill="1" applyBorder="1" applyAlignment="1">
      <alignment horizontal="center" vertical="center"/>
    </xf>
    <xf numFmtId="20" fontId="31" fillId="10" borderId="55" xfId="0" quotePrefix="1" applyNumberFormat="1" applyFont="1" applyFill="1" applyBorder="1" applyAlignment="1">
      <alignment horizontal="center" vertical="center"/>
    </xf>
    <xf numFmtId="20" fontId="31" fillId="10" borderId="57" xfId="0" quotePrefix="1" applyNumberFormat="1" applyFont="1" applyFill="1" applyBorder="1" applyAlignment="1">
      <alignment horizontal="center" vertical="center"/>
    </xf>
    <xf numFmtId="0" fontId="31" fillId="10" borderId="55" xfId="0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31" fillId="0" borderId="70" xfId="0" applyFont="1" applyBorder="1" applyAlignment="1">
      <alignment horizontal="right" vertical="center"/>
    </xf>
    <xf numFmtId="0" fontId="31" fillId="0" borderId="72" xfId="0" applyFont="1" applyBorder="1" applyAlignment="1">
      <alignment horizontal="right" vertical="center"/>
    </xf>
    <xf numFmtId="20" fontId="31" fillId="0" borderId="74" xfId="0" quotePrefix="1" applyNumberFormat="1" applyFont="1" applyBorder="1" applyAlignment="1">
      <alignment horizontal="right" vertical="center"/>
    </xf>
    <xf numFmtId="0" fontId="31" fillId="5" borderId="70" xfId="0" applyFont="1" applyFill="1" applyBorder="1" applyAlignment="1">
      <alignment horizontal="right" vertical="center"/>
    </xf>
    <xf numFmtId="0" fontId="32" fillId="5" borderId="72" xfId="0" quotePrefix="1" applyFont="1" applyFill="1" applyBorder="1" applyAlignment="1">
      <alignment horizontal="right" vertical="center"/>
    </xf>
    <xf numFmtId="20" fontId="32" fillId="5" borderId="74" xfId="0" quotePrefix="1" applyNumberFormat="1" applyFont="1" applyFill="1" applyBorder="1" applyAlignment="1">
      <alignment horizontal="right" vertical="center"/>
    </xf>
    <xf numFmtId="20" fontId="37" fillId="5" borderId="70" xfId="0" quotePrefix="1" applyNumberFormat="1" applyFont="1" applyFill="1" applyBorder="1" applyAlignment="1">
      <alignment horizontal="right" vertical="center"/>
    </xf>
    <xf numFmtId="20" fontId="31" fillId="5" borderId="72" xfId="0" quotePrefix="1" applyNumberFormat="1" applyFont="1" applyFill="1" applyBorder="1" applyAlignment="1">
      <alignment horizontal="right" vertical="center"/>
    </xf>
    <xf numFmtId="0" fontId="50" fillId="0" borderId="70" xfId="0" applyFont="1" applyBorder="1" applyAlignment="1">
      <alignment horizontal="right" vertical="center"/>
    </xf>
    <xf numFmtId="20" fontId="31" fillId="0" borderId="70" xfId="0" quotePrefix="1" applyNumberFormat="1" applyFont="1" applyBorder="1" applyAlignment="1">
      <alignment horizontal="right" vertical="center"/>
    </xf>
    <xf numFmtId="0" fontId="31" fillId="0" borderId="74" xfId="0" applyFont="1" applyBorder="1" applyAlignment="1">
      <alignment horizontal="right" vertical="center"/>
    </xf>
    <xf numFmtId="20" fontId="31" fillId="5" borderId="70" xfId="0" quotePrefix="1" applyNumberFormat="1" applyFont="1" applyFill="1" applyBorder="1" applyAlignment="1">
      <alignment horizontal="right" vertical="center"/>
    </xf>
    <xf numFmtId="20" fontId="32" fillId="5" borderId="72" xfId="0" quotePrefix="1" applyNumberFormat="1" applyFont="1" applyFill="1" applyBorder="1" applyAlignment="1">
      <alignment horizontal="right" vertical="center"/>
    </xf>
    <xf numFmtId="0" fontId="37" fillId="5" borderId="70" xfId="0" applyFont="1" applyFill="1" applyBorder="1" applyAlignment="1">
      <alignment horizontal="right" vertical="center"/>
    </xf>
    <xf numFmtId="0" fontId="37" fillId="5" borderId="72" xfId="0" applyFont="1" applyFill="1" applyBorder="1" applyAlignment="1">
      <alignment horizontal="right" vertical="center"/>
    </xf>
    <xf numFmtId="20" fontId="34" fillId="0" borderId="76" xfId="0" applyNumberFormat="1" applyFont="1" applyBorder="1" applyAlignment="1">
      <alignment horizontal="right" vertical="center"/>
    </xf>
    <xf numFmtId="0" fontId="37" fillId="0" borderId="70" xfId="0" applyFont="1" applyBorder="1" applyAlignment="1">
      <alignment horizontal="right" vertical="center"/>
    </xf>
    <xf numFmtId="20" fontId="32" fillId="0" borderId="77" xfId="0" quotePrefix="1" applyNumberFormat="1" applyFont="1" applyBorder="1" applyAlignment="1">
      <alignment horizontal="right" vertical="center"/>
    </xf>
    <xf numFmtId="0" fontId="50" fillId="0" borderId="70" xfId="0" applyFont="1" applyBorder="1" applyAlignment="1">
      <alignment vertical="center"/>
    </xf>
    <xf numFmtId="0" fontId="32" fillId="9" borderId="74" xfId="0" applyFont="1" applyFill="1" applyBorder="1" applyAlignment="1">
      <alignment horizontal="left" vertical="center"/>
    </xf>
    <xf numFmtId="0" fontId="31" fillId="9" borderId="70" xfId="0" applyFont="1" applyFill="1" applyBorder="1" applyAlignment="1">
      <alignment horizontal="right" vertical="center"/>
    </xf>
    <xf numFmtId="0" fontId="34" fillId="9" borderId="70" xfId="0" applyFont="1" applyFill="1" applyBorder="1" applyAlignment="1">
      <alignment horizontal="right" vertical="center"/>
    </xf>
    <xf numFmtId="20" fontId="34" fillId="9" borderId="70" xfId="0" applyNumberFormat="1" applyFont="1" applyFill="1" applyBorder="1" applyAlignment="1">
      <alignment horizontal="right" vertical="center"/>
    </xf>
    <xf numFmtId="0" fontId="31" fillId="9" borderId="72" xfId="0" applyFont="1" applyFill="1" applyBorder="1" applyAlignment="1">
      <alignment horizontal="right" vertical="center"/>
    </xf>
    <xf numFmtId="0" fontId="31" fillId="9" borderId="74" xfId="0" applyFont="1" applyFill="1" applyBorder="1" applyAlignment="1">
      <alignment horizontal="right" vertical="center"/>
    </xf>
    <xf numFmtId="0" fontId="51" fillId="0" borderId="74" xfId="0" applyFont="1" applyBorder="1" applyAlignment="1">
      <alignment horizontal="right" vertical="center"/>
    </xf>
    <xf numFmtId="0" fontId="51" fillId="0" borderId="70" xfId="0" applyFont="1" applyBorder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73B04A"/>
      <color rgb="FF649A40"/>
      <color rgb="FF93C472"/>
      <color rgb="FF476D2D"/>
      <color rgb="FF4B732F"/>
      <color rgb="FFA8D08C"/>
      <color rgb="FF008000"/>
      <color rgb="FF33715C"/>
      <color rgb="FF000000"/>
      <color rgb="FF4BB1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3.png"/><Relationship Id="rId5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8.png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.png"/><Relationship Id="rId7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2.png"/><Relationship Id="rId5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246006</xdr:colOff>
      <xdr:row>8</xdr:row>
      <xdr:rowOff>59532</xdr:rowOff>
    </xdr:from>
    <xdr:to>
      <xdr:col>3</xdr:col>
      <xdr:colOff>2043850</xdr:colOff>
      <xdr:row>12</xdr:row>
      <xdr:rowOff>107157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D4213DB-AE14-4926-AF5C-A00037AAB9C5}"/>
            </a:ext>
          </a:extLst>
        </xdr:cNvPr>
        <xdr:cNvSpPr/>
      </xdr:nvSpPr>
      <xdr:spPr>
        <a:xfrm>
          <a:off x="1556646" y="2276952"/>
          <a:ext cx="1797844" cy="105346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①神輿組立</a:t>
          </a:r>
        </a:p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②御仮屋設営、飾付け</a:t>
          </a:r>
        </a:p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③神社鳥居等飾付け</a:t>
          </a:r>
        </a:p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④山車組立、飾付け</a:t>
          </a:r>
        </a:p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⑤神社清掃、会場設営 </a:t>
          </a:r>
        </a:p>
      </xdr:txBody>
    </xdr:sp>
    <xdr:clientData/>
  </xdr:twoCellAnchor>
  <xdr:twoCellAnchor>
    <xdr:from>
      <xdr:col>2</xdr:col>
      <xdr:colOff>148078</xdr:colOff>
      <xdr:row>40</xdr:row>
      <xdr:rowOff>0</xdr:rowOff>
    </xdr:from>
    <xdr:to>
      <xdr:col>3</xdr:col>
      <xdr:colOff>2367643</xdr:colOff>
      <xdr:row>53</xdr:row>
      <xdr:rowOff>13607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F17FE47-0945-4FDB-9C77-6835A4C159D6}"/>
            </a:ext>
          </a:extLst>
        </xdr:cNvPr>
        <xdr:cNvSpPr/>
      </xdr:nvSpPr>
      <xdr:spPr>
        <a:xfrm>
          <a:off x="1153918" y="10287000"/>
          <a:ext cx="2524365" cy="328258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 b="1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神社　山車</a:t>
          </a:r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 b="1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お囃子</a:t>
          </a:r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</xdr:txBody>
    </xdr:sp>
    <xdr:clientData/>
  </xdr:twoCellAnchor>
  <xdr:twoCellAnchor>
    <xdr:from>
      <xdr:col>9</xdr:col>
      <xdr:colOff>207819</xdr:colOff>
      <xdr:row>44</xdr:row>
      <xdr:rowOff>38100</xdr:rowOff>
    </xdr:from>
    <xdr:to>
      <xdr:col>9</xdr:col>
      <xdr:colOff>1887682</xdr:colOff>
      <xdr:row>50</xdr:row>
      <xdr:rowOff>27215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5CE593D-DC1D-47F4-9A46-F8EEB191D84A}"/>
            </a:ext>
          </a:extLst>
        </xdr:cNvPr>
        <xdr:cNvSpPr/>
      </xdr:nvSpPr>
      <xdr:spPr>
        <a:xfrm>
          <a:off x="7911639" y="11330940"/>
          <a:ext cx="1679863" cy="1497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ja-JP" altLang="en-US" sz="1400" b="1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駒寄　山車</a:t>
          </a:r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お囃子</a:t>
          </a:r>
          <a:endParaRPr kumimoji="1" lang="en-US" altLang="ja-JP" sz="1400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（</a:t>
          </a:r>
          <a:r>
            <a:rPr kumimoji="1" lang="ja-JP" altLang="en-US" sz="1400">
              <a:solidFill>
                <a:sysClr val="windowText" lastClr="000000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ガーデンライフ</a:t>
          </a:r>
          <a:endParaRPr kumimoji="1" lang="en-US" altLang="ja-JP" sz="1400">
            <a:solidFill>
              <a:sysClr val="windowText" lastClr="000000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>
              <a:solidFill>
                <a:sysClr val="windowText" lastClr="000000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弐番館前</a:t>
          </a:r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）</a:t>
          </a:r>
        </a:p>
      </xdr:txBody>
    </xdr:sp>
    <xdr:clientData/>
  </xdr:twoCellAnchor>
  <xdr:twoCellAnchor editAs="oneCell">
    <xdr:from>
      <xdr:col>0</xdr:col>
      <xdr:colOff>179180</xdr:colOff>
      <xdr:row>54</xdr:row>
      <xdr:rowOff>0</xdr:rowOff>
    </xdr:from>
    <xdr:to>
      <xdr:col>1</xdr:col>
      <xdr:colOff>3099</xdr:colOff>
      <xdr:row>56</xdr:row>
      <xdr:rowOff>118245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DDBB4E4-FA95-4B47-93E2-DE4FC1912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080061" flipV="1">
          <a:off x="179180" y="13807440"/>
          <a:ext cx="588096" cy="621165"/>
        </a:xfrm>
        <a:prstGeom prst="rect">
          <a:avLst/>
        </a:prstGeom>
      </xdr:spPr>
    </xdr:pic>
    <xdr:clientData/>
  </xdr:twoCellAnchor>
  <xdr:twoCellAnchor editAs="oneCell">
    <xdr:from>
      <xdr:col>3</xdr:col>
      <xdr:colOff>1805668</xdr:colOff>
      <xdr:row>54</xdr:row>
      <xdr:rowOff>232682</xdr:rowOff>
    </xdr:from>
    <xdr:to>
      <xdr:col>4</xdr:col>
      <xdr:colOff>31297</xdr:colOff>
      <xdr:row>57</xdr:row>
      <xdr:rowOff>18261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35052B4-7CCA-428D-86E9-B9FC6C9FD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 flipV="1">
          <a:off x="3116308" y="14040122"/>
          <a:ext cx="785949" cy="539959"/>
        </a:xfrm>
        <a:prstGeom prst="rect">
          <a:avLst/>
        </a:prstGeom>
      </xdr:spPr>
    </xdr:pic>
    <xdr:clientData/>
  </xdr:twoCellAnchor>
  <xdr:twoCellAnchor editAs="oneCell">
    <xdr:from>
      <xdr:col>0</xdr:col>
      <xdr:colOff>232002</xdr:colOff>
      <xdr:row>40</xdr:row>
      <xdr:rowOff>97971</xdr:rowOff>
    </xdr:from>
    <xdr:to>
      <xdr:col>1</xdr:col>
      <xdr:colOff>55921</xdr:colOff>
      <xdr:row>43</xdr:row>
      <xdr:rowOff>17917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50AC822-A941-46E1-A363-3EDFE2D20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080061">
          <a:off x="232002" y="10341428"/>
          <a:ext cx="585919" cy="671060"/>
        </a:xfrm>
        <a:prstGeom prst="rect">
          <a:avLst/>
        </a:prstGeom>
      </xdr:spPr>
    </xdr:pic>
    <xdr:clientData/>
  </xdr:twoCellAnchor>
  <xdr:twoCellAnchor editAs="oneCell">
    <xdr:from>
      <xdr:col>0</xdr:col>
      <xdr:colOff>307628</xdr:colOff>
      <xdr:row>11</xdr:row>
      <xdr:rowOff>153929</xdr:rowOff>
    </xdr:from>
    <xdr:to>
      <xdr:col>0</xdr:col>
      <xdr:colOff>675089</xdr:colOff>
      <xdr:row>13</xdr:row>
      <xdr:rowOff>132091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665E4B4-40EF-471B-9EDA-22F3D3E0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4405772" flipH="1">
          <a:off x="251906" y="3170565"/>
          <a:ext cx="478905" cy="367461"/>
        </a:xfrm>
        <a:prstGeom prst="rect">
          <a:avLst/>
        </a:prstGeom>
      </xdr:spPr>
    </xdr:pic>
    <xdr:clientData/>
  </xdr:twoCellAnchor>
  <xdr:twoCellAnchor editAs="oneCell">
    <xdr:from>
      <xdr:col>9</xdr:col>
      <xdr:colOff>1975403</xdr:colOff>
      <xdr:row>5</xdr:row>
      <xdr:rowOff>172825</xdr:rowOff>
    </xdr:from>
    <xdr:to>
      <xdr:col>10</xdr:col>
      <xdr:colOff>70336</xdr:colOff>
      <xdr:row>7</xdr:row>
      <xdr:rowOff>34980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F62896A-64E8-4828-926B-3D6CA72FF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249218" flipH="1" flipV="1">
          <a:off x="9679223" y="1635865"/>
          <a:ext cx="472373" cy="365075"/>
        </a:xfrm>
        <a:prstGeom prst="rect">
          <a:avLst/>
        </a:prstGeom>
      </xdr:spPr>
    </xdr:pic>
    <xdr:clientData/>
  </xdr:twoCellAnchor>
  <xdr:twoCellAnchor editAs="oneCell">
    <xdr:from>
      <xdr:col>8</xdr:col>
      <xdr:colOff>19548</xdr:colOff>
      <xdr:row>11</xdr:row>
      <xdr:rowOff>125707</xdr:rowOff>
    </xdr:from>
    <xdr:to>
      <xdr:col>9</xdr:col>
      <xdr:colOff>77646</xdr:colOff>
      <xdr:row>13</xdr:row>
      <xdr:rowOff>103869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FE66148-70FB-44CF-976C-5094F8D47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756415" flipH="1" flipV="1">
          <a:off x="7359476" y="3156599"/>
          <a:ext cx="481082" cy="362898"/>
        </a:xfrm>
        <a:prstGeom prst="rect">
          <a:avLst/>
        </a:prstGeom>
      </xdr:spPr>
    </xdr:pic>
    <xdr:clientData/>
  </xdr:twoCellAnchor>
  <xdr:twoCellAnchor editAs="oneCell">
    <xdr:from>
      <xdr:col>5</xdr:col>
      <xdr:colOff>82139</xdr:colOff>
      <xdr:row>31</xdr:row>
      <xdr:rowOff>109381</xdr:rowOff>
    </xdr:from>
    <xdr:to>
      <xdr:col>6</xdr:col>
      <xdr:colOff>140237</xdr:colOff>
      <xdr:row>33</xdr:row>
      <xdr:rowOff>87544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86C15F8-7771-4A8C-AA76-D0DFDE2E7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756415" flipH="1" flipV="1">
          <a:off x="4191186" y="8192334"/>
          <a:ext cx="481083" cy="362898"/>
        </a:xfrm>
        <a:prstGeom prst="rect">
          <a:avLst/>
        </a:prstGeom>
      </xdr:spPr>
    </xdr:pic>
    <xdr:clientData/>
  </xdr:twoCellAnchor>
  <xdr:twoCellAnchor editAs="oneCell">
    <xdr:from>
      <xdr:col>9</xdr:col>
      <xdr:colOff>1977504</xdr:colOff>
      <xdr:row>16</xdr:row>
      <xdr:rowOff>211321</xdr:rowOff>
    </xdr:from>
    <xdr:to>
      <xdr:col>10</xdr:col>
      <xdr:colOff>72437</xdr:colOff>
      <xdr:row>18</xdr:row>
      <xdr:rowOff>83329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7E1119E5-EE46-46B8-9CB5-6F8E7AB10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55324" flipH="1">
          <a:off x="9681324" y="4440421"/>
          <a:ext cx="472373" cy="374928"/>
        </a:xfrm>
        <a:prstGeom prst="rect">
          <a:avLst/>
        </a:prstGeom>
      </xdr:spPr>
    </xdr:pic>
    <xdr:clientData/>
  </xdr:twoCellAnchor>
  <xdr:twoCellAnchor editAs="oneCell">
    <xdr:from>
      <xdr:col>9</xdr:col>
      <xdr:colOff>1862210</xdr:colOff>
      <xdr:row>37</xdr:row>
      <xdr:rowOff>41562</xdr:rowOff>
    </xdr:from>
    <xdr:to>
      <xdr:col>10</xdr:col>
      <xdr:colOff>59005</xdr:colOff>
      <xdr:row>38</xdr:row>
      <xdr:rowOff>184515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EDF3297D-7076-44C3-82F0-5169B4DFF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 flipV="1">
          <a:off x="9566030" y="9574182"/>
          <a:ext cx="574235" cy="394413"/>
        </a:xfrm>
        <a:prstGeom prst="rect">
          <a:avLst/>
        </a:prstGeom>
      </xdr:spPr>
    </xdr:pic>
    <xdr:clientData/>
  </xdr:twoCellAnchor>
  <xdr:twoCellAnchor editAs="oneCell">
    <xdr:from>
      <xdr:col>8</xdr:col>
      <xdr:colOff>98464</xdr:colOff>
      <xdr:row>56</xdr:row>
      <xdr:rowOff>106176</xdr:rowOff>
    </xdr:from>
    <xdr:to>
      <xdr:col>9</xdr:col>
      <xdr:colOff>207818</xdr:colOff>
      <xdr:row>58</xdr:row>
      <xdr:rowOff>193808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61DBD0F9-38EB-4E21-893E-9CB0E1A38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8687063" flipH="1" flipV="1">
          <a:off x="7497484" y="14416536"/>
          <a:ext cx="414154" cy="590552"/>
        </a:xfrm>
        <a:prstGeom prst="rect">
          <a:avLst/>
        </a:prstGeom>
      </xdr:spPr>
    </xdr:pic>
    <xdr:clientData/>
  </xdr:twoCellAnchor>
  <xdr:twoCellAnchor editAs="oneCell">
    <xdr:from>
      <xdr:col>9</xdr:col>
      <xdr:colOff>1700961</xdr:colOff>
      <xdr:row>55</xdr:row>
      <xdr:rowOff>58882</xdr:rowOff>
    </xdr:from>
    <xdr:to>
      <xdr:col>10</xdr:col>
      <xdr:colOff>124</xdr:colOff>
      <xdr:row>57</xdr:row>
      <xdr:rowOff>21724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2DCC38DE-398B-4558-8D9A-F45496C8B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 flipV="1">
          <a:off x="9404781" y="14117782"/>
          <a:ext cx="676603" cy="465762"/>
        </a:xfrm>
        <a:prstGeom prst="rect">
          <a:avLst/>
        </a:prstGeom>
      </xdr:spPr>
    </xdr:pic>
    <xdr:clientData/>
  </xdr:twoCellAnchor>
  <xdr:oneCellAnchor>
    <xdr:from>
      <xdr:col>3</xdr:col>
      <xdr:colOff>2142214</xdr:colOff>
      <xdr:row>5</xdr:row>
      <xdr:rowOff>122014</xdr:rowOff>
    </xdr:from>
    <xdr:ext cx="372671" cy="478905"/>
    <xdr:pic>
      <xdr:nvPicPr>
        <xdr:cNvPr id="146" name="図 145">
          <a:extLst>
            <a:ext uri="{FF2B5EF4-FFF2-40B4-BE49-F238E27FC236}">
              <a16:creationId xmlns:a16="http://schemas.microsoft.com/office/drawing/2014/main" id="{3F913516-57D0-4097-98DA-32D04D2A6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4405772" flipH="1">
          <a:off x="3504240" y="1633817"/>
          <a:ext cx="478905" cy="372671"/>
        </a:xfrm>
        <a:prstGeom prst="rect">
          <a:avLst/>
        </a:prstGeom>
      </xdr:spPr>
    </xdr:pic>
    <xdr:clientData/>
  </xdr:oneCellAnchor>
  <xdr:oneCellAnchor>
    <xdr:from>
      <xdr:col>6</xdr:col>
      <xdr:colOff>2142214</xdr:colOff>
      <xdr:row>5</xdr:row>
      <xdr:rowOff>122014</xdr:rowOff>
    </xdr:from>
    <xdr:ext cx="372671" cy="478905"/>
    <xdr:pic>
      <xdr:nvPicPr>
        <xdr:cNvPr id="151" name="図 150">
          <a:extLst>
            <a:ext uri="{FF2B5EF4-FFF2-40B4-BE49-F238E27FC236}">
              <a16:creationId xmlns:a16="http://schemas.microsoft.com/office/drawing/2014/main" id="{AFD6910A-892C-467F-986C-2CEECCC09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4405772" flipH="1">
          <a:off x="3504240" y="1633817"/>
          <a:ext cx="478905" cy="372671"/>
        </a:xfrm>
        <a:prstGeom prst="rect">
          <a:avLst/>
        </a:prstGeom>
      </xdr:spPr>
    </xdr:pic>
    <xdr:clientData/>
  </xdr:oneCellAnchor>
  <xdr:oneCellAnchor>
    <xdr:from>
      <xdr:col>6</xdr:col>
      <xdr:colOff>2142214</xdr:colOff>
      <xdr:row>5</xdr:row>
      <xdr:rowOff>122014</xdr:rowOff>
    </xdr:from>
    <xdr:ext cx="372671" cy="478905"/>
    <xdr:pic>
      <xdr:nvPicPr>
        <xdr:cNvPr id="154" name="図 153">
          <a:extLst>
            <a:ext uri="{FF2B5EF4-FFF2-40B4-BE49-F238E27FC236}">
              <a16:creationId xmlns:a16="http://schemas.microsoft.com/office/drawing/2014/main" id="{B10A0A90-E8CD-4556-9027-E44FEB992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4405772" flipH="1">
          <a:off x="3504240" y="1633817"/>
          <a:ext cx="478905" cy="37267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122425</xdr:colOff>
      <xdr:row>48</xdr:row>
      <xdr:rowOff>68579</xdr:rowOff>
    </xdr:from>
    <xdr:to>
      <xdr:col>9</xdr:col>
      <xdr:colOff>2142565</xdr:colOff>
      <xdr:row>52</xdr:row>
      <xdr:rowOff>116540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CC8B976-B6F7-4F0D-9938-3AFADAB90277}"/>
            </a:ext>
          </a:extLst>
        </xdr:cNvPr>
        <xdr:cNvSpPr/>
      </xdr:nvSpPr>
      <xdr:spPr>
        <a:xfrm>
          <a:off x="7940545" y="12313919"/>
          <a:ext cx="2020140" cy="105380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駒寄　山車　お囃子</a:t>
          </a:r>
          <a:endParaRPr kumimoji="1" lang="en-US" altLang="ja-JP" sz="1400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（会館脇に駐車）</a:t>
          </a:r>
        </a:p>
      </xdr:txBody>
    </xdr:sp>
    <xdr:clientData/>
  </xdr:twoCellAnchor>
  <xdr:twoCellAnchor editAs="oneCell">
    <xdr:from>
      <xdr:col>9</xdr:col>
      <xdr:colOff>2168447</xdr:colOff>
      <xdr:row>5</xdr:row>
      <xdr:rowOff>126201</xdr:rowOff>
    </xdr:from>
    <xdr:to>
      <xdr:col>10</xdr:col>
      <xdr:colOff>84087</xdr:colOff>
      <xdr:row>7</xdr:row>
      <xdr:rowOff>4366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3F0B56A-99D8-4BF2-959C-BD277A3A3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56727" flipH="1" flipV="1">
          <a:off x="9986567" y="1558761"/>
          <a:ext cx="468339" cy="381085"/>
        </a:xfrm>
        <a:prstGeom prst="rect">
          <a:avLst/>
        </a:prstGeom>
      </xdr:spPr>
    </xdr:pic>
    <xdr:clientData/>
  </xdr:twoCellAnchor>
  <xdr:twoCellAnchor editAs="oneCell">
    <xdr:from>
      <xdr:col>8</xdr:col>
      <xdr:colOff>21773</xdr:colOff>
      <xdr:row>28</xdr:row>
      <xdr:rowOff>153681</xdr:rowOff>
    </xdr:from>
    <xdr:to>
      <xdr:col>9</xdr:col>
      <xdr:colOff>68983</xdr:colOff>
      <xdr:row>30</xdr:row>
      <xdr:rowOff>131841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B27AE79-F3CE-442B-943D-0F5B96F7B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756415" flipH="1" flipV="1">
          <a:off x="7462939" y="7426735"/>
          <a:ext cx="481080" cy="367251"/>
        </a:xfrm>
        <a:prstGeom prst="rect">
          <a:avLst/>
        </a:prstGeom>
      </xdr:spPr>
    </xdr:pic>
    <xdr:clientData/>
  </xdr:twoCellAnchor>
  <xdr:twoCellAnchor editAs="oneCell">
    <xdr:from>
      <xdr:col>3</xdr:col>
      <xdr:colOff>2460785</xdr:colOff>
      <xdr:row>55</xdr:row>
      <xdr:rowOff>30085</xdr:rowOff>
    </xdr:from>
    <xdr:to>
      <xdr:col>4</xdr:col>
      <xdr:colOff>70861</xdr:colOff>
      <xdr:row>56</xdr:row>
      <xdr:rowOff>196089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216FE28-5514-420C-B721-EBD14197F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89886" flipH="1" flipV="1">
          <a:off x="3403760" y="13831810"/>
          <a:ext cx="658076" cy="413654"/>
        </a:xfrm>
        <a:prstGeom prst="rect">
          <a:avLst/>
        </a:prstGeom>
      </xdr:spPr>
    </xdr:pic>
    <xdr:clientData/>
  </xdr:twoCellAnchor>
  <xdr:twoCellAnchor editAs="oneCell">
    <xdr:from>
      <xdr:col>0</xdr:col>
      <xdr:colOff>24565</xdr:colOff>
      <xdr:row>51</xdr:row>
      <xdr:rowOff>46520</xdr:rowOff>
    </xdr:from>
    <xdr:to>
      <xdr:col>1</xdr:col>
      <xdr:colOff>40522</xdr:colOff>
      <xdr:row>52</xdr:row>
      <xdr:rowOff>237153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F6F4807-288C-4008-B2D9-55A4D1147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080061">
          <a:off x="24565" y="13046240"/>
          <a:ext cx="389337" cy="442093"/>
        </a:xfrm>
        <a:prstGeom prst="rect">
          <a:avLst/>
        </a:prstGeom>
      </xdr:spPr>
    </xdr:pic>
    <xdr:clientData/>
  </xdr:twoCellAnchor>
  <xdr:oneCellAnchor>
    <xdr:from>
      <xdr:col>9</xdr:col>
      <xdr:colOff>1915883</xdr:colOff>
      <xdr:row>60</xdr:row>
      <xdr:rowOff>97971</xdr:rowOff>
    </xdr:from>
    <xdr:ext cx="718582" cy="457769"/>
    <xdr:pic>
      <xdr:nvPicPr>
        <xdr:cNvPr id="11" name="図 10">
          <a:extLst>
            <a:ext uri="{FF2B5EF4-FFF2-40B4-BE49-F238E27FC236}">
              <a16:creationId xmlns:a16="http://schemas.microsoft.com/office/drawing/2014/main" id="{B36E04C3-1728-4DDF-BB45-B4061C3A2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9853468" flipV="1">
          <a:off x="9734003" y="15360831"/>
          <a:ext cx="718582" cy="457769"/>
        </a:xfrm>
        <a:prstGeom prst="rect">
          <a:avLst/>
        </a:prstGeom>
      </xdr:spPr>
    </xdr:pic>
    <xdr:clientData/>
  </xdr:oneCellAnchor>
  <xdr:oneCellAnchor>
    <xdr:from>
      <xdr:col>2</xdr:col>
      <xdr:colOff>30693</xdr:colOff>
      <xdr:row>59</xdr:row>
      <xdr:rowOff>64558</xdr:rowOff>
    </xdr:from>
    <xdr:ext cx="624429" cy="587841"/>
    <xdr:pic>
      <xdr:nvPicPr>
        <xdr:cNvPr id="129" name="図 128">
          <a:extLst>
            <a:ext uri="{FF2B5EF4-FFF2-40B4-BE49-F238E27FC236}">
              <a16:creationId xmlns:a16="http://schemas.microsoft.com/office/drawing/2014/main" id="{5E0E07C4-EC6A-4989-8D89-2C069FEF2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809907" flipV="1">
          <a:off x="696687" y="14838589"/>
          <a:ext cx="587841" cy="624429"/>
        </a:xfrm>
        <a:prstGeom prst="rect">
          <a:avLst/>
        </a:prstGeom>
      </xdr:spPr>
    </xdr:pic>
    <xdr:clientData/>
  </xdr:oneCellAnchor>
  <xdr:oneCellAnchor>
    <xdr:from>
      <xdr:col>9</xdr:col>
      <xdr:colOff>2138447</xdr:colOff>
      <xdr:row>28</xdr:row>
      <xdr:rowOff>7211</xdr:rowOff>
    </xdr:from>
    <xdr:ext cx="419777" cy="509216"/>
    <xdr:pic>
      <xdr:nvPicPr>
        <xdr:cNvPr id="133" name="図 132">
          <a:extLst>
            <a:ext uri="{FF2B5EF4-FFF2-40B4-BE49-F238E27FC236}">
              <a16:creationId xmlns:a16="http://schemas.microsoft.com/office/drawing/2014/main" id="{48D65A18-F051-40CA-BAB5-B0C00EE39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V="1">
          <a:off x="10037578" y="7167105"/>
          <a:ext cx="509216" cy="419777"/>
        </a:xfrm>
        <a:prstGeom prst="rect">
          <a:avLst/>
        </a:prstGeom>
      </xdr:spPr>
    </xdr:pic>
    <xdr:clientData/>
  </xdr:oneCellAnchor>
  <xdr:twoCellAnchor editAs="oneCell">
    <xdr:from>
      <xdr:col>6</xdr:col>
      <xdr:colOff>2343272</xdr:colOff>
      <xdr:row>23</xdr:row>
      <xdr:rowOff>147895</xdr:rowOff>
    </xdr:from>
    <xdr:to>
      <xdr:col>6</xdr:col>
      <xdr:colOff>2705153</xdr:colOff>
      <xdr:row>25</xdr:row>
      <xdr:rowOff>114343</xdr:rowOff>
    </xdr:to>
    <xdr:pic>
      <xdr:nvPicPr>
        <xdr:cNvPr id="137" name="図 136">
          <a:extLst>
            <a:ext uri="{FF2B5EF4-FFF2-40B4-BE49-F238E27FC236}">
              <a16:creationId xmlns:a16="http://schemas.microsoft.com/office/drawing/2014/main" id="{7F2DA2B3-4332-6513-9E2A-6CD35ACCA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843931" flipH="1">
          <a:off x="6846289" y="6074753"/>
          <a:ext cx="461748" cy="3618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246006</xdr:colOff>
      <xdr:row>8</xdr:row>
      <xdr:rowOff>59532</xdr:rowOff>
    </xdr:from>
    <xdr:to>
      <xdr:col>3</xdr:col>
      <xdr:colOff>2043850</xdr:colOff>
      <xdr:row>12</xdr:row>
      <xdr:rowOff>107157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1C11CA0-3C7D-4B9F-8001-AEED8836FB09}"/>
            </a:ext>
          </a:extLst>
        </xdr:cNvPr>
        <xdr:cNvSpPr/>
      </xdr:nvSpPr>
      <xdr:spPr>
        <a:xfrm>
          <a:off x="1569981" y="2250282"/>
          <a:ext cx="1797844" cy="10382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①神輿組立</a:t>
          </a:r>
        </a:p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②御仮屋設営、飾付け</a:t>
          </a:r>
        </a:p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③神社鳥居等飾付け</a:t>
          </a:r>
        </a:p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④山車組立、飾付け</a:t>
          </a:r>
        </a:p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⑤神社清掃、会場設営 </a:t>
          </a:r>
        </a:p>
      </xdr:txBody>
    </xdr:sp>
    <xdr:clientData/>
  </xdr:twoCellAnchor>
  <xdr:twoCellAnchor>
    <xdr:from>
      <xdr:col>2</xdr:col>
      <xdr:colOff>148078</xdr:colOff>
      <xdr:row>40</xdr:row>
      <xdr:rowOff>0</xdr:rowOff>
    </xdr:from>
    <xdr:to>
      <xdr:col>3</xdr:col>
      <xdr:colOff>2367643</xdr:colOff>
      <xdr:row>53</xdr:row>
      <xdr:rowOff>13607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67237F2-A65B-407F-95CF-4A5BF992AF6D}"/>
            </a:ext>
          </a:extLst>
        </xdr:cNvPr>
        <xdr:cNvSpPr/>
      </xdr:nvSpPr>
      <xdr:spPr>
        <a:xfrm>
          <a:off x="1155007" y="10042071"/>
          <a:ext cx="2518922" cy="31976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 b="1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神社　山車</a:t>
          </a:r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 b="1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お囃子</a:t>
          </a:r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</xdr:txBody>
    </xdr:sp>
    <xdr:clientData/>
  </xdr:twoCellAnchor>
  <xdr:twoCellAnchor>
    <xdr:from>
      <xdr:col>9</xdr:col>
      <xdr:colOff>207819</xdr:colOff>
      <xdr:row>44</xdr:row>
      <xdr:rowOff>38100</xdr:rowOff>
    </xdr:from>
    <xdr:to>
      <xdr:col>9</xdr:col>
      <xdr:colOff>1887682</xdr:colOff>
      <xdr:row>50</xdr:row>
      <xdr:rowOff>27215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4744CD8-1E60-4924-ADCD-C204F856A2EC}"/>
            </a:ext>
          </a:extLst>
        </xdr:cNvPr>
        <xdr:cNvSpPr/>
      </xdr:nvSpPr>
      <xdr:spPr>
        <a:xfrm>
          <a:off x="7966364" y="10931236"/>
          <a:ext cx="1679863" cy="144384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ja-JP" altLang="en-US" sz="1400" b="1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駒寄　山車</a:t>
          </a:r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お囃子</a:t>
          </a:r>
          <a:endParaRPr kumimoji="1" lang="en-US" altLang="ja-JP" sz="1400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（</a:t>
          </a:r>
          <a:r>
            <a:rPr kumimoji="1" lang="ja-JP" altLang="en-US" sz="1400">
              <a:solidFill>
                <a:sysClr val="windowText" lastClr="000000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ガーデンライフ</a:t>
          </a:r>
          <a:endParaRPr kumimoji="1" lang="en-US" altLang="ja-JP" sz="1400">
            <a:solidFill>
              <a:sysClr val="windowText" lastClr="000000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>
              <a:solidFill>
                <a:sysClr val="windowText" lastClr="000000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弐番館前</a:t>
          </a:r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）</a:t>
          </a:r>
        </a:p>
      </xdr:txBody>
    </xdr:sp>
    <xdr:clientData/>
  </xdr:twoCellAnchor>
  <xdr:twoCellAnchor editAs="oneCell">
    <xdr:from>
      <xdr:col>0</xdr:col>
      <xdr:colOff>179180</xdr:colOff>
      <xdr:row>54</xdr:row>
      <xdr:rowOff>0</xdr:rowOff>
    </xdr:from>
    <xdr:to>
      <xdr:col>1</xdr:col>
      <xdr:colOff>111956</xdr:colOff>
      <xdr:row>56</xdr:row>
      <xdr:rowOff>118245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21F2791F-2374-437B-8928-8CAB1F3A6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080061" flipV="1">
          <a:off x="179180" y="13484183"/>
          <a:ext cx="590561" cy="616266"/>
        </a:xfrm>
        <a:prstGeom prst="rect">
          <a:avLst/>
        </a:prstGeom>
      </xdr:spPr>
    </xdr:pic>
    <xdr:clientData/>
  </xdr:twoCellAnchor>
  <xdr:twoCellAnchor editAs="oneCell">
    <xdr:from>
      <xdr:col>3</xdr:col>
      <xdr:colOff>1805668</xdr:colOff>
      <xdr:row>54</xdr:row>
      <xdr:rowOff>232682</xdr:rowOff>
    </xdr:from>
    <xdr:to>
      <xdr:col>4</xdr:col>
      <xdr:colOff>31297</xdr:colOff>
      <xdr:row>57</xdr:row>
      <xdr:rowOff>18261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56BF8075-2AE7-4AEC-B32E-26CFAD0FB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 flipV="1">
          <a:off x="3129643" y="14062982"/>
          <a:ext cx="787854" cy="528529"/>
        </a:xfrm>
        <a:prstGeom prst="rect">
          <a:avLst/>
        </a:prstGeom>
      </xdr:spPr>
    </xdr:pic>
    <xdr:clientData/>
  </xdr:twoCellAnchor>
  <xdr:twoCellAnchor editAs="oneCell">
    <xdr:from>
      <xdr:col>0</xdr:col>
      <xdr:colOff>188459</xdr:colOff>
      <xdr:row>43</xdr:row>
      <xdr:rowOff>0</xdr:rowOff>
    </xdr:from>
    <xdr:to>
      <xdr:col>1</xdr:col>
      <xdr:colOff>121235</xdr:colOff>
      <xdr:row>45</xdr:row>
      <xdr:rowOff>170317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E451A80C-8F50-4B48-B26A-9D90526C7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080061">
          <a:off x="188459" y="10483015"/>
          <a:ext cx="590561" cy="665617"/>
        </a:xfrm>
        <a:prstGeom prst="rect">
          <a:avLst/>
        </a:prstGeom>
      </xdr:spPr>
    </xdr:pic>
    <xdr:clientData/>
  </xdr:twoCellAnchor>
  <xdr:twoCellAnchor editAs="oneCell">
    <xdr:from>
      <xdr:col>0</xdr:col>
      <xdr:colOff>389614</xdr:colOff>
      <xdr:row>11</xdr:row>
      <xdr:rowOff>154672</xdr:rowOff>
    </xdr:from>
    <xdr:to>
      <xdr:col>1</xdr:col>
      <xdr:colOff>109142</xdr:colOff>
      <xdr:row>13</xdr:row>
      <xdr:rowOff>132834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1D53BC19-8104-4973-B9A8-6CEFEEBF9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4405772" flipH="1">
          <a:off x="341540" y="3136446"/>
          <a:ext cx="473462" cy="377313"/>
        </a:xfrm>
        <a:prstGeom prst="rect">
          <a:avLst/>
        </a:prstGeom>
      </xdr:spPr>
    </xdr:pic>
    <xdr:clientData/>
  </xdr:twoCellAnchor>
  <xdr:twoCellAnchor editAs="oneCell">
    <xdr:from>
      <xdr:col>9</xdr:col>
      <xdr:colOff>1975403</xdr:colOff>
      <xdr:row>5</xdr:row>
      <xdr:rowOff>172825</xdr:rowOff>
    </xdr:from>
    <xdr:to>
      <xdr:col>10</xdr:col>
      <xdr:colOff>70336</xdr:colOff>
      <xdr:row>7</xdr:row>
      <xdr:rowOff>34980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03271DC2-4DC0-4BA7-B885-3DD947318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249218" flipH="1" flipV="1">
          <a:off x="9700178" y="1620625"/>
          <a:ext cx="476183" cy="357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19548</xdr:colOff>
      <xdr:row>11</xdr:row>
      <xdr:rowOff>125707</xdr:rowOff>
    </xdr:from>
    <xdr:to>
      <xdr:col>9</xdr:col>
      <xdr:colOff>77646</xdr:colOff>
      <xdr:row>13</xdr:row>
      <xdr:rowOff>103869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4B8DE939-F280-48F4-B939-A9013FF71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756415" flipH="1" flipV="1">
          <a:off x="7384241" y="3114689"/>
          <a:ext cx="473462" cy="362898"/>
        </a:xfrm>
        <a:prstGeom prst="rect">
          <a:avLst/>
        </a:prstGeom>
      </xdr:spPr>
    </xdr:pic>
    <xdr:clientData/>
  </xdr:twoCellAnchor>
  <xdr:twoCellAnchor editAs="oneCell">
    <xdr:from>
      <xdr:col>5</xdr:col>
      <xdr:colOff>82139</xdr:colOff>
      <xdr:row>31</xdr:row>
      <xdr:rowOff>109381</xdr:rowOff>
    </xdr:from>
    <xdr:to>
      <xdr:col>6</xdr:col>
      <xdr:colOff>140237</xdr:colOff>
      <xdr:row>33</xdr:row>
      <xdr:rowOff>87544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007331B0-8F8B-427C-A7C0-AFA29066B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756415" flipH="1" flipV="1">
          <a:off x="4204250" y="7975163"/>
          <a:ext cx="468020" cy="357455"/>
        </a:xfrm>
        <a:prstGeom prst="rect">
          <a:avLst/>
        </a:prstGeom>
      </xdr:spPr>
    </xdr:pic>
    <xdr:clientData/>
  </xdr:twoCellAnchor>
  <xdr:twoCellAnchor editAs="oneCell">
    <xdr:from>
      <xdr:col>9</xdr:col>
      <xdr:colOff>1977504</xdr:colOff>
      <xdr:row>16</xdr:row>
      <xdr:rowOff>211321</xdr:rowOff>
    </xdr:from>
    <xdr:to>
      <xdr:col>10</xdr:col>
      <xdr:colOff>72437</xdr:colOff>
      <xdr:row>18</xdr:row>
      <xdr:rowOff>83329</xdr:rowOff>
    </xdr:to>
    <xdr:pic>
      <xdr:nvPicPr>
        <xdr:cNvPr id="141" name="図 140">
          <a:extLst>
            <a:ext uri="{FF2B5EF4-FFF2-40B4-BE49-F238E27FC236}">
              <a16:creationId xmlns:a16="http://schemas.microsoft.com/office/drawing/2014/main" id="{DE22109D-D5C9-4FA0-B1B4-3A9DE3A42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55324" flipH="1">
          <a:off x="9702279" y="4383271"/>
          <a:ext cx="476183" cy="367308"/>
        </a:xfrm>
        <a:prstGeom prst="rect">
          <a:avLst/>
        </a:prstGeom>
      </xdr:spPr>
    </xdr:pic>
    <xdr:clientData/>
  </xdr:twoCellAnchor>
  <xdr:twoCellAnchor>
    <xdr:from>
      <xdr:col>9</xdr:col>
      <xdr:colOff>2363608</xdr:colOff>
      <xdr:row>0</xdr:row>
      <xdr:rowOff>291548</xdr:rowOff>
    </xdr:from>
    <xdr:to>
      <xdr:col>10</xdr:col>
      <xdr:colOff>341265</xdr:colOff>
      <xdr:row>61</xdr:row>
      <xdr:rowOff>140586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99107136-7380-9649-90F1-AF4ED33737F7}"/>
            </a:ext>
          </a:extLst>
        </xdr:cNvPr>
        <xdr:cNvGrpSpPr/>
      </xdr:nvGrpSpPr>
      <xdr:grpSpPr>
        <a:xfrm>
          <a:off x="10059808" y="291548"/>
          <a:ext cx="350743" cy="15350295"/>
          <a:chOff x="10108794" y="291548"/>
          <a:chExt cx="377957" cy="16308238"/>
        </a:xfrm>
      </xdr:grpSpPr>
      <xdr:sp macro="" textlink="">
        <xdr:nvSpPr>
          <xdr:cNvPr id="79" name="四角形: 角を丸くする 78">
            <a:extLst>
              <a:ext uri="{FF2B5EF4-FFF2-40B4-BE49-F238E27FC236}">
                <a16:creationId xmlns:a16="http://schemas.microsoft.com/office/drawing/2014/main" id="{578BEE25-2576-1E4D-7FDB-77505AE270E6}"/>
              </a:ext>
            </a:extLst>
          </xdr:cNvPr>
          <xdr:cNvSpPr/>
        </xdr:nvSpPr>
        <xdr:spPr>
          <a:xfrm>
            <a:off x="10128411" y="291548"/>
            <a:ext cx="336454" cy="16308238"/>
          </a:xfrm>
          <a:prstGeom prst="roundRect">
            <a:avLst/>
          </a:prstGeom>
          <a:gradFill flip="none" rotWithShape="1">
            <a:gsLst>
              <a:gs pos="0">
                <a:srgbClr val="33715C"/>
              </a:gs>
              <a:gs pos="6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0" name="テキスト ボックス 79">
            <a:extLst>
              <a:ext uri="{FF2B5EF4-FFF2-40B4-BE49-F238E27FC236}">
                <a16:creationId xmlns:a16="http://schemas.microsoft.com/office/drawing/2014/main" id="{CD53FB60-3F8D-638E-522B-32374B7BC28B}"/>
              </a:ext>
            </a:extLst>
          </xdr:cNvPr>
          <xdr:cNvSpPr txBox="1"/>
        </xdr:nvSpPr>
        <xdr:spPr>
          <a:xfrm>
            <a:off x="10174714" y="461804"/>
            <a:ext cx="261085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24F2BE55-AA17-21B0-0AE5-DC898C6B81FF}"/>
              </a:ext>
            </a:extLst>
          </xdr:cNvPr>
          <xdr:cNvSpPr/>
        </xdr:nvSpPr>
        <xdr:spPr>
          <a:xfrm>
            <a:off x="10179974" y="465046"/>
            <a:ext cx="269938" cy="156243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2" name="テキスト ボックス 81">
            <a:extLst>
              <a:ext uri="{FF2B5EF4-FFF2-40B4-BE49-F238E27FC236}">
                <a16:creationId xmlns:a16="http://schemas.microsoft.com/office/drawing/2014/main" id="{07459B52-290D-571B-C780-38128B1BDE6D}"/>
              </a:ext>
            </a:extLst>
          </xdr:cNvPr>
          <xdr:cNvSpPr txBox="1"/>
        </xdr:nvSpPr>
        <xdr:spPr>
          <a:xfrm>
            <a:off x="10175024" y="2062883"/>
            <a:ext cx="261521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B7AE33AD-3DAB-3DA6-2D8F-7D81F4A0CA6A}"/>
              </a:ext>
            </a:extLst>
          </xdr:cNvPr>
          <xdr:cNvSpPr/>
        </xdr:nvSpPr>
        <xdr:spPr>
          <a:xfrm>
            <a:off x="10175308" y="2084605"/>
            <a:ext cx="274603" cy="15260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4" name="テキスト ボックス 83">
            <a:extLst>
              <a:ext uri="{FF2B5EF4-FFF2-40B4-BE49-F238E27FC236}">
                <a16:creationId xmlns:a16="http://schemas.microsoft.com/office/drawing/2014/main" id="{A8DD7B14-F577-A9AA-B313-D2A78DCE48C4}"/>
              </a:ext>
            </a:extLst>
          </xdr:cNvPr>
          <xdr:cNvSpPr txBox="1"/>
        </xdr:nvSpPr>
        <xdr:spPr>
          <a:xfrm>
            <a:off x="10122391" y="3615577"/>
            <a:ext cx="352253" cy="3268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F84A5AFD-7EE1-8CF4-4D0E-390A030CEA1A}"/>
              </a:ext>
            </a:extLst>
          </xdr:cNvPr>
          <xdr:cNvSpPr/>
        </xdr:nvSpPr>
        <xdr:spPr>
          <a:xfrm>
            <a:off x="10178324" y="3667702"/>
            <a:ext cx="270867" cy="23397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6" name="テキスト ボックス 85">
            <a:extLst>
              <a:ext uri="{FF2B5EF4-FFF2-40B4-BE49-F238E27FC236}">
                <a16:creationId xmlns:a16="http://schemas.microsoft.com/office/drawing/2014/main" id="{E36FA112-BF17-04E1-34D3-503196D9A213}"/>
              </a:ext>
            </a:extLst>
          </xdr:cNvPr>
          <xdr:cNvSpPr txBox="1"/>
        </xdr:nvSpPr>
        <xdr:spPr>
          <a:xfrm>
            <a:off x="10126416" y="3926905"/>
            <a:ext cx="356784" cy="297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87" name="正方形/長方形 86">
            <a:extLst>
              <a:ext uri="{FF2B5EF4-FFF2-40B4-BE49-F238E27FC236}">
                <a16:creationId xmlns:a16="http://schemas.microsoft.com/office/drawing/2014/main" id="{15FF4F6F-DD99-4306-BD7D-E1BE4E25B9F6}"/>
              </a:ext>
            </a:extLst>
          </xdr:cNvPr>
          <xdr:cNvSpPr/>
        </xdr:nvSpPr>
        <xdr:spPr>
          <a:xfrm>
            <a:off x="10181028" y="3950588"/>
            <a:ext cx="277664" cy="45328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F11D97F0-CC94-5128-CBB5-57575B4A5984}"/>
              </a:ext>
            </a:extLst>
          </xdr:cNvPr>
          <xdr:cNvSpPr txBox="1"/>
        </xdr:nvSpPr>
        <xdr:spPr>
          <a:xfrm>
            <a:off x="10129770" y="4408208"/>
            <a:ext cx="356784" cy="3191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B2394B81-21D9-0318-7523-9B39A8E74D23}"/>
              </a:ext>
            </a:extLst>
          </xdr:cNvPr>
          <xdr:cNvSpPr/>
        </xdr:nvSpPr>
        <xdr:spPr>
          <a:xfrm>
            <a:off x="10181936" y="4426796"/>
            <a:ext cx="263917" cy="26585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0" name="テキスト ボックス 89">
            <a:extLst>
              <a:ext uri="{FF2B5EF4-FFF2-40B4-BE49-F238E27FC236}">
                <a16:creationId xmlns:a16="http://schemas.microsoft.com/office/drawing/2014/main" id="{AB29B91B-56E6-3A3D-10AE-B59491992EFC}"/>
              </a:ext>
            </a:extLst>
          </xdr:cNvPr>
          <xdr:cNvSpPr txBox="1"/>
        </xdr:nvSpPr>
        <xdr:spPr>
          <a:xfrm>
            <a:off x="10120296" y="4693291"/>
            <a:ext cx="356784" cy="3284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91" name="正方形/長方形 90">
            <a:extLst>
              <a:ext uri="{FF2B5EF4-FFF2-40B4-BE49-F238E27FC236}">
                <a16:creationId xmlns:a16="http://schemas.microsoft.com/office/drawing/2014/main" id="{7AB28A13-6F7A-432B-203D-EA1D3C1886D0}"/>
              </a:ext>
            </a:extLst>
          </xdr:cNvPr>
          <xdr:cNvSpPr/>
        </xdr:nvSpPr>
        <xdr:spPr>
          <a:xfrm>
            <a:off x="10179974" y="4725523"/>
            <a:ext cx="269189" cy="54429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2" name="テキスト ボックス 91">
            <a:extLst>
              <a:ext uri="{FF2B5EF4-FFF2-40B4-BE49-F238E27FC236}">
                <a16:creationId xmlns:a16="http://schemas.microsoft.com/office/drawing/2014/main" id="{04A3CD17-F14E-FF3C-5AEA-50AB30474738}"/>
              </a:ext>
            </a:extLst>
          </xdr:cNvPr>
          <xdr:cNvSpPr txBox="1"/>
        </xdr:nvSpPr>
        <xdr:spPr>
          <a:xfrm>
            <a:off x="10115728" y="5258819"/>
            <a:ext cx="356784" cy="307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93" name="正方形/長方形 92">
            <a:extLst>
              <a:ext uri="{FF2B5EF4-FFF2-40B4-BE49-F238E27FC236}">
                <a16:creationId xmlns:a16="http://schemas.microsoft.com/office/drawing/2014/main" id="{64EF29F1-D92A-D9AE-1A45-B57C7F184450}"/>
              </a:ext>
            </a:extLst>
          </xdr:cNvPr>
          <xdr:cNvSpPr/>
        </xdr:nvSpPr>
        <xdr:spPr>
          <a:xfrm>
            <a:off x="10175027" y="5289872"/>
            <a:ext cx="269189" cy="73917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4" name="テキスト ボックス 93">
            <a:extLst>
              <a:ext uri="{FF2B5EF4-FFF2-40B4-BE49-F238E27FC236}">
                <a16:creationId xmlns:a16="http://schemas.microsoft.com/office/drawing/2014/main" id="{B168BFC5-EB1E-724E-6C8D-6FDEB81E2006}"/>
              </a:ext>
            </a:extLst>
          </xdr:cNvPr>
          <xdr:cNvSpPr txBox="1"/>
        </xdr:nvSpPr>
        <xdr:spPr>
          <a:xfrm>
            <a:off x="10114278" y="6009379"/>
            <a:ext cx="356784" cy="3213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95" name="正方形/長方形 94">
            <a:extLst>
              <a:ext uri="{FF2B5EF4-FFF2-40B4-BE49-F238E27FC236}">
                <a16:creationId xmlns:a16="http://schemas.microsoft.com/office/drawing/2014/main" id="{925B844C-AAF7-3BB9-D80E-885C5578D59B}"/>
              </a:ext>
            </a:extLst>
          </xdr:cNvPr>
          <xdr:cNvSpPr/>
        </xdr:nvSpPr>
        <xdr:spPr>
          <a:xfrm>
            <a:off x="10150161" y="6076702"/>
            <a:ext cx="283832" cy="9993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6" name="テキスト ボックス 95">
            <a:extLst>
              <a:ext uri="{FF2B5EF4-FFF2-40B4-BE49-F238E27FC236}">
                <a16:creationId xmlns:a16="http://schemas.microsoft.com/office/drawing/2014/main" id="{BDC43505-F603-F2D9-F8B0-EC6FF9203984}"/>
              </a:ext>
            </a:extLst>
          </xdr:cNvPr>
          <xdr:cNvSpPr txBox="1"/>
        </xdr:nvSpPr>
        <xdr:spPr>
          <a:xfrm>
            <a:off x="10110469" y="7096111"/>
            <a:ext cx="356784" cy="3284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97" name="正方形/長方形 96">
            <a:extLst>
              <a:ext uri="{FF2B5EF4-FFF2-40B4-BE49-F238E27FC236}">
                <a16:creationId xmlns:a16="http://schemas.microsoft.com/office/drawing/2014/main" id="{BA6960BC-F6ED-6A08-0130-30C38CD94002}"/>
              </a:ext>
            </a:extLst>
          </xdr:cNvPr>
          <xdr:cNvSpPr/>
        </xdr:nvSpPr>
        <xdr:spPr>
          <a:xfrm>
            <a:off x="10173375" y="7136537"/>
            <a:ext cx="263917" cy="182053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8" name="テキスト ボックス 97">
            <a:extLst>
              <a:ext uri="{FF2B5EF4-FFF2-40B4-BE49-F238E27FC236}">
                <a16:creationId xmlns:a16="http://schemas.microsoft.com/office/drawing/2014/main" id="{6605AFF1-2692-5D90-A3D4-2C772FF836C7}"/>
              </a:ext>
            </a:extLst>
          </xdr:cNvPr>
          <xdr:cNvSpPr txBox="1"/>
        </xdr:nvSpPr>
        <xdr:spPr>
          <a:xfrm>
            <a:off x="10111699" y="8963768"/>
            <a:ext cx="356784" cy="3148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99" name="正方形/長方形 98">
            <a:extLst>
              <a:ext uri="{FF2B5EF4-FFF2-40B4-BE49-F238E27FC236}">
                <a16:creationId xmlns:a16="http://schemas.microsoft.com/office/drawing/2014/main" id="{D5B43501-430B-D097-BFC0-7712B39CB8C4}"/>
              </a:ext>
            </a:extLst>
          </xdr:cNvPr>
          <xdr:cNvSpPr/>
        </xdr:nvSpPr>
        <xdr:spPr>
          <a:xfrm>
            <a:off x="10181935" y="9003506"/>
            <a:ext cx="263917" cy="155393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0" name="テキスト ボックス 99">
            <a:extLst>
              <a:ext uri="{FF2B5EF4-FFF2-40B4-BE49-F238E27FC236}">
                <a16:creationId xmlns:a16="http://schemas.microsoft.com/office/drawing/2014/main" id="{C6E48795-767A-68B6-A5AE-1423FE8B17E9}"/>
              </a:ext>
            </a:extLst>
          </xdr:cNvPr>
          <xdr:cNvSpPr txBox="1"/>
        </xdr:nvSpPr>
        <xdr:spPr>
          <a:xfrm>
            <a:off x="10108794" y="10562226"/>
            <a:ext cx="356784" cy="3191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01" name="正方形/長方形 100">
            <a:extLst>
              <a:ext uri="{FF2B5EF4-FFF2-40B4-BE49-F238E27FC236}">
                <a16:creationId xmlns:a16="http://schemas.microsoft.com/office/drawing/2014/main" id="{7A9E7657-122A-512D-7DDB-A9D7B8A2DB4D}"/>
              </a:ext>
            </a:extLst>
          </xdr:cNvPr>
          <xdr:cNvSpPr/>
        </xdr:nvSpPr>
        <xdr:spPr>
          <a:xfrm>
            <a:off x="10151811" y="10617979"/>
            <a:ext cx="298498" cy="99930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2" name="テキスト ボックス 101">
            <a:extLst>
              <a:ext uri="{FF2B5EF4-FFF2-40B4-BE49-F238E27FC236}">
                <a16:creationId xmlns:a16="http://schemas.microsoft.com/office/drawing/2014/main" id="{6275FF69-CFFE-609B-2728-9F29D730EA07}"/>
              </a:ext>
            </a:extLst>
          </xdr:cNvPr>
          <xdr:cNvSpPr txBox="1"/>
        </xdr:nvSpPr>
        <xdr:spPr>
          <a:xfrm>
            <a:off x="10117823" y="11676601"/>
            <a:ext cx="356784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03" name="正方形/長方形 102">
            <a:extLst>
              <a:ext uri="{FF2B5EF4-FFF2-40B4-BE49-F238E27FC236}">
                <a16:creationId xmlns:a16="http://schemas.microsoft.com/office/drawing/2014/main" id="{CCFF72AC-3F5A-7976-A204-301B5255C6C9}"/>
              </a:ext>
            </a:extLst>
          </xdr:cNvPr>
          <xdr:cNvSpPr/>
        </xdr:nvSpPr>
        <xdr:spPr>
          <a:xfrm>
            <a:off x="10175027" y="11690694"/>
            <a:ext cx="282036" cy="127231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4" name="テキスト ボックス 103">
            <a:extLst>
              <a:ext uri="{FF2B5EF4-FFF2-40B4-BE49-F238E27FC236}">
                <a16:creationId xmlns:a16="http://schemas.microsoft.com/office/drawing/2014/main" id="{8968D8F0-FEE4-F108-5544-58F4FB2090EC}"/>
              </a:ext>
            </a:extLst>
          </xdr:cNvPr>
          <xdr:cNvSpPr txBox="1"/>
        </xdr:nvSpPr>
        <xdr:spPr>
          <a:xfrm>
            <a:off x="10120674" y="12997757"/>
            <a:ext cx="356784" cy="3041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05" name="正方形/長方形 104">
            <a:extLst>
              <a:ext uri="{FF2B5EF4-FFF2-40B4-BE49-F238E27FC236}">
                <a16:creationId xmlns:a16="http://schemas.microsoft.com/office/drawing/2014/main" id="{6C238E0C-A08F-948C-18DD-62CBAD11C41D}"/>
              </a:ext>
            </a:extLst>
          </xdr:cNvPr>
          <xdr:cNvSpPr/>
        </xdr:nvSpPr>
        <xdr:spPr>
          <a:xfrm>
            <a:off x="10150160" y="13017099"/>
            <a:ext cx="306902" cy="157769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6" name="テキスト ボックス 105">
            <a:extLst>
              <a:ext uri="{FF2B5EF4-FFF2-40B4-BE49-F238E27FC236}">
                <a16:creationId xmlns:a16="http://schemas.microsoft.com/office/drawing/2014/main" id="{1334A23A-8063-4005-9AE2-35F89B7A3B1A}"/>
              </a:ext>
            </a:extLst>
          </xdr:cNvPr>
          <xdr:cNvSpPr txBox="1"/>
        </xdr:nvSpPr>
        <xdr:spPr>
          <a:xfrm>
            <a:off x="10129967" y="14596671"/>
            <a:ext cx="356784" cy="2864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21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07" name="正方形/長方形 106">
            <a:extLst>
              <a:ext uri="{FF2B5EF4-FFF2-40B4-BE49-F238E27FC236}">
                <a16:creationId xmlns:a16="http://schemas.microsoft.com/office/drawing/2014/main" id="{A0EFD4F1-A4F1-B668-300A-6FD401ED3D93}"/>
              </a:ext>
            </a:extLst>
          </xdr:cNvPr>
          <xdr:cNvSpPr/>
        </xdr:nvSpPr>
        <xdr:spPr>
          <a:xfrm>
            <a:off x="10164616" y="14622951"/>
            <a:ext cx="287580" cy="723900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8" name="テキスト ボックス 107">
            <a:extLst>
              <a:ext uri="{FF2B5EF4-FFF2-40B4-BE49-F238E27FC236}">
                <a16:creationId xmlns:a16="http://schemas.microsoft.com/office/drawing/2014/main" id="{F6423317-547A-E06C-0D9F-43A99EC8CB82}"/>
              </a:ext>
            </a:extLst>
          </xdr:cNvPr>
          <xdr:cNvSpPr txBox="1"/>
        </xdr:nvSpPr>
        <xdr:spPr>
          <a:xfrm>
            <a:off x="10118648" y="15409298"/>
            <a:ext cx="356784" cy="2986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22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09" name="正方形/長方形 108">
            <a:extLst>
              <a:ext uri="{FF2B5EF4-FFF2-40B4-BE49-F238E27FC236}">
                <a16:creationId xmlns:a16="http://schemas.microsoft.com/office/drawing/2014/main" id="{52D1E70A-4590-DB8E-328F-8F9EAF94986C}"/>
              </a:ext>
            </a:extLst>
          </xdr:cNvPr>
          <xdr:cNvSpPr/>
        </xdr:nvSpPr>
        <xdr:spPr>
          <a:xfrm>
            <a:off x="10151371" y="15404180"/>
            <a:ext cx="320193" cy="101134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</xdr:grpSp>
    <xdr:clientData/>
  </xdr:twoCellAnchor>
  <xdr:twoCellAnchor editAs="oneCell">
    <xdr:from>
      <xdr:col>9</xdr:col>
      <xdr:colOff>1862210</xdr:colOff>
      <xdr:row>37</xdr:row>
      <xdr:rowOff>41562</xdr:rowOff>
    </xdr:from>
    <xdr:to>
      <xdr:col>10</xdr:col>
      <xdr:colOff>59005</xdr:colOff>
      <xdr:row>38</xdr:row>
      <xdr:rowOff>184515</xdr:rowOff>
    </xdr:to>
    <xdr:pic>
      <xdr:nvPicPr>
        <xdr:cNvPr id="238" name="図 237">
          <a:extLst>
            <a:ext uri="{FF2B5EF4-FFF2-40B4-BE49-F238E27FC236}">
              <a16:creationId xmlns:a16="http://schemas.microsoft.com/office/drawing/2014/main" id="{136B6681-B058-4DB4-9B57-C91AE4A96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 flipV="1">
          <a:off x="9565337" y="9504217"/>
          <a:ext cx="579777" cy="392334"/>
        </a:xfrm>
        <a:prstGeom prst="rect">
          <a:avLst/>
        </a:prstGeom>
      </xdr:spPr>
    </xdr:pic>
    <xdr:clientData/>
  </xdr:twoCellAnchor>
  <xdr:twoCellAnchor editAs="oneCell">
    <xdr:from>
      <xdr:col>8</xdr:col>
      <xdr:colOff>98464</xdr:colOff>
      <xdr:row>56</xdr:row>
      <xdr:rowOff>106176</xdr:rowOff>
    </xdr:from>
    <xdr:to>
      <xdr:col>9</xdr:col>
      <xdr:colOff>207818</xdr:colOff>
      <xdr:row>58</xdr:row>
      <xdr:rowOff>193808</xdr:rowOff>
    </xdr:to>
    <xdr:pic>
      <xdr:nvPicPr>
        <xdr:cNvPr id="239" name="図 238">
          <a:extLst>
            <a:ext uri="{FF2B5EF4-FFF2-40B4-BE49-F238E27FC236}">
              <a16:creationId xmlns:a16="http://schemas.microsoft.com/office/drawing/2014/main" id="{0479B5A5-42CA-01CF-8F98-FA3672B30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8687063" flipH="1" flipV="1">
          <a:off x="7496791" y="14307085"/>
          <a:ext cx="414154" cy="586396"/>
        </a:xfrm>
        <a:prstGeom prst="rect">
          <a:avLst/>
        </a:prstGeom>
      </xdr:spPr>
    </xdr:pic>
    <xdr:clientData/>
  </xdr:twoCellAnchor>
  <xdr:twoCellAnchor editAs="oneCell">
    <xdr:from>
      <xdr:col>9</xdr:col>
      <xdr:colOff>1700961</xdr:colOff>
      <xdr:row>55</xdr:row>
      <xdr:rowOff>58882</xdr:rowOff>
    </xdr:from>
    <xdr:to>
      <xdr:col>10</xdr:col>
      <xdr:colOff>124</xdr:colOff>
      <xdr:row>57</xdr:row>
      <xdr:rowOff>21724</xdr:rowOff>
    </xdr:to>
    <xdr:pic>
      <xdr:nvPicPr>
        <xdr:cNvPr id="240" name="図 239">
          <a:extLst>
            <a:ext uri="{FF2B5EF4-FFF2-40B4-BE49-F238E27FC236}">
              <a16:creationId xmlns:a16="http://schemas.microsoft.com/office/drawing/2014/main" id="{0445A488-4584-66E5-3A5A-52370647C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 flipV="1">
          <a:off x="9459506" y="13619018"/>
          <a:ext cx="689073" cy="447751"/>
        </a:xfrm>
        <a:prstGeom prst="rect">
          <a:avLst/>
        </a:prstGeom>
      </xdr:spPr>
    </xdr:pic>
    <xdr:clientData/>
  </xdr:twoCellAnchor>
  <xdr:twoCellAnchor>
    <xdr:from>
      <xdr:col>6</xdr:col>
      <xdr:colOff>2592208</xdr:colOff>
      <xdr:row>0</xdr:row>
      <xdr:rowOff>253448</xdr:rowOff>
    </xdr:from>
    <xdr:to>
      <xdr:col>8</xdr:col>
      <xdr:colOff>17415</xdr:colOff>
      <xdr:row>61</xdr:row>
      <xdr:rowOff>102486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34B2B26F-DF29-357F-7651-D247238768AD}"/>
            </a:ext>
          </a:extLst>
        </xdr:cNvPr>
        <xdr:cNvGrpSpPr/>
      </xdr:nvGrpSpPr>
      <xdr:grpSpPr>
        <a:xfrm>
          <a:off x="7055351" y="253448"/>
          <a:ext cx="353464" cy="15350295"/>
          <a:chOff x="10108794" y="291548"/>
          <a:chExt cx="377957" cy="16308238"/>
        </a:xfrm>
      </xdr:grpSpPr>
      <xdr:sp macro="" textlink="">
        <xdr:nvSpPr>
          <xdr:cNvPr id="8" name="四角形: 角を丸くする 7">
            <a:extLst>
              <a:ext uri="{FF2B5EF4-FFF2-40B4-BE49-F238E27FC236}">
                <a16:creationId xmlns:a16="http://schemas.microsoft.com/office/drawing/2014/main" id="{724BADF4-0722-3077-FC73-238A8E40842C}"/>
              </a:ext>
            </a:extLst>
          </xdr:cNvPr>
          <xdr:cNvSpPr/>
        </xdr:nvSpPr>
        <xdr:spPr>
          <a:xfrm>
            <a:off x="10128411" y="291548"/>
            <a:ext cx="336454" cy="16308238"/>
          </a:xfrm>
          <a:prstGeom prst="roundRect">
            <a:avLst/>
          </a:prstGeom>
          <a:gradFill flip="none" rotWithShape="1">
            <a:gsLst>
              <a:gs pos="0">
                <a:srgbClr val="33715C"/>
              </a:gs>
              <a:gs pos="6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EE6A5637-2CAA-6504-2AA9-2E8C7CDAAA96}"/>
              </a:ext>
            </a:extLst>
          </xdr:cNvPr>
          <xdr:cNvSpPr txBox="1"/>
        </xdr:nvSpPr>
        <xdr:spPr>
          <a:xfrm>
            <a:off x="10174714" y="461804"/>
            <a:ext cx="261085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EF26BC5B-D1AD-434E-AF3B-F311EA4D82DF}"/>
              </a:ext>
            </a:extLst>
          </xdr:cNvPr>
          <xdr:cNvSpPr/>
        </xdr:nvSpPr>
        <xdr:spPr>
          <a:xfrm>
            <a:off x="10179974" y="465046"/>
            <a:ext cx="269938" cy="156243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684BF4C6-E2D0-1AAA-8584-F93A448BFCEE}"/>
              </a:ext>
            </a:extLst>
          </xdr:cNvPr>
          <xdr:cNvSpPr txBox="1"/>
        </xdr:nvSpPr>
        <xdr:spPr>
          <a:xfrm>
            <a:off x="10175024" y="2062883"/>
            <a:ext cx="261521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354BFE6A-2B1B-3B63-19DE-C29F5CA28DBC}"/>
              </a:ext>
            </a:extLst>
          </xdr:cNvPr>
          <xdr:cNvSpPr/>
        </xdr:nvSpPr>
        <xdr:spPr>
          <a:xfrm>
            <a:off x="10175308" y="2084605"/>
            <a:ext cx="274603" cy="15260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453473E6-410C-D85D-6D90-0BAD49E70D08}"/>
              </a:ext>
            </a:extLst>
          </xdr:cNvPr>
          <xdr:cNvSpPr txBox="1"/>
        </xdr:nvSpPr>
        <xdr:spPr>
          <a:xfrm>
            <a:off x="10122391" y="3615577"/>
            <a:ext cx="352253" cy="3268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3B7C14FC-97F2-64D6-32FB-0A975A2BD9F2}"/>
              </a:ext>
            </a:extLst>
          </xdr:cNvPr>
          <xdr:cNvSpPr/>
        </xdr:nvSpPr>
        <xdr:spPr>
          <a:xfrm>
            <a:off x="10178324" y="3667702"/>
            <a:ext cx="270867" cy="23397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BC4D5E51-6474-C96D-7DD0-1343E5BFEA2C}"/>
              </a:ext>
            </a:extLst>
          </xdr:cNvPr>
          <xdr:cNvSpPr txBox="1"/>
        </xdr:nvSpPr>
        <xdr:spPr>
          <a:xfrm>
            <a:off x="10126416" y="3926905"/>
            <a:ext cx="356784" cy="297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3D331361-7301-35C9-D6C1-CE440CFB4EE2}"/>
              </a:ext>
            </a:extLst>
          </xdr:cNvPr>
          <xdr:cNvSpPr/>
        </xdr:nvSpPr>
        <xdr:spPr>
          <a:xfrm>
            <a:off x="10181028" y="3950588"/>
            <a:ext cx="277664" cy="45328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E6F4EB85-CD32-054A-D4D9-CB124F19501C}"/>
              </a:ext>
            </a:extLst>
          </xdr:cNvPr>
          <xdr:cNvSpPr txBox="1"/>
        </xdr:nvSpPr>
        <xdr:spPr>
          <a:xfrm>
            <a:off x="10129770" y="4408208"/>
            <a:ext cx="356784" cy="3191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DB96CA68-B647-C5A6-677C-AC6621143CE9}"/>
              </a:ext>
            </a:extLst>
          </xdr:cNvPr>
          <xdr:cNvSpPr/>
        </xdr:nvSpPr>
        <xdr:spPr>
          <a:xfrm>
            <a:off x="10181936" y="4426796"/>
            <a:ext cx="263917" cy="26585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83464CE4-313D-7A77-991A-1FD4EC5FA03B}"/>
              </a:ext>
            </a:extLst>
          </xdr:cNvPr>
          <xdr:cNvSpPr txBox="1"/>
        </xdr:nvSpPr>
        <xdr:spPr>
          <a:xfrm>
            <a:off x="10120296" y="4693291"/>
            <a:ext cx="356784" cy="3284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5BEA521A-1241-7D9D-FCD8-F5070A28C040}"/>
              </a:ext>
            </a:extLst>
          </xdr:cNvPr>
          <xdr:cNvSpPr/>
        </xdr:nvSpPr>
        <xdr:spPr>
          <a:xfrm>
            <a:off x="10179974" y="4725523"/>
            <a:ext cx="269189" cy="54429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E3E31F09-4F6F-2366-0B6F-34EF1F6173B4}"/>
              </a:ext>
            </a:extLst>
          </xdr:cNvPr>
          <xdr:cNvSpPr txBox="1"/>
        </xdr:nvSpPr>
        <xdr:spPr>
          <a:xfrm>
            <a:off x="10115728" y="5258819"/>
            <a:ext cx="356784" cy="307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BB037957-0735-7432-A15B-50F51A76101B}"/>
              </a:ext>
            </a:extLst>
          </xdr:cNvPr>
          <xdr:cNvSpPr/>
        </xdr:nvSpPr>
        <xdr:spPr>
          <a:xfrm>
            <a:off x="10175027" y="5289872"/>
            <a:ext cx="269189" cy="73917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7608351F-21F2-5FF4-1D2C-903BB09D12A9}"/>
              </a:ext>
            </a:extLst>
          </xdr:cNvPr>
          <xdr:cNvSpPr txBox="1"/>
        </xdr:nvSpPr>
        <xdr:spPr>
          <a:xfrm>
            <a:off x="10114278" y="6009379"/>
            <a:ext cx="356784" cy="3213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97481C4C-2C44-7191-6A0E-37D25E02DB23}"/>
              </a:ext>
            </a:extLst>
          </xdr:cNvPr>
          <xdr:cNvSpPr/>
        </xdr:nvSpPr>
        <xdr:spPr>
          <a:xfrm>
            <a:off x="10150161" y="6076702"/>
            <a:ext cx="283832" cy="9993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73C0ACFC-995E-F9E7-4B49-C089BC4BF197}"/>
              </a:ext>
            </a:extLst>
          </xdr:cNvPr>
          <xdr:cNvSpPr txBox="1"/>
        </xdr:nvSpPr>
        <xdr:spPr>
          <a:xfrm>
            <a:off x="10110469" y="7096111"/>
            <a:ext cx="356784" cy="3284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11A69CBC-7B84-4176-3D1E-A2993AC87B5D}"/>
              </a:ext>
            </a:extLst>
          </xdr:cNvPr>
          <xdr:cNvSpPr/>
        </xdr:nvSpPr>
        <xdr:spPr>
          <a:xfrm>
            <a:off x="10173375" y="7136537"/>
            <a:ext cx="263917" cy="182053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7" name="テキスト ボックス 26">
            <a:extLst>
              <a:ext uri="{FF2B5EF4-FFF2-40B4-BE49-F238E27FC236}">
                <a16:creationId xmlns:a16="http://schemas.microsoft.com/office/drawing/2014/main" id="{8DFB50C0-55E9-7DA5-A4F7-D4D29FD1A639}"/>
              </a:ext>
            </a:extLst>
          </xdr:cNvPr>
          <xdr:cNvSpPr txBox="1"/>
        </xdr:nvSpPr>
        <xdr:spPr>
          <a:xfrm>
            <a:off x="10111699" y="8963768"/>
            <a:ext cx="356784" cy="3148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4D7A54BC-A8DE-3278-95BC-C918F6F95465}"/>
              </a:ext>
            </a:extLst>
          </xdr:cNvPr>
          <xdr:cNvSpPr/>
        </xdr:nvSpPr>
        <xdr:spPr>
          <a:xfrm>
            <a:off x="10181935" y="9003506"/>
            <a:ext cx="263917" cy="155393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9" name="テキスト ボックス 28">
            <a:extLst>
              <a:ext uri="{FF2B5EF4-FFF2-40B4-BE49-F238E27FC236}">
                <a16:creationId xmlns:a16="http://schemas.microsoft.com/office/drawing/2014/main" id="{7268F6E7-A5BA-3F7B-6E9E-A975E1B5A695}"/>
              </a:ext>
            </a:extLst>
          </xdr:cNvPr>
          <xdr:cNvSpPr txBox="1"/>
        </xdr:nvSpPr>
        <xdr:spPr>
          <a:xfrm>
            <a:off x="10108794" y="10562226"/>
            <a:ext cx="356784" cy="3191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3F77F7BF-78AD-A7DF-0E21-858AC3142301}"/>
              </a:ext>
            </a:extLst>
          </xdr:cNvPr>
          <xdr:cNvSpPr/>
        </xdr:nvSpPr>
        <xdr:spPr>
          <a:xfrm>
            <a:off x="10151811" y="10617979"/>
            <a:ext cx="298498" cy="99930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31" name="テキスト ボックス 30">
            <a:extLst>
              <a:ext uri="{FF2B5EF4-FFF2-40B4-BE49-F238E27FC236}">
                <a16:creationId xmlns:a16="http://schemas.microsoft.com/office/drawing/2014/main" id="{A5EE869E-A725-6929-0DC4-71FF038C6B2C}"/>
              </a:ext>
            </a:extLst>
          </xdr:cNvPr>
          <xdr:cNvSpPr txBox="1"/>
        </xdr:nvSpPr>
        <xdr:spPr>
          <a:xfrm>
            <a:off x="10117823" y="11676601"/>
            <a:ext cx="356784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479B62FC-7680-EED0-15C4-67A460D543E5}"/>
              </a:ext>
            </a:extLst>
          </xdr:cNvPr>
          <xdr:cNvSpPr/>
        </xdr:nvSpPr>
        <xdr:spPr>
          <a:xfrm>
            <a:off x="10175027" y="11690694"/>
            <a:ext cx="282036" cy="127231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33" name="テキスト ボックス 32">
            <a:extLst>
              <a:ext uri="{FF2B5EF4-FFF2-40B4-BE49-F238E27FC236}">
                <a16:creationId xmlns:a16="http://schemas.microsoft.com/office/drawing/2014/main" id="{39EC8248-969E-E343-01ED-1BD0185E3020}"/>
              </a:ext>
            </a:extLst>
          </xdr:cNvPr>
          <xdr:cNvSpPr txBox="1"/>
        </xdr:nvSpPr>
        <xdr:spPr>
          <a:xfrm>
            <a:off x="10120674" y="12997757"/>
            <a:ext cx="356784" cy="3041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FDFDEC6F-8758-C771-C7E0-F9DBA707BC62}"/>
              </a:ext>
            </a:extLst>
          </xdr:cNvPr>
          <xdr:cNvSpPr/>
        </xdr:nvSpPr>
        <xdr:spPr>
          <a:xfrm>
            <a:off x="10150160" y="13017099"/>
            <a:ext cx="306902" cy="157769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35" name="テキスト ボックス 34">
            <a:extLst>
              <a:ext uri="{FF2B5EF4-FFF2-40B4-BE49-F238E27FC236}">
                <a16:creationId xmlns:a16="http://schemas.microsoft.com/office/drawing/2014/main" id="{00676FD1-5B4E-7469-DD2C-BB1C65014AAF}"/>
              </a:ext>
            </a:extLst>
          </xdr:cNvPr>
          <xdr:cNvSpPr txBox="1"/>
        </xdr:nvSpPr>
        <xdr:spPr>
          <a:xfrm>
            <a:off x="10129967" y="14596671"/>
            <a:ext cx="356784" cy="2864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21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5FC94B25-E771-61D0-CF15-420727591133}"/>
              </a:ext>
            </a:extLst>
          </xdr:cNvPr>
          <xdr:cNvSpPr/>
        </xdr:nvSpPr>
        <xdr:spPr>
          <a:xfrm>
            <a:off x="10152780" y="14622951"/>
            <a:ext cx="287580" cy="723900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37" name="テキスト ボックス 36">
            <a:extLst>
              <a:ext uri="{FF2B5EF4-FFF2-40B4-BE49-F238E27FC236}">
                <a16:creationId xmlns:a16="http://schemas.microsoft.com/office/drawing/2014/main" id="{FEE5726B-A375-AC3F-AEF0-E154F2A69AE7}"/>
              </a:ext>
            </a:extLst>
          </xdr:cNvPr>
          <xdr:cNvSpPr txBox="1"/>
        </xdr:nvSpPr>
        <xdr:spPr>
          <a:xfrm>
            <a:off x="10118648" y="15409298"/>
            <a:ext cx="356784" cy="2986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22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C742461A-3EA9-3EBD-EA73-9795AF03BA24}"/>
              </a:ext>
            </a:extLst>
          </xdr:cNvPr>
          <xdr:cNvSpPr/>
        </xdr:nvSpPr>
        <xdr:spPr>
          <a:xfrm>
            <a:off x="10151371" y="15404180"/>
            <a:ext cx="320193" cy="101134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</xdr:grpSp>
    <xdr:clientData/>
  </xdr:twoCellAnchor>
  <xdr:twoCellAnchor>
    <xdr:from>
      <xdr:col>3</xdr:col>
      <xdr:colOff>2502401</xdr:colOff>
      <xdr:row>0</xdr:row>
      <xdr:rowOff>269776</xdr:rowOff>
    </xdr:from>
    <xdr:to>
      <xdr:col>5</xdr:col>
      <xdr:colOff>22858</xdr:colOff>
      <xdr:row>61</xdr:row>
      <xdr:rowOff>118814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484C827A-BD4E-FB8C-30D0-90D0786814CC}"/>
            </a:ext>
          </a:extLst>
        </xdr:cNvPr>
        <xdr:cNvGrpSpPr/>
      </xdr:nvGrpSpPr>
      <xdr:grpSpPr>
        <a:xfrm>
          <a:off x="3808687" y="269776"/>
          <a:ext cx="372514" cy="15350295"/>
          <a:chOff x="10108794" y="291548"/>
          <a:chExt cx="377957" cy="16308238"/>
        </a:xfrm>
      </xdr:grpSpPr>
      <xdr:sp macro="" textlink="">
        <xdr:nvSpPr>
          <xdr:cNvPr id="48" name="四角形: 角を丸くする 47">
            <a:extLst>
              <a:ext uri="{FF2B5EF4-FFF2-40B4-BE49-F238E27FC236}">
                <a16:creationId xmlns:a16="http://schemas.microsoft.com/office/drawing/2014/main" id="{19CA2855-122C-7B82-CF8E-4D79A817A585}"/>
              </a:ext>
            </a:extLst>
          </xdr:cNvPr>
          <xdr:cNvSpPr/>
        </xdr:nvSpPr>
        <xdr:spPr>
          <a:xfrm>
            <a:off x="10128411" y="291548"/>
            <a:ext cx="336454" cy="16308238"/>
          </a:xfrm>
          <a:prstGeom prst="roundRect">
            <a:avLst/>
          </a:prstGeom>
          <a:gradFill flip="none" rotWithShape="1">
            <a:gsLst>
              <a:gs pos="0">
                <a:srgbClr val="33715C"/>
              </a:gs>
              <a:gs pos="6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49" name="テキスト ボックス 48">
            <a:extLst>
              <a:ext uri="{FF2B5EF4-FFF2-40B4-BE49-F238E27FC236}">
                <a16:creationId xmlns:a16="http://schemas.microsoft.com/office/drawing/2014/main" id="{56DCDE6E-75A9-A5FE-8C4D-B9F00EFD0FF4}"/>
              </a:ext>
            </a:extLst>
          </xdr:cNvPr>
          <xdr:cNvSpPr txBox="1"/>
        </xdr:nvSpPr>
        <xdr:spPr>
          <a:xfrm>
            <a:off x="10174714" y="461804"/>
            <a:ext cx="261085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BEE055B2-5C99-9417-4A32-1D93220F0366}"/>
              </a:ext>
            </a:extLst>
          </xdr:cNvPr>
          <xdr:cNvSpPr/>
        </xdr:nvSpPr>
        <xdr:spPr>
          <a:xfrm>
            <a:off x="10179974" y="465046"/>
            <a:ext cx="269938" cy="156243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1" name="テキスト ボックス 50">
            <a:extLst>
              <a:ext uri="{FF2B5EF4-FFF2-40B4-BE49-F238E27FC236}">
                <a16:creationId xmlns:a16="http://schemas.microsoft.com/office/drawing/2014/main" id="{C78F17F8-1757-4461-04B7-F05B21DAD7E6}"/>
              </a:ext>
            </a:extLst>
          </xdr:cNvPr>
          <xdr:cNvSpPr txBox="1"/>
        </xdr:nvSpPr>
        <xdr:spPr>
          <a:xfrm>
            <a:off x="10175024" y="2062883"/>
            <a:ext cx="261521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DF62DD64-24B5-66AD-55F2-E4A590F65FAF}"/>
              </a:ext>
            </a:extLst>
          </xdr:cNvPr>
          <xdr:cNvSpPr/>
        </xdr:nvSpPr>
        <xdr:spPr>
          <a:xfrm>
            <a:off x="10175308" y="2084605"/>
            <a:ext cx="274603" cy="15260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3" name="テキスト ボックス 52">
            <a:extLst>
              <a:ext uri="{FF2B5EF4-FFF2-40B4-BE49-F238E27FC236}">
                <a16:creationId xmlns:a16="http://schemas.microsoft.com/office/drawing/2014/main" id="{21C33328-75EC-ABFA-8A43-427037AAF675}"/>
              </a:ext>
            </a:extLst>
          </xdr:cNvPr>
          <xdr:cNvSpPr txBox="1"/>
        </xdr:nvSpPr>
        <xdr:spPr>
          <a:xfrm>
            <a:off x="10122391" y="3615577"/>
            <a:ext cx="352253" cy="3268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65BBF5A9-6732-1C85-7729-81A8B1F3E7CE}"/>
              </a:ext>
            </a:extLst>
          </xdr:cNvPr>
          <xdr:cNvSpPr/>
        </xdr:nvSpPr>
        <xdr:spPr>
          <a:xfrm>
            <a:off x="10178324" y="3667702"/>
            <a:ext cx="270867" cy="23397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5" name="テキスト ボックス 54">
            <a:extLst>
              <a:ext uri="{FF2B5EF4-FFF2-40B4-BE49-F238E27FC236}">
                <a16:creationId xmlns:a16="http://schemas.microsoft.com/office/drawing/2014/main" id="{4C737874-7DF1-C580-2B64-FD64828CB8E1}"/>
              </a:ext>
            </a:extLst>
          </xdr:cNvPr>
          <xdr:cNvSpPr txBox="1"/>
        </xdr:nvSpPr>
        <xdr:spPr>
          <a:xfrm>
            <a:off x="10126416" y="3926905"/>
            <a:ext cx="356784" cy="297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DE0E1CAC-46B1-3AC9-44A7-F4D1A01DC530}"/>
              </a:ext>
            </a:extLst>
          </xdr:cNvPr>
          <xdr:cNvSpPr/>
        </xdr:nvSpPr>
        <xdr:spPr>
          <a:xfrm>
            <a:off x="10181028" y="3950588"/>
            <a:ext cx="277664" cy="45328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7" name="テキスト ボックス 56">
            <a:extLst>
              <a:ext uri="{FF2B5EF4-FFF2-40B4-BE49-F238E27FC236}">
                <a16:creationId xmlns:a16="http://schemas.microsoft.com/office/drawing/2014/main" id="{CD0DAA7E-945F-7D85-CAC5-3E5951E7982F}"/>
              </a:ext>
            </a:extLst>
          </xdr:cNvPr>
          <xdr:cNvSpPr txBox="1"/>
        </xdr:nvSpPr>
        <xdr:spPr>
          <a:xfrm>
            <a:off x="10129770" y="4408208"/>
            <a:ext cx="356784" cy="3191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F4B5A62C-4EDE-4379-A051-2501F7432CB4}"/>
              </a:ext>
            </a:extLst>
          </xdr:cNvPr>
          <xdr:cNvSpPr/>
        </xdr:nvSpPr>
        <xdr:spPr>
          <a:xfrm>
            <a:off x="10181936" y="4426796"/>
            <a:ext cx="263917" cy="26585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9" name="テキスト ボックス 58">
            <a:extLst>
              <a:ext uri="{FF2B5EF4-FFF2-40B4-BE49-F238E27FC236}">
                <a16:creationId xmlns:a16="http://schemas.microsoft.com/office/drawing/2014/main" id="{D90A96DD-D0C5-42BC-6638-4DE0474E9F41}"/>
              </a:ext>
            </a:extLst>
          </xdr:cNvPr>
          <xdr:cNvSpPr txBox="1"/>
        </xdr:nvSpPr>
        <xdr:spPr>
          <a:xfrm>
            <a:off x="10120296" y="4693291"/>
            <a:ext cx="356784" cy="3284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B49069BE-D4E3-1641-CF35-716C6353777C}"/>
              </a:ext>
            </a:extLst>
          </xdr:cNvPr>
          <xdr:cNvSpPr/>
        </xdr:nvSpPr>
        <xdr:spPr>
          <a:xfrm>
            <a:off x="10179974" y="4725523"/>
            <a:ext cx="269189" cy="54429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61" name="テキスト ボックス 60">
            <a:extLst>
              <a:ext uri="{FF2B5EF4-FFF2-40B4-BE49-F238E27FC236}">
                <a16:creationId xmlns:a16="http://schemas.microsoft.com/office/drawing/2014/main" id="{0D1EF496-D768-895D-7262-6317092CBFA3}"/>
              </a:ext>
            </a:extLst>
          </xdr:cNvPr>
          <xdr:cNvSpPr txBox="1"/>
        </xdr:nvSpPr>
        <xdr:spPr>
          <a:xfrm>
            <a:off x="10115728" y="5258819"/>
            <a:ext cx="356784" cy="307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5CFB50D8-2F82-9088-8712-058F408DFB54}"/>
              </a:ext>
            </a:extLst>
          </xdr:cNvPr>
          <xdr:cNvSpPr/>
        </xdr:nvSpPr>
        <xdr:spPr>
          <a:xfrm>
            <a:off x="10175027" y="5289872"/>
            <a:ext cx="269189" cy="73917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63" name="テキスト ボックス 62">
            <a:extLst>
              <a:ext uri="{FF2B5EF4-FFF2-40B4-BE49-F238E27FC236}">
                <a16:creationId xmlns:a16="http://schemas.microsoft.com/office/drawing/2014/main" id="{3345BA2C-128A-0A08-AA66-31F064AF6A27}"/>
              </a:ext>
            </a:extLst>
          </xdr:cNvPr>
          <xdr:cNvSpPr txBox="1"/>
        </xdr:nvSpPr>
        <xdr:spPr>
          <a:xfrm>
            <a:off x="10114278" y="6009379"/>
            <a:ext cx="356784" cy="3213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450F0157-64A9-8BED-7771-C222D53AC4F0}"/>
              </a:ext>
            </a:extLst>
          </xdr:cNvPr>
          <xdr:cNvSpPr/>
        </xdr:nvSpPr>
        <xdr:spPr>
          <a:xfrm>
            <a:off x="10150161" y="6076702"/>
            <a:ext cx="283832" cy="9993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65" name="テキスト ボックス 64">
            <a:extLst>
              <a:ext uri="{FF2B5EF4-FFF2-40B4-BE49-F238E27FC236}">
                <a16:creationId xmlns:a16="http://schemas.microsoft.com/office/drawing/2014/main" id="{88060C76-D859-A800-35BD-D274F29B46FF}"/>
              </a:ext>
            </a:extLst>
          </xdr:cNvPr>
          <xdr:cNvSpPr txBox="1"/>
        </xdr:nvSpPr>
        <xdr:spPr>
          <a:xfrm>
            <a:off x="10110469" y="7096111"/>
            <a:ext cx="356784" cy="3284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E6F2D46E-9033-9640-6EA4-050C84BB43EA}"/>
              </a:ext>
            </a:extLst>
          </xdr:cNvPr>
          <xdr:cNvSpPr/>
        </xdr:nvSpPr>
        <xdr:spPr>
          <a:xfrm>
            <a:off x="10173375" y="7136537"/>
            <a:ext cx="263917" cy="182053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1A1567A4-333F-6097-8D8F-1807FD8D4C63}"/>
              </a:ext>
            </a:extLst>
          </xdr:cNvPr>
          <xdr:cNvSpPr txBox="1"/>
        </xdr:nvSpPr>
        <xdr:spPr>
          <a:xfrm>
            <a:off x="10111699" y="8963768"/>
            <a:ext cx="356784" cy="3148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82AA2AA5-6D9D-EB25-70B7-BD1B97B7F8D5}"/>
              </a:ext>
            </a:extLst>
          </xdr:cNvPr>
          <xdr:cNvSpPr/>
        </xdr:nvSpPr>
        <xdr:spPr>
          <a:xfrm>
            <a:off x="10181935" y="9003506"/>
            <a:ext cx="263917" cy="155393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69" name="テキスト ボックス 68">
            <a:extLst>
              <a:ext uri="{FF2B5EF4-FFF2-40B4-BE49-F238E27FC236}">
                <a16:creationId xmlns:a16="http://schemas.microsoft.com/office/drawing/2014/main" id="{6F383B8E-449C-8AE3-807B-65B3E1AB51EA}"/>
              </a:ext>
            </a:extLst>
          </xdr:cNvPr>
          <xdr:cNvSpPr txBox="1"/>
        </xdr:nvSpPr>
        <xdr:spPr>
          <a:xfrm>
            <a:off x="10108794" y="10562226"/>
            <a:ext cx="356784" cy="3191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DC108AC8-296B-A37E-FC87-8582947DA30E}"/>
              </a:ext>
            </a:extLst>
          </xdr:cNvPr>
          <xdr:cNvSpPr/>
        </xdr:nvSpPr>
        <xdr:spPr>
          <a:xfrm>
            <a:off x="10151811" y="10617979"/>
            <a:ext cx="298498" cy="99930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B9EDD0D7-6314-82BD-78C5-B08EA1243CE9}"/>
              </a:ext>
            </a:extLst>
          </xdr:cNvPr>
          <xdr:cNvSpPr txBox="1"/>
        </xdr:nvSpPr>
        <xdr:spPr>
          <a:xfrm>
            <a:off x="10117823" y="11676601"/>
            <a:ext cx="356784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C47990E7-63FA-A1E6-2446-F21418AD7371}"/>
              </a:ext>
            </a:extLst>
          </xdr:cNvPr>
          <xdr:cNvSpPr/>
        </xdr:nvSpPr>
        <xdr:spPr>
          <a:xfrm>
            <a:off x="10175027" y="11690694"/>
            <a:ext cx="282036" cy="127231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73" name="テキスト ボックス 72">
            <a:extLst>
              <a:ext uri="{FF2B5EF4-FFF2-40B4-BE49-F238E27FC236}">
                <a16:creationId xmlns:a16="http://schemas.microsoft.com/office/drawing/2014/main" id="{E39D7B75-B161-5543-B9BC-2C784BA83B59}"/>
              </a:ext>
            </a:extLst>
          </xdr:cNvPr>
          <xdr:cNvSpPr txBox="1"/>
        </xdr:nvSpPr>
        <xdr:spPr>
          <a:xfrm>
            <a:off x="10120674" y="12997757"/>
            <a:ext cx="356784" cy="3041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BF5B755D-BED0-99BA-F956-FD3C7BFFA05A}"/>
              </a:ext>
            </a:extLst>
          </xdr:cNvPr>
          <xdr:cNvSpPr/>
        </xdr:nvSpPr>
        <xdr:spPr>
          <a:xfrm>
            <a:off x="10150160" y="13017099"/>
            <a:ext cx="306902" cy="157769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75" name="テキスト ボックス 74">
            <a:extLst>
              <a:ext uri="{FF2B5EF4-FFF2-40B4-BE49-F238E27FC236}">
                <a16:creationId xmlns:a16="http://schemas.microsoft.com/office/drawing/2014/main" id="{B61E3444-D7B6-6821-5618-9476EC1BC6FF}"/>
              </a:ext>
            </a:extLst>
          </xdr:cNvPr>
          <xdr:cNvSpPr txBox="1"/>
        </xdr:nvSpPr>
        <xdr:spPr>
          <a:xfrm>
            <a:off x="10129967" y="14596671"/>
            <a:ext cx="356784" cy="2864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21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1248B5BA-25D4-1BAA-B313-70E05240F90A}"/>
              </a:ext>
            </a:extLst>
          </xdr:cNvPr>
          <xdr:cNvSpPr/>
        </xdr:nvSpPr>
        <xdr:spPr>
          <a:xfrm>
            <a:off x="10153823" y="14622951"/>
            <a:ext cx="287580" cy="723900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77" name="テキスト ボックス 76">
            <a:extLst>
              <a:ext uri="{FF2B5EF4-FFF2-40B4-BE49-F238E27FC236}">
                <a16:creationId xmlns:a16="http://schemas.microsoft.com/office/drawing/2014/main" id="{27F500E5-90E1-2A1D-C73A-DFA1B42C4597}"/>
              </a:ext>
            </a:extLst>
          </xdr:cNvPr>
          <xdr:cNvSpPr txBox="1"/>
        </xdr:nvSpPr>
        <xdr:spPr>
          <a:xfrm>
            <a:off x="10118648" y="15409298"/>
            <a:ext cx="356784" cy="2986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22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78" name="正方形/長方形 77">
            <a:extLst>
              <a:ext uri="{FF2B5EF4-FFF2-40B4-BE49-F238E27FC236}">
                <a16:creationId xmlns:a16="http://schemas.microsoft.com/office/drawing/2014/main" id="{6194DE52-43A1-AC29-2A61-0FABEBB19E0C}"/>
              </a:ext>
            </a:extLst>
          </xdr:cNvPr>
          <xdr:cNvSpPr/>
        </xdr:nvSpPr>
        <xdr:spPr>
          <a:xfrm>
            <a:off x="10140165" y="15392096"/>
            <a:ext cx="320193" cy="101134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</xdr:grpSp>
    <xdr:clientData/>
  </xdr:twoCellAnchor>
  <xdr:twoCellAnchor>
    <xdr:from>
      <xdr:col>1</xdr:col>
      <xdr:colOff>48525</xdr:colOff>
      <xdr:row>0</xdr:row>
      <xdr:rowOff>329648</xdr:rowOff>
    </xdr:from>
    <xdr:to>
      <xdr:col>2</xdr:col>
      <xdr:colOff>22702</xdr:colOff>
      <xdr:row>61</xdr:row>
      <xdr:rowOff>178686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FF637313-7D77-401C-8587-3DFAA864B3FC}"/>
            </a:ext>
          </a:extLst>
        </xdr:cNvPr>
        <xdr:cNvGrpSpPr/>
      </xdr:nvGrpSpPr>
      <xdr:grpSpPr>
        <a:xfrm>
          <a:off x="701668" y="329648"/>
          <a:ext cx="322520" cy="15350295"/>
          <a:chOff x="10090216" y="291548"/>
          <a:chExt cx="396338" cy="16308238"/>
        </a:xfrm>
      </xdr:grpSpPr>
      <xdr:sp macro="" textlink="">
        <xdr:nvSpPr>
          <xdr:cNvPr id="111" name="四角形: 角を丸くする 110">
            <a:extLst>
              <a:ext uri="{FF2B5EF4-FFF2-40B4-BE49-F238E27FC236}">
                <a16:creationId xmlns:a16="http://schemas.microsoft.com/office/drawing/2014/main" id="{26815C12-0046-4E55-4D35-8C9250888270}"/>
              </a:ext>
            </a:extLst>
          </xdr:cNvPr>
          <xdr:cNvSpPr/>
        </xdr:nvSpPr>
        <xdr:spPr>
          <a:xfrm>
            <a:off x="10128411" y="291548"/>
            <a:ext cx="336454" cy="16308238"/>
          </a:xfrm>
          <a:prstGeom prst="roundRect">
            <a:avLst/>
          </a:prstGeom>
          <a:gradFill flip="none" rotWithShape="1">
            <a:gsLst>
              <a:gs pos="0">
                <a:srgbClr val="33715C"/>
              </a:gs>
              <a:gs pos="68000">
                <a:srgbClr val="4BB15E"/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2" name="テキスト ボックス 111">
            <a:extLst>
              <a:ext uri="{FF2B5EF4-FFF2-40B4-BE49-F238E27FC236}">
                <a16:creationId xmlns:a16="http://schemas.microsoft.com/office/drawing/2014/main" id="{5FAB46DF-82DE-2516-2F50-C88063B7A06F}"/>
              </a:ext>
            </a:extLst>
          </xdr:cNvPr>
          <xdr:cNvSpPr txBox="1"/>
        </xdr:nvSpPr>
        <xdr:spPr>
          <a:xfrm>
            <a:off x="10174714" y="461804"/>
            <a:ext cx="261085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CA72F90C-35F7-F7B0-A276-B41DAA703475}"/>
              </a:ext>
            </a:extLst>
          </xdr:cNvPr>
          <xdr:cNvSpPr/>
        </xdr:nvSpPr>
        <xdr:spPr>
          <a:xfrm>
            <a:off x="10179974" y="465046"/>
            <a:ext cx="269938" cy="156243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4" name="テキスト ボックス 113">
            <a:extLst>
              <a:ext uri="{FF2B5EF4-FFF2-40B4-BE49-F238E27FC236}">
                <a16:creationId xmlns:a16="http://schemas.microsoft.com/office/drawing/2014/main" id="{A3E42029-A16D-2A02-8C8D-5A726FDD2DCB}"/>
              </a:ext>
            </a:extLst>
          </xdr:cNvPr>
          <xdr:cNvSpPr txBox="1"/>
        </xdr:nvSpPr>
        <xdr:spPr>
          <a:xfrm>
            <a:off x="10175024" y="2062883"/>
            <a:ext cx="261521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115" name="正方形/長方形 114">
            <a:extLst>
              <a:ext uri="{FF2B5EF4-FFF2-40B4-BE49-F238E27FC236}">
                <a16:creationId xmlns:a16="http://schemas.microsoft.com/office/drawing/2014/main" id="{CE86B243-2E15-2010-25F2-4330EA2EF49D}"/>
              </a:ext>
            </a:extLst>
          </xdr:cNvPr>
          <xdr:cNvSpPr/>
        </xdr:nvSpPr>
        <xdr:spPr>
          <a:xfrm>
            <a:off x="10175308" y="2084605"/>
            <a:ext cx="274603" cy="15260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6" name="テキスト ボックス 115">
            <a:extLst>
              <a:ext uri="{FF2B5EF4-FFF2-40B4-BE49-F238E27FC236}">
                <a16:creationId xmlns:a16="http://schemas.microsoft.com/office/drawing/2014/main" id="{B0F9E97F-29EF-B249-B459-89631300313F}"/>
              </a:ext>
            </a:extLst>
          </xdr:cNvPr>
          <xdr:cNvSpPr txBox="1"/>
        </xdr:nvSpPr>
        <xdr:spPr>
          <a:xfrm>
            <a:off x="10122391" y="3615577"/>
            <a:ext cx="352253" cy="3268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117" name="正方形/長方形 116">
            <a:extLst>
              <a:ext uri="{FF2B5EF4-FFF2-40B4-BE49-F238E27FC236}">
                <a16:creationId xmlns:a16="http://schemas.microsoft.com/office/drawing/2014/main" id="{8BCA44D0-3064-3B1A-5C06-96703E9F9C62}"/>
              </a:ext>
            </a:extLst>
          </xdr:cNvPr>
          <xdr:cNvSpPr/>
        </xdr:nvSpPr>
        <xdr:spPr>
          <a:xfrm>
            <a:off x="10178324" y="3667702"/>
            <a:ext cx="270867" cy="23397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8" name="テキスト ボックス 117">
            <a:extLst>
              <a:ext uri="{FF2B5EF4-FFF2-40B4-BE49-F238E27FC236}">
                <a16:creationId xmlns:a16="http://schemas.microsoft.com/office/drawing/2014/main" id="{6E4E4826-F2F8-29A5-BCA1-A565A835B157}"/>
              </a:ext>
            </a:extLst>
          </xdr:cNvPr>
          <xdr:cNvSpPr txBox="1"/>
        </xdr:nvSpPr>
        <xdr:spPr>
          <a:xfrm>
            <a:off x="10126416" y="3926905"/>
            <a:ext cx="356784" cy="297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119" name="正方形/長方形 118">
            <a:extLst>
              <a:ext uri="{FF2B5EF4-FFF2-40B4-BE49-F238E27FC236}">
                <a16:creationId xmlns:a16="http://schemas.microsoft.com/office/drawing/2014/main" id="{6D9A33F2-4C03-F204-E178-E4BB9F2DE212}"/>
              </a:ext>
            </a:extLst>
          </xdr:cNvPr>
          <xdr:cNvSpPr/>
        </xdr:nvSpPr>
        <xdr:spPr>
          <a:xfrm>
            <a:off x="10181028" y="3950588"/>
            <a:ext cx="277664" cy="45328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20" name="テキスト ボックス 119">
            <a:extLst>
              <a:ext uri="{FF2B5EF4-FFF2-40B4-BE49-F238E27FC236}">
                <a16:creationId xmlns:a16="http://schemas.microsoft.com/office/drawing/2014/main" id="{BC20BBED-1BFE-EEB5-B4CB-C79A4D5FEF19}"/>
              </a:ext>
            </a:extLst>
          </xdr:cNvPr>
          <xdr:cNvSpPr txBox="1"/>
        </xdr:nvSpPr>
        <xdr:spPr>
          <a:xfrm>
            <a:off x="10129770" y="4408208"/>
            <a:ext cx="356784" cy="3191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21" name="正方形/長方形 120">
            <a:extLst>
              <a:ext uri="{FF2B5EF4-FFF2-40B4-BE49-F238E27FC236}">
                <a16:creationId xmlns:a16="http://schemas.microsoft.com/office/drawing/2014/main" id="{E572CF95-102E-CF03-1DCA-8499355DE8DB}"/>
              </a:ext>
            </a:extLst>
          </xdr:cNvPr>
          <xdr:cNvSpPr/>
        </xdr:nvSpPr>
        <xdr:spPr>
          <a:xfrm>
            <a:off x="10181936" y="4426796"/>
            <a:ext cx="263917" cy="26585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22" name="テキスト ボックス 121">
            <a:extLst>
              <a:ext uri="{FF2B5EF4-FFF2-40B4-BE49-F238E27FC236}">
                <a16:creationId xmlns:a16="http://schemas.microsoft.com/office/drawing/2014/main" id="{2911DA16-AAED-841C-7953-1968719FE692}"/>
              </a:ext>
            </a:extLst>
          </xdr:cNvPr>
          <xdr:cNvSpPr txBox="1"/>
        </xdr:nvSpPr>
        <xdr:spPr>
          <a:xfrm>
            <a:off x="10120296" y="4693291"/>
            <a:ext cx="356784" cy="3284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23" name="正方形/長方形 122">
            <a:extLst>
              <a:ext uri="{FF2B5EF4-FFF2-40B4-BE49-F238E27FC236}">
                <a16:creationId xmlns:a16="http://schemas.microsoft.com/office/drawing/2014/main" id="{86DE0EA9-4698-CB60-7109-A3ABF82BC8C9}"/>
              </a:ext>
            </a:extLst>
          </xdr:cNvPr>
          <xdr:cNvSpPr/>
        </xdr:nvSpPr>
        <xdr:spPr>
          <a:xfrm>
            <a:off x="10179974" y="4725523"/>
            <a:ext cx="269189" cy="54429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24" name="テキスト ボックス 123">
            <a:extLst>
              <a:ext uri="{FF2B5EF4-FFF2-40B4-BE49-F238E27FC236}">
                <a16:creationId xmlns:a16="http://schemas.microsoft.com/office/drawing/2014/main" id="{F16CF97E-D022-E2E5-379C-31F05E683C18}"/>
              </a:ext>
            </a:extLst>
          </xdr:cNvPr>
          <xdr:cNvSpPr txBox="1"/>
        </xdr:nvSpPr>
        <xdr:spPr>
          <a:xfrm>
            <a:off x="10115728" y="5258819"/>
            <a:ext cx="356784" cy="307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25" name="正方形/長方形 124">
            <a:extLst>
              <a:ext uri="{FF2B5EF4-FFF2-40B4-BE49-F238E27FC236}">
                <a16:creationId xmlns:a16="http://schemas.microsoft.com/office/drawing/2014/main" id="{F097116E-4AAD-EB01-BF3B-D88585108652}"/>
              </a:ext>
            </a:extLst>
          </xdr:cNvPr>
          <xdr:cNvSpPr/>
        </xdr:nvSpPr>
        <xdr:spPr>
          <a:xfrm>
            <a:off x="10175027" y="5289872"/>
            <a:ext cx="269189" cy="73917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26" name="テキスト ボックス 125">
            <a:extLst>
              <a:ext uri="{FF2B5EF4-FFF2-40B4-BE49-F238E27FC236}">
                <a16:creationId xmlns:a16="http://schemas.microsoft.com/office/drawing/2014/main" id="{F0D129E1-DF00-DD09-1B38-673EDCE61C2E}"/>
              </a:ext>
            </a:extLst>
          </xdr:cNvPr>
          <xdr:cNvSpPr txBox="1"/>
        </xdr:nvSpPr>
        <xdr:spPr>
          <a:xfrm>
            <a:off x="10114278" y="6009379"/>
            <a:ext cx="356784" cy="3213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27" name="正方形/長方形 126">
            <a:extLst>
              <a:ext uri="{FF2B5EF4-FFF2-40B4-BE49-F238E27FC236}">
                <a16:creationId xmlns:a16="http://schemas.microsoft.com/office/drawing/2014/main" id="{75CAAB1C-3560-0B3B-AB24-8448B12BFD2E}"/>
              </a:ext>
            </a:extLst>
          </xdr:cNvPr>
          <xdr:cNvSpPr/>
        </xdr:nvSpPr>
        <xdr:spPr>
          <a:xfrm>
            <a:off x="10150161" y="6076702"/>
            <a:ext cx="283832" cy="9993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28" name="テキスト ボックス 127">
            <a:extLst>
              <a:ext uri="{FF2B5EF4-FFF2-40B4-BE49-F238E27FC236}">
                <a16:creationId xmlns:a16="http://schemas.microsoft.com/office/drawing/2014/main" id="{3E23C26F-92EB-6914-CC2F-FC0813601748}"/>
              </a:ext>
            </a:extLst>
          </xdr:cNvPr>
          <xdr:cNvSpPr txBox="1"/>
        </xdr:nvSpPr>
        <xdr:spPr>
          <a:xfrm>
            <a:off x="10110469" y="7096111"/>
            <a:ext cx="356784" cy="3284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29" name="正方形/長方形 128">
            <a:extLst>
              <a:ext uri="{FF2B5EF4-FFF2-40B4-BE49-F238E27FC236}">
                <a16:creationId xmlns:a16="http://schemas.microsoft.com/office/drawing/2014/main" id="{2BAC5A54-203A-96F8-08DA-0C923C58BA96}"/>
              </a:ext>
            </a:extLst>
          </xdr:cNvPr>
          <xdr:cNvSpPr/>
        </xdr:nvSpPr>
        <xdr:spPr>
          <a:xfrm>
            <a:off x="10173375" y="7136537"/>
            <a:ext cx="263917" cy="182053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30" name="テキスト ボックス 129">
            <a:extLst>
              <a:ext uri="{FF2B5EF4-FFF2-40B4-BE49-F238E27FC236}">
                <a16:creationId xmlns:a16="http://schemas.microsoft.com/office/drawing/2014/main" id="{28C9B0E7-2273-72EC-36F5-AE6D829CF9AC}"/>
              </a:ext>
            </a:extLst>
          </xdr:cNvPr>
          <xdr:cNvSpPr txBox="1"/>
        </xdr:nvSpPr>
        <xdr:spPr>
          <a:xfrm>
            <a:off x="10111699" y="8963768"/>
            <a:ext cx="356784" cy="3148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31" name="正方形/長方形 130">
            <a:extLst>
              <a:ext uri="{FF2B5EF4-FFF2-40B4-BE49-F238E27FC236}">
                <a16:creationId xmlns:a16="http://schemas.microsoft.com/office/drawing/2014/main" id="{4EC64C39-6DCD-117B-22A3-15B7FE52F687}"/>
              </a:ext>
            </a:extLst>
          </xdr:cNvPr>
          <xdr:cNvSpPr/>
        </xdr:nvSpPr>
        <xdr:spPr>
          <a:xfrm>
            <a:off x="10181935" y="9003506"/>
            <a:ext cx="263917" cy="155393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32" name="テキスト ボックス 131">
            <a:extLst>
              <a:ext uri="{FF2B5EF4-FFF2-40B4-BE49-F238E27FC236}">
                <a16:creationId xmlns:a16="http://schemas.microsoft.com/office/drawing/2014/main" id="{14F92B0F-CD2D-0AB5-B675-1053C5CA32B0}"/>
              </a:ext>
            </a:extLst>
          </xdr:cNvPr>
          <xdr:cNvSpPr txBox="1"/>
        </xdr:nvSpPr>
        <xdr:spPr>
          <a:xfrm>
            <a:off x="10108794" y="10562226"/>
            <a:ext cx="356784" cy="3191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33" name="正方形/長方形 132">
            <a:extLst>
              <a:ext uri="{FF2B5EF4-FFF2-40B4-BE49-F238E27FC236}">
                <a16:creationId xmlns:a16="http://schemas.microsoft.com/office/drawing/2014/main" id="{55379682-32AE-9929-EFC1-4C19D34883C6}"/>
              </a:ext>
            </a:extLst>
          </xdr:cNvPr>
          <xdr:cNvSpPr/>
        </xdr:nvSpPr>
        <xdr:spPr>
          <a:xfrm>
            <a:off x="10151811" y="10617979"/>
            <a:ext cx="298498" cy="99930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34" name="テキスト ボックス 133">
            <a:extLst>
              <a:ext uri="{FF2B5EF4-FFF2-40B4-BE49-F238E27FC236}">
                <a16:creationId xmlns:a16="http://schemas.microsoft.com/office/drawing/2014/main" id="{B212AB21-0A23-899E-1BF7-19C40539F98D}"/>
              </a:ext>
            </a:extLst>
          </xdr:cNvPr>
          <xdr:cNvSpPr txBox="1"/>
        </xdr:nvSpPr>
        <xdr:spPr>
          <a:xfrm>
            <a:off x="10117823" y="11676601"/>
            <a:ext cx="356784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35" name="正方形/長方形 134">
            <a:extLst>
              <a:ext uri="{FF2B5EF4-FFF2-40B4-BE49-F238E27FC236}">
                <a16:creationId xmlns:a16="http://schemas.microsoft.com/office/drawing/2014/main" id="{45B762A8-685C-DE8F-2220-1F65342994A5}"/>
              </a:ext>
            </a:extLst>
          </xdr:cNvPr>
          <xdr:cNvSpPr/>
        </xdr:nvSpPr>
        <xdr:spPr>
          <a:xfrm>
            <a:off x="10175027" y="11690694"/>
            <a:ext cx="282036" cy="127231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36" name="テキスト ボックス 135">
            <a:extLst>
              <a:ext uri="{FF2B5EF4-FFF2-40B4-BE49-F238E27FC236}">
                <a16:creationId xmlns:a16="http://schemas.microsoft.com/office/drawing/2014/main" id="{8CBA5119-5117-944A-9FB1-D28DF1F12DD5}"/>
              </a:ext>
            </a:extLst>
          </xdr:cNvPr>
          <xdr:cNvSpPr txBox="1"/>
        </xdr:nvSpPr>
        <xdr:spPr>
          <a:xfrm>
            <a:off x="10120674" y="12997757"/>
            <a:ext cx="356784" cy="3041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37" name="正方形/長方形 136">
            <a:extLst>
              <a:ext uri="{FF2B5EF4-FFF2-40B4-BE49-F238E27FC236}">
                <a16:creationId xmlns:a16="http://schemas.microsoft.com/office/drawing/2014/main" id="{7D7E47BF-82DF-703B-59B3-353E5D6DF42B}"/>
              </a:ext>
            </a:extLst>
          </xdr:cNvPr>
          <xdr:cNvSpPr/>
        </xdr:nvSpPr>
        <xdr:spPr>
          <a:xfrm>
            <a:off x="10150160" y="13017099"/>
            <a:ext cx="306902" cy="157769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38" name="テキスト ボックス 137">
            <a:extLst>
              <a:ext uri="{FF2B5EF4-FFF2-40B4-BE49-F238E27FC236}">
                <a16:creationId xmlns:a16="http://schemas.microsoft.com/office/drawing/2014/main" id="{A41E31FE-7F35-9472-0B07-06DD015D1963}"/>
              </a:ext>
            </a:extLst>
          </xdr:cNvPr>
          <xdr:cNvSpPr txBox="1"/>
        </xdr:nvSpPr>
        <xdr:spPr>
          <a:xfrm>
            <a:off x="10090216" y="14596671"/>
            <a:ext cx="356784" cy="2864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21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39" name="正方形/長方形 138">
            <a:extLst>
              <a:ext uri="{FF2B5EF4-FFF2-40B4-BE49-F238E27FC236}">
                <a16:creationId xmlns:a16="http://schemas.microsoft.com/office/drawing/2014/main" id="{835E4E6F-F81E-C6E5-800B-BBE6249EACC5}"/>
              </a:ext>
            </a:extLst>
          </xdr:cNvPr>
          <xdr:cNvSpPr/>
        </xdr:nvSpPr>
        <xdr:spPr>
          <a:xfrm>
            <a:off x="10143205" y="14622951"/>
            <a:ext cx="287580" cy="723900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40" name="テキスト ボックス 139">
            <a:extLst>
              <a:ext uri="{FF2B5EF4-FFF2-40B4-BE49-F238E27FC236}">
                <a16:creationId xmlns:a16="http://schemas.microsoft.com/office/drawing/2014/main" id="{CE26C508-DFF9-E2E0-F65C-61F4CBC70E1B}"/>
              </a:ext>
            </a:extLst>
          </xdr:cNvPr>
          <xdr:cNvSpPr txBox="1"/>
        </xdr:nvSpPr>
        <xdr:spPr>
          <a:xfrm>
            <a:off x="10118648" y="15409298"/>
            <a:ext cx="356784" cy="2986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22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43" name="正方形/長方形 142">
            <a:extLst>
              <a:ext uri="{FF2B5EF4-FFF2-40B4-BE49-F238E27FC236}">
                <a16:creationId xmlns:a16="http://schemas.microsoft.com/office/drawing/2014/main" id="{7FE1B6EF-C7D9-FFE7-107F-8ACFDE64B927}"/>
              </a:ext>
            </a:extLst>
          </xdr:cNvPr>
          <xdr:cNvSpPr/>
        </xdr:nvSpPr>
        <xdr:spPr>
          <a:xfrm>
            <a:off x="10140361" y="15392096"/>
            <a:ext cx="320193" cy="101134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122425</xdr:colOff>
      <xdr:row>48</xdr:row>
      <xdr:rowOff>68579</xdr:rowOff>
    </xdr:from>
    <xdr:to>
      <xdr:col>9</xdr:col>
      <xdr:colOff>2142565</xdr:colOff>
      <xdr:row>52</xdr:row>
      <xdr:rowOff>116540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68BD0E3-ED01-4FB4-83C7-2DB8EC28CCBB}"/>
            </a:ext>
          </a:extLst>
        </xdr:cNvPr>
        <xdr:cNvSpPr/>
      </xdr:nvSpPr>
      <xdr:spPr>
        <a:xfrm>
          <a:off x="8104375" y="11384279"/>
          <a:ext cx="2020140" cy="103856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駒寄　山車　お囃子</a:t>
          </a:r>
          <a:endParaRPr kumimoji="1" lang="en-US" altLang="ja-JP" sz="1400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（会館脇に駐車）</a:t>
          </a:r>
        </a:p>
      </xdr:txBody>
    </xdr:sp>
    <xdr:clientData/>
  </xdr:twoCellAnchor>
  <xdr:twoCellAnchor editAs="oneCell">
    <xdr:from>
      <xdr:col>3</xdr:col>
      <xdr:colOff>2449287</xdr:colOff>
      <xdr:row>59</xdr:row>
      <xdr:rowOff>217715</xdr:rowOff>
    </xdr:from>
    <xdr:to>
      <xdr:col>4</xdr:col>
      <xdr:colOff>76213</xdr:colOff>
      <xdr:row>62</xdr:row>
      <xdr:rowOff>91030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0136C10-9D7F-41E6-AED1-5ACAA3053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080061" flipV="1">
          <a:off x="3573237" y="14257565"/>
          <a:ext cx="589201" cy="616266"/>
        </a:xfrm>
        <a:prstGeom prst="rect">
          <a:avLst/>
        </a:prstGeom>
      </xdr:spPr>
    </xdr:pic>
    <xdr:clientData/>
  </xdr:twoCellAnchor>
  <xdr:twoCellAnchor editAs="oneCell">
    <xdr:from>
      <xdr:col>1</xdr:col>
      <xdr:colOff>206828</xdr:colOff>
      <xdr:row>58</xdr:row>
      <xdr:rowOff>65313</xdr:rowOff>
    </xdr:from>
    <xdr:to>
      <xdr:col>3</xdr:col>
      <xdr:colOff>359354</xdr:colOff>
      <xdr:row>60</xdr:row>
      <xdr:rowOff>22339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7A1CF76D-F5D3-410D-9582-D9E5BFFB4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489857" y="14761027"/>
          <a:ext cx="718583" cy="457769"/>
        </a:xfrm>
        <a:prstGeom prst="rect">
          <a:avLst/>
        </a:prstGeom>
      </xdr:spPr>
    </xdr:pic>
    <xdr:clientData/>
  </xdr:twoCellAnchor>
  <xdr:twoCellAnchor editAs="oneCell">
    <xdr:from>
      <xdr:col>9</xdr:col>
      <xdr:colOff>2168447</xdr:colOff>
      <xdr:row>5</xdr:row>
      <xdr:rowOff>126201</xdr:rowOff>
    </xdr:from>
    <xdr:to>
      <xdr:col>10</xdr:col>
      <xdr:colOff>84086</xdr:colOff>
      <xdr:row>7</xdr:row>
      <xdr:rowOff>4366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30047625-BFA6-4730-8E92-7164D798C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56727" flipH="1" flipV="1">
          <a:off x="9875533" y="1552230"/>
          <a:ext cx="473782" cy="378907"/>
        </a:xfrm>
        <a:prstGeom prst="rect">
          <a:avLst/>
        </a:prstGeom>
      </xdr:spPr>
    </xdr:pic>
    <xdr:clientData/>
  </xdr:twoCellAnchor>
  <xdr:twoCellAnchor editAs="oneCell">
    <xdr:from>
      <xdr:col>8</xdr:col>
      <xdr:colOff>21773</xdr:colOff>
      <xdr:row>28</xdr:row>
      <xdr:rowOff>153681</xdr:rowOff>
    </xdr:from>
    <xdr:to>
      <xdr:col>9</xdr:col>
      <xdr:colOff>68984</xdr:colOff>
      <xdr:row>30</xdr:row>
      <xdr:rowOff>131841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9E95D6D5-5422-4E93-AFE3-3BC516B0A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756415" flipH="1" flipV="1">
          <a:off x="7659489" y="6534524"/>
          <a:ext cx="471220" cy="372182"/>
        </a:xfrm>
        <a:prstGeom prst="rect">
          <a:avLst/>
        </a:prstGeom>
      </xdr:spPr>
    </xdr:pic>
    <xdr:clientData/>
  </xdr:twoCellAnchor>
  <xdr:twoCellAnchor editAs="oneCell">
    <xdr:from>
      <xdr:col>3</xdr:col>
      <xdr:colOff>2413159</xdr:colOff>
      <xdr:row>55</xdr:row>
      <xdr:rowOff>87235</xdr:rowOff>
    </xdr:from>
    <xdr:to>
      <xdr:col>4</xdr:col>
      <xdr:colOff>108960</xdr:colOff>
      <xdr:row>57</xdr:row>
      <xdr:rowOff>5589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C750634F-CDEF-4DA7-A3D3-FB9CA3CFC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89886" flipH="1" flipV="1">
          <a:off x="3262245" y="13531092"/>
          <a:ext cx="656715" cy="419097"/>
        </a:xfrm>
        <a:prstGeom prst="rect">
          <a:avLst/>
        </a:prstGeom>
      </xdr:spPr>
    </xdr:pic>
    <xdr:clientData/>
  </xdr:twoCellAnchor>
  <xdr:oneCellAnchor>
    <xdr:from>
      <xdr:col>7</xdr:col>
      <xdr:colOff>20989</xdr:colOff>
      <xdr:row>45</xdr:row>
      <xdr:rowOff>211206</xdr:rowOff>
    </xdr:from>
    <xdr:ext cx="327654" cy="264560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25E8AD51-6F57-4BBD-82EA-4AD454E4D9FC}"/>
            </a:ext>
          </a:extLst>
        </xdr:cNvPr>
        <xdr:cNvSpPr txBox="1"/>
      </xdr:nvSpPr>
      <xdr:spPr>
        <a:xfrm>
          <a:off x="7431439" y="10783956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chemeClr val="bg1"/>
              </a:solidFill>
            </a:rPr>
            <a:t>18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0</xdr:col>
      <xdr:colOff>24565</xdr:colOff>
      <xdr:row>51</xdr:row>
      <xdr:rowOff>46520</xdr:rowOff>
    </xdr:from>
    <xdr:to>
      <xdr:col>1</xdr:col>
      <xdr:colOff>40522</xdr:colOff>
      <xdr:row>52</xdr:row>
      <xdr:rowOff>237153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CB755A7F-24D5-4755-9455-6A63B5792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080061">
          <a:off x="24565" y="12048020"/>
          <a:ext cx="388953" cy="437162"/>
        </a:xfrm>
        <a:prstGeom prst="rect">
          <a:avLst/>
        </a:prstGeom>
      </xdr:spPr>
    </xdr:pic>
    <xdr:clientData/>
  </xdr:twoCellAnchor>
  <xdr:twoCellAnchor editAs="oneCell">
    <xdr:from>
      <xdr:col>6</xdr:col>
      <xdr:colOff>2367047</xdr:colOff>
      <xdr:row>23</xdr:row>
      <xdr:rowOff>54836</xdr:rowOff>
    </xdr:from>
    <xdr:to>
      <xdr:col>7</xdr:col>
      <xdr:colOff>81</xdr:colOff>
      <xdr:row>25</xdr:row>
      <xdr:rowOff>63309</xdr:rowOff>
    </xdr:to>
    <xdr:pic>
      <xdr:nvPicPr>
        <xdr:cNvPr id="122" name="図 121">
          <a:extLst>
            <a:ext uri="{FF2B5EF4-FFF2-40B4-BE49-F238E27FC236}">
              <a16:creationId xmlns:a16="http://schemas.microsoft.com/office/drawing/2014/main" id="{1157853C-D8E5-4D66-BAA4-831D01BF7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V="1">
          <a:off x="6944334" y="5221624"/>
          <a:ext cx="503773" cy="419097"/>
        </a:xfrm>
        <a:prstGeom prst="rect">
          <a:avLst/>
        </a:prstGeom>
      </xdr:spPr>
    </xdr:pic>
    <xdr:clientData/>
  </xdr:twoCellAnchor>
  <xdr:oneCellAnchor>
    <xdr:from>
      <xdr:col>9</xdr:col>
      <xdr:colOff>1915883</xdr:colOff>
      <xdr:row>60</xdr:row>
      <xdr:rowOff>97971</xdr:rowOff>
    </xdr:from>
    <xdr:ext cx="718582" cy="457769"/>
    <xdr:pic>
      <xdr:nvPicPr>
        <xdr:cNvPr id="123" name="図 122">
          <a:extLst>
            <a:ext uri="{FF2B5EF4-FFF2-40B4-BE49-F238E27FC236}">
              <a16:creationId xmlns:a16="http://schemas.microsoft.com/office/drawing/2014/main" id="{8647A585-76BF-4EAD-B2F2-8AA31F4AF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9853468" flipV="1">
          <a:off x="9622969" y="15294428"/>
          <a:ext cx="718582" cy="457769"/>
        </a:xfrm>
        <a:prstGeom prst="rect">
          <a:avLst/>
        </a:prstGeom>
      </xdr:spPr>
    </xdr:pic>
    <xdr:clientData/>
  </xdr:oneCellAnchor>
  <xdr:oneCellAnchor>
    <xdr:from>
      <xdr:col>3</xdr:col>
      <xdr:colOff>2603233</xdr:colOff>
      <xdr:row>14</xdr:row>
      <xdr:rowOff>146690</xdr:rowOff>
    </xdr:from>
    <xdr:ext cx="480185" cy="357776"/>
    <xdr:pic>
      <xdr:nvPicPr>
        <xdr:cNvPr id="124" name="図 123">
          <a:extLst>
            <a:ext uri="{FF2B5EF4-FFF2-40B4-BE49-F238E27FC236}">
              <a16:creationId xmlns:a16="http://schemas.microsoft.com/office/drawing/2014/main" id="{D15D8E62-83A0-4C36-92BE-A1402CE15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98497" flipH="1" flipV="1">
          <a:off x="3723821" y="3766190"/>
          <a:ext cx="480185" cy="357776"/>
        </a:xfrm>
        <a:prstGeom prst="rect">
          <a:avLst/>
        </a:prstGeom>
      </xdr:spPr>
    </xdr:pic>
    <xdr:clientData/>
  </xdr:oneCellAnchor>
  <xdr:twoCellAnchor>
    <xdr:from>
      <xdr:col>9</xdr:col>
      <xdr:colOff>2484779</xdr:colOff>
      <xdr:row>0</xdr:row>
      <xdr:rowOff>218661</xdr:rowOff>
    </xdr:from>
    <xdr:to>
      <xdr:col>11</xdr:col>
      <xdr:colOff>16863</xdr:colOff>
      <xdr:row>64</xdr:row>
      <xdr:rowOff>53007</xdr:rowOff>
    </xdr:to>
    <xdr:grpSp>
      <xdr:nvGrpSpPr>
        <xdr:cNvPr id="211" name="グループ化 210">
          <a:extLst>
            <a:ext uri="{FF2B5EF4-FFF2-40B4-BE49-F238E27FC236}">
              <a16:creationId xmlns:a16="http://schemas.microsoft.com/office/drawing/2014/main" id="{5AC3C8DC-88C9-6A1B-93BA-E948820A819E}"/>
            </a:ext>
          </a:extLst>
        </xdr:cNvPr>
        <xdr:cNvGrpSpPr/>
      </xdr:nvGrpSpPr>
      <xdr:grpSpPr>
        <a:xfrm>
          <a:off x="10278950" y="218661"/>
          <a:ext cx="362370" cy="16032289"/>
          <a:chOff x="10201761" y="218661"/>
          <a:chExt cx="358411" cy="15974891"/>
        </a:xfrm>
      </xdr:grpSpPr>
      <xdr:sp macro="" textlink="">
        <xdr:nvSpPr>
          <xdr:cNvPr id="183" name="四角形: 角を丸くする 182">
            <a:extLst>
              <a:ext uri="{FF2B5EF4-FFF2-40B4-BE49-F238E27FC236}">
                <a16:creationId xmlns:a16="http://schemas.microsoft.com/office/drawing/2014/main" id="{16CF364C-CBC0-6C94-8DBD-0681E9CAF05E}"/>
              </a:ext>
            </a:extLst>
          </xdr:cNvPr>
          <xdr:cNvSpPr/>
        </xdr:nvSpPr>
        <xdr:spPr>
          <a:xfrm>
            <a:off x="10253789" y="218661"/>
            <a:ext cx="248589" cy="15974891"/>
          </a:xfrm>
          <a:prstGeom prst="roundRect">
            <a:avLst/>
          </a:prstGeom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84" name="テキスト ボックス 183">
            <a:extLst>
              <a:ext uri="{FF2B5EF4-FFF2-40B4-BE49-F238E27FC236}">
                <a16:creationId xmlns:a16="http://schemas.microsoft.com/office/drawing/2014/main" id="{57D26421-FA0A-B470-C4DF-5F7DE8394E4C}"/>
              </a:ext>
            </a:extLst>
          </xdr:cNvPr>
          <xdr:cNvSpPr txBox="1"/>
        </xdr:nvSpPr>
        <xdr:spPr>
          <a:xfrm>
            <a:off x="10266320" y="403304"/>
            <a:ext cx="256785" cy="3060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185" name="正方形/長方形 184">
            <a:extLst>
              <a:ext uri="{FF2B5EF4-FFF2-40B4-BE49-F238E27FC236}">
                <a16:creationId xmlns:a16="http://schemas.microsoft.com/office/drawing/2014/main" id="{BA6FEB81-94A4-4043-B477-F281D4B8F5BC}"/>
              </a:ext>
            </a:extLst>
          </xdr:cNvPr>
          <xdr:cNvSpPr/>
        </xdr:nvSpPr>
        <xdr:spPr>
          <a:xfrm>
            <a:off x="10269345" y="419560"/>
            <a:ext cx="223932" cy="14755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86" name="テキスト ボックス 185">
            <a:extLst>
              <a:ext uri="{FF2B5EF4-FFF2-40B4-BE49-F238E27FC236}">
                <a16:creationId xmlns:a16="http://schemas.microsoft.com/office/drawing/2014/main" id="{F2FFE101-8822-4BA7-DD95-27B2A13B0E5C}"/>
              </a:ext>
            </a:extLst>
          </xdr:cNvPr>
          <xdr:cNvSpPr txBox="1"/>
        </xdr:nvSpPr>
        <xdr:spPr>
          <a:xfrm>
            <a:off x="10265886" y="1951568"/>
            <a:ext cx="267303" cy="2936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187" name="正方形/長方形 186">
            <a:extLst>
              <a:ext uri="{FF2B5EF4-FFF2-40B4-BE49-F238E27FC236}">
                <a16:creationId xmlns:a16="http://schemas.microsoft.com/office/drawing/2014/main" id="{531ADCAA-BF50-72A5-CF8E-6AC084D534D3}"/>
              </a:ext>
            </a:extLst>
          </xdr:cNvPr>
          <xdr:cNvSpPr/>
        </xdr:nvSpPr>
        <xdr:spPr>
          <a:xfrm>
            <a:off x="10272508" y="1945661"/>
            <a:ext cx="220036" cy="119630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88" name="テキスト ボックス 187">
            <a:extLst>
              <a:ext uri="{FF2B5EF4-FFF2-40B4-BE49-F238E27FC236}">
                <a16:creationId xmlns:a16="http://schemas.microsoft.com/office/drawing/2014/main" id="{0FB5CBE2-C808-89F5-ABF5-1BD25E1C5A34}"/>
              </a:ext>
            </a:extLst>
          </xdr:cNvPr>
          <xdr:cNvSpPr txBox="1"/>
        </xdr:nvSpPr>
        <xdr:spPr>
          <a:xfrm>
            <a:off x="10213319" y="3178890"/>
            <a:ext cx="246755" cy="2568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189" name="正方形/長方形 188">
            <a:extLst>
              <a:ext uri="{FF2B5EF4-FFF2-40B4-BE49-F238E27FC236}">
                <a16:creationId xmlns:a16="http://schemas.microsoft.com/office/drawing/2014/main" id="{641987C2-C22A-53C0-AD2C-87C4F90242DF}"/>
              </a:ext>
            </a:extLst>
          </xdr:cNvPr>
          <xdr:cNvSpPr/>
        </xdr:nvSpPr>
        <xdr:spPr>
          <a:xfrm>
            <a:off x="10267763" y="3199196"/>
            <a:ext cx="223932" cy="169507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91" name="正方形/長方形 190">
            <a:extLst>
              <a:ext uri="{FF2B5EF4-FFF2-40B4-BE49-F238E27FC236}">
                <a16:creationId xmlns:a16="http://schemas.microsoft.com/office/drawing/2014/main" id="{09EF8981-EC8C-00E7-900C-4BF5FD148F84}"/>
              </a:ext>
            </a:extLst>
          </xdr:cNvPr>
          <xdr:cNvSpPr/>
        </xdr:nvSpPr>
        <xdr:spPr>
          <a:xfrm>
            <a:off x="10270927" y="4938241"/>
            <a:ext cx="215653" cy="144249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93" name="正方形/長方形 192">
            <a:extLst>
              <a:ext uri="{FF2B5EF4-FFF2-40B4-BE49-F238E27FC236}">
                <a16:creationId xmlns:a16="http://schemas.microsoft.com/office/drawing/2014/main" id="{A0703928-1BA6-C712-EDF7-03C805898DAF}"/>
              </a:ext>
            </a:extLst>
          </xdr:cNvPr>
          <xdr:cNvSpPr/>
        </xdr:nvSpPr>
        <xdr:spPr>
          <a:xfrm>
            <a:off x="10268033" y="6435675"/>
            <a:ext cx="226492" cy="1202479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95" name="正方形/長方形 194">
            <a:extLst>
              <a:ext uri="{FF2B5EF4-FFF2-40B4-BE49-F238E27FC236}">
                <a16:creationId xmlns:a16="http://schemas.microsoft.com/office/drawing/2014/main" id="{DBEDA1B6-42C5-8D8A-AE1E-CBA732A5F9FA}"/>
              </a:ext>
            </a:extLst>
          </xdr:cNvPr>
          <xdr:cNvSpPr/>
        </xdr:nvSpPr>
        <xdr:spPr>
          <a:xfrm>
            <a:off x="10267349" y="7682585"/>
            <a:ext cx="223932" cy="120247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97" name="正方形/長方形 196">
            <a:extLst>
              <a:ext uri="{FF2B5EF4-FFF2-40B4-BE49-F238E27FC236}">
                <a16:creationId xmlns:a16="http://schemas.microsoft.com/office/drawing/2014/main" id="{ABA65DF3-B406-FCA7-29B8-BAAA7D55A460}"/>
              </a:ext>
            </a:extLst>
          </xdr:cNvPr>
          <xdr:cNvSpPr/>
        </xdr:nvSpPr>
        <xdr:spPr>
          <a:xfrm>
            <a:off x="10267451" y="8924238"/>
            <a:ext cx="220817" cy="145186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99" name="正方形/長方形 198">
            <a:extLst>
              <a:ext uri="{FF2B5EF4-FFF2-40B4-BE49-F238E27FC236}">
                <a16:creationId xmlns:a16="http://schemas.microsoft.com/office/drawing/2014/main" id="{0B76973C-3003-59FC-3E93-2A03D9815513}"/>
              </a:ext>
            </a:extLst>
          </xdr:cNvPr>
          <xdr:cNvSpPr/>
        </xdr:nvSpPr>
        <xdr:spPr>
          <a:xfrm>
            <a:off x="10270316" y="10404764"/>
            <a:ext cx="222300" cy="1228755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01" name="正方形/長方形 200">
            <a:extLst>
              <a:ext uri="{FF2B5EF4-FFF2-40B4-BE49-F238E27FC236}">
                <a16:creationId xmlns:a16="http://schemas.microsoft.com/office/drawing/2014/main" id="{89D29775-76B3-A7FF-3E04-5DD1EE7DB520}"/>
              </a:ext>
            </a:extLst>
          </xdr:cNvPr>
          <xdr:cNvSpPr/>
        </xdr:nvSpPr>
        <xdr:spPr>
          <a:xfrm>
            <a:off x="10269930" y="11667439"/>
            <a:ext cx="222300" cy="1706496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03" name="正方形/長方形 202">
            <a:extLst>
              <a:ext uri="{FF2B5EF4-FFF2-40B4-BE49-F238E27FC236}">
                <a16:creationId xmlns:a16="http://schemas.microsoft.com/office/drawing/2014/main" id="{3AE4AA0D-258D-AA3D-A742-5DEEA2851663}"/>
              </a:ext>
            </a:extLst>
          </xdr:cNvPr>
          <xdr:cNvSpPr/>
        </xdr:nvSpPr>
        <xdr:spPr>
          <a:xfrm>
            <a:off x="10266195" y="13418365"/>
            <a:ext cx="225777" cy="953098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05" name="正方形/長方形 204">
            <a:extLst>
              <a:ext uri="{FF2B5EF4-FFF2-40B4-BE49-F238E27FC236}">
                <a16:creationId xmlns:a16="http://schemas.microsoft.com/office/drawing/2014/main" id="{550439D9-37FA-FC7D-9A2E-8BDC46705872}"/>
              </a:ext>
            </a:extLst>
          </xdr:cNvPr>
          <xdr:cNvSpPr/>
        </xdr:nvSpPr>
        <xdr:spPr>
          <a:xfrm>
            <a:off x="10270346" y="14426404"/>
            <a:ext cx="222300" cy="693204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06" name="テキスト ボックス 205">
            <a:extLst>
              <a:ext uri="{FF2B5EF4-FFF2-40B4-BE49-F238E27FC236}">
                <a16:creationId xmlns:a16="http://schemas.microsoft.com/office/drawing/2014/main" id="{7D997809-24B0-7E80-EF7F-87EE2B2F7F70}"/>
              </a:ext>
            </a:extLst>
          </xdr:cNvPr>
          <xdr:cNvSpPr txBox="1"/>
        </xdr:nvSpPr>
        <xdr:spPr>
          <a:xfrm>
            <a:off x="10208124" y="15139111"/>
            <a:ext cx="340323" cy="249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07" name="正方形/長方形 206">
            <a:extLst>
              <a:ext uri="{FF2B5EF4-FFF2-40B4-BE49-F238E27FC236}">
                <a16:creationId xmlns:a16="http://schemas.microsoft.com/office/drawing/2014/main" id="{A5FE2CBE-6A44-5760-5DC8-7CAE8C153A86}"/>
              </a:ext>
            </a:extLst>
          </xdr:cNvPr>
          <xdr:cNvSpPr/>
        </xdr:nvSpPr>
        <xdr:spPr>
          <a:xfrm>
            <a:off x="10268271" y="15169294"/>
            <a:ext cx="218447" cy="459697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09" name="正方形/長方形 208">
            <a:extLst>
              <a:ext uri="{FF2B5EF4-FFF2-40B4-BE49-F238E27FC236}">
                <a16:creationId xmlns:a16="http://schemas.microsoft.com/office/drawing/2014/main" id="{53E0F36D-5A0D-0A95-E204-734243B8F7C0}"/>
              </a:ext>
            </a:extLst>
          </xdr:cNvPr>
          <xdr:cNvSpPr/>
        </xdr:nvSpPr>
        <xdr:spPr>
          <a:xfrm>
            <a:off x="10268069" y="15663765"/>
            <a:ext cx="218447" cy="43235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90" name="テキスト ボックス 189">
            <a:extLst>
              <a:ext uri="{FF2B5EF4-FFF2-40B4-BE49-F238E27FC236}">
                <a16:creationId xmlns:a16="http://schemas.microsoft.com/office/drawing/2014/main" id="{AC2AEB9C-76B8-5920-214C-DBA1B0D1A3AE}"/>
              </a:ext>
            </a:extLst>
          </xdr:cNvPr>
          <xdr:cNvSpPr txBox="1"/>
        </xdr:nvSpPr>
        <xdr:spPr>
          <a:xfrm>
            <a:off x="10222282" y="4916379"/>
            <a:ext cx="334042" cy="3255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192" name="テキスト ボックス 191">
            <a:extLst>
              <a:ext uri="{FF2B5EF4-FFF2-40B4-BE49-F238E27FC236}">
                <a16:creationId xmlns:a16="http://schemas.microsoft.com/office/drawing/2014/main" id="{7854C256-35EC-81A6-FD63-7A333A1CCD57}"/>
              </a:ext>
            </a:extLst>
          </xdr:cNvPr>
          <xdr:cNvSpPr txBox="1"/>
        </xdr:nvSpPr>
        <xdr:spPr>
          <a:xfrm>
            <a:off x="10226130" y="6423746"/>
            <a:ext cx="334042" cy="27459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94" name="テキスト ボックス 193">
            <a:extLst>
              <a:ext uri="{FF2B5EF4-FFF2-40B4-BE49-F238E27FC236}">
                <a16:creationId xmlns:a16="http://schemas.microsoft.com/office/drawing/2014/main" id="{92721E92-35CE-AD5A-D744-A9CE11A3739D}"/>
              </a:ext>
            </a:extLst>
          </xdr:cNvPr>
          <xdr:cNvSpPr txBox="1"/>
        </xdr:nvSpPr>
        <xdr:spPr>
          <a:xfrm>
            <a:off x="10214630" y="7658339"/>
            <a:ext cx="334042" cy="2925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96" name="テキスト ボックス 195">
            <a:extLst>
              <a:ext uri="{FF2B5EF4-FFF2-40B4-BE49-F238E27FC236}">
                <a16:creationId xmlns:a16="http://schemas.microsoft.com/office/drawing/2014/main" id="{3268F532-065F-5914-D897-7DEF04A5CBA8}"/>
              </a:ext>
            </a:extLst>
          </xdr:cNvPr>
          <xdr:cNvSpPr txBox="1"/>
        </xdr:nvSpPr>
        <xdr:spPr>
          <a:xfrm>
            <a:off x="10201761" y="8887252"/>
            <a:ext cx="330220" cy="27155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98" name="テキスト ボックス 197">
            <a:extLst>
              <a:ext uri="{FF2B5EF4-FFF2-40B4-BE49-F238E27FC236}">
                <a16:creationId xmlns:a16="http://schemas.microsoft.com/office/drawing/2014/main" id="{C5448E94-7C04-8161-E8E3-726DBAB55FC6}"/>
              </a:ext>
            </a:extLst>
          </xdr:cNvPr>
          <xdr:cNvSpPr txBox="1"/>
        </xdr:nvSpPr>
        <xdr:spPr>
          <a:xfrm>
            <a:off x="10215098" y="10377013"/>
            <a:ext cx="334042" cy="2906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00" name="テキスト ボックス 199">
            <a:extLst>
              <a:ext uri="{FF2B5EF4-FFF2-40B4-BE49-F238E27FC236}">
                <a16:creationId xmlns:a16="http://schemas.microsoft.com/office/drawing/2014/main" id="{07A0CD6D-58A4-AEEC-2190-A96E64D7E7F7}"/>
              </a:ext>
            </a:extLst>
          </xdr:cNvPr>
          <xdr:cNvSpPr txBox="1"/>
        </xdr:nvSpPr>
        <xdr:spPr>
          <a:xfrm>
            <a:off x="10212961" y="11643122"/>
            <a:ext cx="334042" cy="2906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02" name="テキスト ボックス 201">
            <a:extLst>
              <a:ext uri="{FF2B5EF4-FFF2-40B4-BE49-F238E27FC236}">
                <a16:creationId xmlns:a16="http://schemas.microsoft.com/office/drawing/2014/main" id="{B6ED219A-3F4B-C3A1-67DF-F07E6F9F68BF}"/>
              </a:ext>
            </a:extLst>
          </xdr:cNvPr>
          <xdr:cNvSpPr txBox="1"/>
        </xdr:nvSpPr>
        <xdr:spPr>
          <a:xfrm>
            <a:off x="10209320" y="13385049"/>
            <a:ext cx="334042" cy="2898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04" name="テキスト ボックス 203">
            <a:extLst>
              <a:ext uri="{FF2B5EF4-FFF2-40B4-BE49-F238E27FC236}">
                <a16:creationId xmlns:a16="http://schemas.microsoft.com/office/drawing/2014/main" id="{C10D5C20-54F3-D777-3A80-2397624C32C0}"/>
              </a:ext>
            </a:extLst>
          </xdr:cNvPr>
          <xdr:cNvSpPr txBox="1"/>
        </xdr:nvSpPr>
        <xdr:spPr>
          <a:xfrm>
            <a:off x="10207083" y="14401626"/>
            <a:ext cx="330220" cy="2659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08" name="テキスト ボックス 207">
            <a:extLst>
              <a:ext uri="{FF2B5EF4-FFF2-40B4-BE49-F238E27FC236}">
                <a16:creationId xmlns:a16="http://schemas.microsoft.com/office/drawing/2014/main" id="{6D4BCE3B-0F99-8589-EBEE-39B257BF9FEA}"/>
              </a:ext>
            </a:extLst>
          </xdr:cNvPr>
          <xdr:cNvSpPr txBox="1"/>
        </xdr:nvSpPr>
        <xdr:spPr>
          <a:xfrm>
            <a:off x="10221193" y="15634510"/>
            <a:ext cx="334042" cy="2912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6</xdr:col>
      <xdr:colOff>2734161</xdr:colOff>
      <xdr:row>0</xdr:row>
      <xdr:rowOff>204807</xdr:rowOff>
    </xdr:from>
    <xdr:to>
      <xdr:col>8</xdr:col>
      <xdr:colOff>58427</xdr:colOff>
      <xdr:row>64</xdr:row>
      <xdr:rowOff>39153</xdr:rowOff>
    </xdr:to>
    <xdr:grpSp>
      <xdr:nvGrpSpPr>
        <xdr:cNvPr id="212" name="グループ化 211">
          <a:extLst>
            <a:ext uri="{FF2B5EF4-FFF2-40B4-BE49-F238E27FC236}">
              <a16:creationId xmlns:a16="http://schemas.microsoft.com/office/drawing/2014/main" id="{F0E369AB-CF11-101D-3461-F0778FEB8E97}"/>
            </a:ext>
          </a:extLst>
        </xdr:cNvPr>
        <xdr:cNvGrpSpPr/>
      </xdr:nvGrpSpPr>
      <xdr:grpSpPr>
        <a:xfrm>
          <a:off x="7186418" y="204807"/>
          <a:ext cx="350495" cy="16032289"/>
          <a:chOff x="10201761" y="218661"/>
          <a:chExt cx="358411" cy="15974891"/>
        </a:xfrm>
      </xdr:grpSpPr>
      <xdr:sp macro="" textlink="">
        <xdr:nvSpPr>
          <xdr:cNvPr id="213" name="四角形: 角を丸くする 212">
            <a:extLst>
              <a:ext uri="{FF2B5EF4-FFF2-40B4-BE49-F238E27FC236}">
                <a16:creationId xmlns:a16="http://schemas.microsoft.com/office/drawing/2014/main" id="{47A3DCE8-4C14-007A-2D42-10AA6A91F3FA}"/>
              </a:ext>
            </a:extLst>
          </xdr:cNvPr>
          <xdr:cNvSpPr/>
        </xdr:nvSpPr>
        <xdr:spPr>
          <a:xfrm>
            <a:off x="10253789" y="218661"/>
            <a:ext cx="248589" cy="15974891"/>
          </a:xfrm>
          <a:prstGeom prst="roundRect">
            <a:avLst/>
          </a:prstGeom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14" name="テキスト ボックス 213">
            <a:extLst>
              <a:ext uri="{FF2B5EF4-FFF2-40B4-BE49-F238E27FC236}">
                <a16:creationId xmlns:a16="http://schemas.microsoft.com/office/drawing/2014/main" id="{29574CE4-2A8D-9C90-DA90-836F78A5D300}"/>
              </a:ext>
            </a:extLst>
          </xdr:cNvPr>
          <xdr:cNvSpPr txBox="1"/>
        </xdr:nvSpPr>
        <xdr:spPr>
          <a:xfrm>
            <a:off x="10266320" y="403304"/>
            <a:ext cx="256785" cy="3060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215" name="正方形/長方形 214">
            <a:extLst>
              <a:ext uri="{FF2B5EF4-FFF2-40B4-BE49-F238E27FC236}">
                <a16:creationId xmlns:a16="http://schemas.microsoft.com/office/drawing/2014/main" id="{FCA50419-790B-E94B-6AA5-9EA2554FAA02}"/>
              </a:ext>
            </a:extLst>
          </xdr:cNvPr>
          <xdr:cNvSpPr/>
        </xdr:nvSpPr>
        <xdr:spPr>
          <a:xfrm>
            <a:off x="10269345" y="419560"/>
            <a:ext cx="223932" cy="14755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16" name="テキスト ボックス 215">
            <a:extLst>
              <a:ext uri="{FF2B5EF4-FFF2-40B4-BE49-F238E27FC236}">
                <a16:creationId xmlns:a16="http://schemas.microsoft.com/office/drawing/2014/main" id="{05F54134-5AB1-A978-8829-8E85CE4395EA}"/>
              </a:ext>
            </a:extLst>
          </xdr:cNvPr>
          <xdr:cNvSpPr txBox="1"/>
        </xdr:nvSpPr>
        <xdr:spPr>
          <a:xfrm>
            <a:off x="10265886" y="1951568"/>
            <a:ext cx="267303" cy="2936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217" name="正方形/長方形 216">
            <a:extLst>
              <a:ext uri="{FF2B5EF4-FFF2-40B4-BE49-F238E27FC236}">
                <a16:creationId xmlns:a16="http://schemas.microsoft.com/office/drawing/2014/main" id="{2D91EB66-A33C-D86B-22B8-90672719E3BF}"/>
              </a:ext>
            </a:extLst>
          </xdr:cNvPr>
          <xdr:cNvSpPr/>
        </xdr:nvSpPr>
        <xdr:spPr>
          <a:xfrm>
            <a:off x="10272508" y="1945661"/>
            <a:ext cx="220036" cy="119630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18" name="テキスト ボックス 217">
            <a:extLst>
              <a:ext uri="{FF2B5EF4-FFF2-40B4-BE49-F238E27FC236}">
                <a16:creationId xmlns:a16="http://schemas.microsoft.com/office/drawing/2014/main" id="{26D75D92-4EFD-27CD-C18E-56333DD8F8D4}"/>
              </a:ext>
            </a:extLst>
          </xdr:cNvPr>
          <xdr:cNvSpPr txBox="1"/>
        </xdr:nvSpPr>
        <xdr:spPr>
          <a:xfrm>
            <a:off x="10213319" y="3178890"/>
            <a:ext cx="246755" cy="2568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219" name="正方形/長方形 218">
            <a:extLst>
              <a:ext uri="{FF2B5EF4-FFF2-40B4-BE49-F238E27FC236}">
                <a16:creationId xmlns:a16="http://schemas.microsoft.com/office/drawing/2014/main" id="{BD995662-8B09-3FAB-61E2-F23A06B5B041}"/>
              </a:ext>
            </a:extLst>
          </xdr:cNvPr>
          <xdr:cNvSpPr/>
        </xdr:nvSpPr>
        <xdr:spPr>
          <a:xfrm>
            <a:off x="10267763" y="3199196"/>
            <a:ext cx="223932" cy="169507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20" name="正方形/長方形 219">
            <a:extLst>
              <a:ext uri="{FF2B5EF4-FFF2-40B4-BE49-F238E27FC236}">
                <a16:creationId xmlns:a16="http://schemas.microsoft.com/office/drawing/2014/main" id="{3115176A-16D9-A098-DC8B-4A8962FA10C7}"/>
              </a:ext>
            </a:extLst>
          </xdr:cNvPr>
          <xdr:cNvSpPr/>
        </xdr:nvSpPr>
        <xdr:spPr>
          <a:xfrm>
            <a:off x="10270927" y="4938241"/>
            <a:ext cx="215653" cy="144249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21" name="正方形/長方形 220">
            <a:extLst>
              <a:ext uri="{FF2B5EF4-FFF2-40B4-BE49-F238E27FC236}">
                <a16:creationId xmlns:a16="http://schemas.microsoft.com/office/drawing/2014/main" id="{14887198-57C4-66CE-A01C-D15089366DB5}"/>
              </a:ext>
            </a:extLst>
          </xdr:cNvPr>
          <xdr:cNvSpPr/>
        </xdr:nvSpPr>
        <xdr:spPr>
          <a:xfrm>
            <a:off x="10268033" y="6435675"/>
            <a:ext cx="226492" cy="1202479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22" name="正方形/長方形 221">
            <a:extLst>
              <a:ext uri="{FF2B5EF4-FFF2-40B4-BE49-F238E27FC236}">
                <a16:creationId xmlns:a16="http://schemas.microsoft.com/office/drawing/2014/main" id="{EDB31C70-FD67-92EA-9BAB-24D462AD71A2}"/>
              </a:ext>
            </a:extLst>
          </xdr:cNvPr>
          <xdr:cNvSpPr/>
        </xdr:nvSpPr>
        <xdr:spPr>
          <a:xfrm>
            <a:off x="10267349" y="7682585"/>
            <a:ext cx="223932" cy="120247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23" name="正方形/長方形 222">
            <a:extLst>
              <a:ext uri="{FF2B5EF4-FFF2-40B4-BE49-F238E27FC236}">
                <a16:creationId xmlns:a16="http://schemas.microsoft.com/office/drawing/2014/main" id="{A053953D-2F3D-9954-05A3-8AD98F2B3C40}"/>
              </a:ext>
            </a:extLst>
          </xdr:cNvPr>
          <xdr:cNvSpPr/>
        </xdr:nvSpPr>
        <xdr:spPr>
          <a:xfrm>
            <a:off x="10267451" y="8924238"/>
            <a:ext cx="220817" cy="145186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24" name="正方形/長方形 223">
            <a:extLst>
              <a:ext uri="{FF2B5EF4-FFF2-40B4-BE49-F238E27FC236}">
                <a16:creationId xmlns:a16="http://schemas.microsoft.com/office/drawing/2014/main" id="{BCFB905B-6F73-10AF-9401-CAC107780CB3}"/>
              </a:ext>
            </a:extLst>
          </xdr:cNvPr>
          <xdr:cNvSpPr/>
        </xdr:nvSpPr>
        <xdr:spPr>
          <a:xfrm>
            <a:off x="10270316" y="10404764"/>
            <a:ext cx="222300" cy="1228755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25" name="正方形/長方形 224">
            <a:extLst>
              <a:ext uri="{FF2B5EF4-FFF2-40B4-BE49-F238E27FC236}">
                <a16:creationId xmlns:a16="http://schemas.microsoft.com/office/drawing/2014/main" id="{4FD25029-82E9-4CC6-65EB-28C08E86642B}"/>
              </a:ext>
            </a:extLst>
          </xdr:cNvPr>
          <xdr:cNvSpPr/>
        </xdr:nvSpPr>
        <xdr:spPr>
          <a:xfrm>
            <a:off x="10269930" y="11667439"/>
            <a:ext cx="222300" cy="1706496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26" name="正方形/長方形 225">
            <a:extLst>
              <a:ext uri="{FF2B5EF4-FFF2-40B4-BE49-F238E27FC236}">
                <a16:creationId xmlns:a16="http://schemas.microsoft.com/office/drawing/2014/main" id="{3C493723-CA63-C27C-6A94-87B5B524C079}"/>
              </a:ext>
            </a:extLst>
          </xdr:cNvPr>
          <xdr:cNvSpPr/>
        </xdr:nvSpPr>
        <xdr:spPr>
          <a:xfrm>
            <a:off x="10266195" y="13418365"/>
            <a:ext cx="225777" cy="953098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27" name="正方形/長方形 226">
            <a:extLst>
              <a:ext uri="{FF2B5EF4-FFF2-40B4-BE49-F238E27FC236}">
                <a16:creationId xmlns:a16="http://schemas.microsoft.com/office/drawing/2014/main" id="{4879E550-CD68-FBF1-F366-489D5B5BE334}"/>
              </a:ext>
            </a:extLst>
          </xdr:cNvPr>
          <xdr:cNvSpPr/>
        </xdr:nvSpPr>
        <xdr:spPr>
          <a:xfrm>
            <a:off x="10270346" y="14426404"/>
            <a:ext cx="222300" cy="693204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28" name="テキスト ボックス 227">
            <a:extLst>
              <a:ext uri="{FF2B5EF4-FFF2-40B4-BE49-F238E27FC236}">
                <a16:creationId xmlns:a16="http://schemas.microsoft.com/office/drawing/2014/main" id="{B6365645-A9B9-2FFA-569F-DFB59CC6243C}"/>
              </a:ext>
            </a:extLst>
          </xdr:cNvPr>
          <xdr:cNvSpPr txBox="1"/>
        </xdr:nvSpPr>
        <xdr:spPr>
          <a:xfrm>
            <a:off x="10208124" y="15139111"/>
            <a:ext cx="340323" cy="249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29" name="正方形/長方形 228">
            <a:extLst>
              <a:ext uri="{FF2B5EF4-FFF2-40B4-BE49-F238E27FC236}">
                <a16:creationId xmlns:a16="http://schemas.microsoft.com/office/drawing/2014/main" id="{623D3B0C-8909-9A3A-B0C5-8168D46191F0}"/>
              </a:ext>
            </a:extLst>
          </xdr:cNvPr>
          <xdr:cNvSpPr/>
        </xdr:nvSpPr>
        <xdr:spPr>
          <a:xfrm>
            <a:off x="10268271" y="15169294"/>
            <a:ext cx="218447" cy="459697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30" name="正方形/長方形 229">
            <a:extLst>
              <a:ext uri="{FF2B5EF4-FFF2-40B4-BE49-F238E27FC236}">
                <a16:creationId xmlns:a16="http://schemas.microsoft.com/office/drawing/2014/main" id="{B543BC7B-8DDE-7BCB-BAD3-6045BAD79222}"/>
              </a:ext>
            </a:extLst>
          </xdr:cNvPr>
          <xdr:cNvSpPr/>
        </xdr:nvSpPr>
        <xdr:spPr>
          <a:xfrm>
            <a:off x="10268069" y="15663765"/>
            <a:ext cx="218447" cy="43235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31" name="テキスト ボックス 230">
            <a:extLst>
              <a:ext uri="{FF2B5EF4-FFF2-40B4-BE49-F238E27FC236}">
                <a16:creationId xmlns:a16="http://schemas.microsoft.com/office/drawing/2014/main" id="{C2DEB229-A925-766B-B2A3-2ED3359CCBAA}"/>
              </a:ext>
            </a:extLst>
          </xdr:cNvPr>
          <xdr:cNvSpPr txBox="1"/>
        </xdr:nvSpPr>
        <xdr:spPr>
          <a:xfrm>
            <a:off x="10222282" y="4916379"/>
            <a:ext cx="334042" cy="3255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232" name="テキスト ボックス 231">
            <a:extLst>
              <a:ext uri="{FF2B5EF4-FFF2-40B4-BE49-F238E27FC236}">
                <a16:creationId xmlns:a16="http://schemas.microsoft.com/office/drawing/2014/main" id="{0F1AFEC5-85EF-797E-AFD1-2B0B9D608139}"/>
              </a:ext>
            </a:extLst>
          </xdr:cNvPr>
          <xdr:cNvSpPr txBox="1"/>
        </xdr:nvSpPr>
        <xdr:spPr>
          <a:xfrm>
            <a:off x="10226130" y="6423746"/>
            <a:ext cx="334042" cy="27459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33" name="テキスト ボックス 232">
            <a:extLst>
              <a:ext uri="{FF2B5EF4-FFF2-40B4-BE49-F238E27FC236}">
                <a16:creationId xmlns:a16="http://schemas.microsoft.com/office/drawing/2014/main" id="{20F310CB-F141-B275-2EEE-61B6F3ABA8ED}"/>
              </a:ext>
            </a:extLst>
          </xdr:cNvPr>
          <xdr:cNvSpPr txBox="1"/>
        </xdr:nvSpPr>
        <xdr:spPr>
          <a:xfrm>
            <a:off x="10214630" y="7658339"/>
            <a:ext cx="334042" cy="2925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34" name="テキスト ボックス 233">
            <a:extLst>
              <a:ext uri="{FF2B5EF4-FFF2-40B4-BE49-F238E27FC236}">
                <a16:creationId xmlns:a16="http://schemas.microsoft.com/office/drawing/2014/main" id="{52B9AA99-16D9-B053-95C0-41F64546C2E5}"/>
              </a:ext>
            </a:extLst>
          </xdr:cNvPr>
          <xdr:cNvSpPr txBox="1"/>
        </xdr:nvSpPr>
        <xdr:spPr>
          <a:xfrm>
            <a:off x="10201761" y="8887252"/>
            <a:ext cx="330220" cy="27155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35" name="テキスト ボックス 234">
            <a:extLst>
              <a:ext uri="{FF2B5EF4-FFF2-40B4-BE49-F238E27FC236}">
                <a16:creationId xmlns:a16="http://schemas.microsoft.com/office/drawing/2014/main" id="{296952D6-9AB2-1B1D-53D9-D2654FC7931E}"/>
              </a:ext>
            </a:extLst>
          </xdr:cNvPr>
          <xdr:cNvSpPr txBox="1"/>
        </xdr:nvSpPr>
        <xdr:spPr>
          <a:xfrm>
            <a:off x="10215098" y="10377013"/>
            <a:ext cx="334042" cy="2906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36" name="テキスト ボックス 235">
            <a:extLst>
              <a:ext uri="{FF2B5EF4-FFF2-40B4-BE49-F238E27FC236}">
                <a16:creationId xmlns:a16="http://schemas.microsoft.com/office/drawing/2014/main" id="{3342F5B6-5340-0600-821F-9059614EA04F}"/>
              </a:ext>
            </a:extLst>
          </xdr:cNvPr>
          <xdr:cNvSpPr txBox="1"/>
        </xdr:nvSpPr>
        <xdr:spPr>
          <a:xfrm>
            <a:off x="10212961" y="11643122"/>
            <a:ext cx="334042" cy="2906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37" name="テキスト ボックス 236">
            <a:extLst>
              <a:ext uri="{FF2B5EF4-FFF2-40B4-BE49-F238E27FC236}">
                <a16:creationId xmlns:a16="http://schemas.microsoft.com/office/drawing/2014/main" id="{B2FA9116-4AE4-09E9-73EA-7052EC6027FA}"/>
              </a:ext>
            </a:extLst>
          </xdr:cNvPr>
          <xdr:cNvSpPr txBox="1"/>
        </xdr:nvSpPr>
        <xdr:spPr>
          <a:xfrm>
            <a:off x="10209320" y="13385049"/>
            <a:ext cx="334042" cy="2898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38" name="テキスト ボックス 237">
            <a:extLst>
              <a:ext uri="{FF2B5EF4-FFF2-40B4-BE49-F238E27FC236}">
                <a16:creationId xmlns:a16="http://schemas.microsoft.com/office/drawing/2014/main" id="{640DC2DF-DE91-FD96-FDF0-ECFF16E189E8}"/>
              </a:ext>
            </a:extLst>
          </xdr:cNvPr>
          <xdr:cNvSpPr txBox="1"/>
        </xdr:nvSpPr>
        <xdr:spPr>
          <a:xfrm>
            <a:off x="10207083" y="14401626"/>
            <a:ext cx="330220" cy="2659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39" name="テキスト ボックス 238">
            <a:extLst>
              <a:ext uri="{FF2B5EF4-FFF2-40B4-BE49-F238E27FC236}">
                <a16:creationId xmlns:a16="http://schemas.microsoft.com/office/drawing/2014/main" id="{B4F2E262-6ABD-C742-BDE2-EA56D475A84A}"/>
              </a:ext>
            </a:extLst>
          </xdr:cNvPr>
          <xdr:cNvSpPr txBox="1"/>
        </xdr:nvSpPr>
        <xdr:spPr>
          <a:xfrm>
            <a:off x="10221193" y="15634510"/>
            <a:ext cx="334042" cy="2912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</xdr:col>
      <xdr:colOff>2941978</xdr:colOff>
      <xdr:row>0</xdr:row>
      <xdr:rowOff>190953</xdr:rowOff>
    </xdr:from>
    <xdr:to>
      <xdr:col>5</xdr:col>
      <xdr:colOff>58425</xdr:colOff>
      <xdr:row>64</xdr:row>
      <xdr:rowOff>25299</xdr:rowOff>
    </xdr:to>
    <xdr:grpSp>
      <xdr:nvGrpSpPr>
        <xdr:cNvPr id="240" name="グループ化 239">
          <a:extLst>
            <a:ext uri="{FF2B5EF4-FFF2-40B4-BE49-F238E27FC236}">
              <a16:creationId xmlns:a16="http://schemas.microsoft.com/office/drawing/2014/main" id="{31BD607E-FC74-805B-A41F-6FAF09D15797}"/>
            </a:ext>
          </a:extLst>
        </xdr:cNvPr>
        <xdr:cNvGrpSpPr/>
      </xdr:nvGrpSpPr>
      <xdr:grpSpPr>
        <a:xfrm>
          <a:off x="3878149" y="190953"/>
          <a:ext cx="349505" cy="16032289"/>
          <a:chOff x="10201761" y="218661"/>
          <a:chExt cx="358411" cy="15974891"/>
        </a:xfrm>
      </xdr:grpSpPr>
      <xdr:sp macro="" textlink="">
        <xdr:nvSpPr>
          <xdr:cNvPr id="241" name="四角形: 角を丸くする 240">
            <a:extLst>
              <a:ext uri="{FF2B5EF4-FFF2-40B4-BE49-F238E27FC236}">
                <a16:creationId xmlns:a16="http://schemas.microsoft.com/office/drawing/2014/main" id="{9AA73654-A721-0186-3811-A585EEB45E54}"/>
              </a:ext>
            </a:extLst>
          </xdr:cNvPr>
          <xdr:cNvSpPr/>
        </xdr:nvSpPr>
        <xdr:spPr>
          <a:xfrm>
            <a:off x="10253789" y="218661"/>
            <a:ext cx="248589" cy="15974891"/>
          </a:xfrm>
          <a:prstGeom prst="roundRect">
            <a:avLst/>
          </a:prstGeom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42" name="テキスト ボックス 241">
            <a:extLst>
              <a:ext uri="{FF2B5EF4-FFF2-40B4-BE49-F238E27FC236}">
                <a16:creationId xmlns:a16="http://schemas.microsoft.com/office/drawing/2014/main" id="{D6079BEA-AD65-1414-4C93-E38CD4407AE8}"/>
              </a:ext>
            </a:extLst>
          </xdr:cNvPr>
          <xdr:cNvSpPr txBox="1"/>
        </xdr:nvSpPr>
        <xdr:spPr>
          <a:xfrm>
            <a:off x="10266320" y="403304"/>
            <a:ext cx="256785" cy="3060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243" name="正方形/長方形 242">
            <a:extLst>
              <a:ext uri="{FF2B5EF4-FFF2-40B4-BE49-F238E27FC236}">
                <a16:creationId xmlns:a16="http://schemas.microsoft.com/office/drawing/2014/main" id="{CB907753-E264-50D8-902D-9B05394BBE4D}"/>
              </a:ext>
            </a:extLst>
          </xdr:cNvPr>
          <xdr:cNvSpPr/>
        </xdr:nvSpPr>
        <xdr:spPr>
          <a:xfrm>
            <a:off x="10269345" y="419560"/>
            <a:ext cx="223932" cy="14755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44" name="テキスト ボックス 243">
            <a:extLst>
              <a:ext uri="{FF2B5EF4-FFF2-40B4-BE49-F238E27FC236}">
                <a16:creationId xmlns:a16="http://schemas.microsoft.com/office/drawing/2014/main" id="{D0D1A0EF-CF21-B247-E697-24B5617A777A}"/>
              </a:ext>
            </a:extLst>
          </xdr:cNvPr>
          <xdr:cNvSpPr txBox="1"/>
        </xdr:nvSpPr>
        <xdr:spPr>
          <a:xfrm>
            <a:off x="10265886" y="1951568"/>
            <a:ext cx="267303" cy="2936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245" name="正方形/長方形 244">
            <a:extLst>
              <a:ext uri="{FF2B5EF4-FFF2-40B4-BE49-F238E27FC236}">
                <a16:creationId xmlns:a16="http://schemas.microsoft.com/office/drawing/2014/main" id="{48DF40C0-BC5B-05E8-1F7F-52D6784995C6}"/>
              </a:ext>
            </a:extLst>
          </xdr:cNvPr>
          <xdr:cNvSpPr/>
        </xdr:nvSpPr>
        <xdr:spPr>
          <a:xfrm>
            <a:off x="10272508" y="1945661"/>
            <a:ext cx="220036" cy="119630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46" name="テキスト ボックス 245">
            <a:extLst>
              <a:ext uri="{FF2B5EF4-FFF2-40B4-BE49-F238E27FC236}">
                <a16:creationId xmlns:a16="http://schemas.microsoft.com/office/drawing/2014/main" id="{E8D8CAE5-525E-D8D0-1F26-2C0AA3247554}"/>
              </a:ext>
            </a:extLst>
          </xdr:cNvPr>
          <xdr:cNvSpPr txBox="1"/>
        </xdr:nvSpPr>
        <xdr:spPr>
          <a:xfrm>
            <a:off x="10213319" y="3178890"/>
            <a:ext cx="246755" cy="2568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247" name="正方形/長方形 246">
            <a:extLst>
              <a:ext uri="{FF2B5EF4-FFF2-40B4-BE49-F238E27FC236}">
                <a16:creationId xmlns:a16="http://schemas.microsoft.com/office/drawing/2014/main" id="{1E59567E-B236-2129-D789-DF569367A426}"/>
              </a:ext>
            </a:extLst>
          </xdr:cNvPr>
          <xdr:cNvSpPr/>
        </xdr:nvSpPr>
        <xdr:spPr>
          <a:xfrm>
            <a:off x="10267763" y="3199196"/>
            <a:ext cx="223932" cy="169507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48" name="正方形/長方形 247">
            <a:extLst>
              <a:ext uri="{FF2B5EF4-FFF2-40B4-BE49-F238E27FC236}">
                <a16:creationId xmlns:a16="http://schemas.microsoft.com/office/drawing/2014/main" id="{B0F0A801-5C9C-8008-DB12-1A29B170D207}"/>
              </a:ext>
            </a:extLst>
          </xdr:cNvPr>
          <xdr:cNvSpPr/>
        </xdr:nvSpPr>
        <xdr:spPr>
          <a:xfrm>
            <a:off x="10270927" y="4938241"/>
            <a:ext cx="215653" cy="144249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49" name="正方形/長方形 248">
            <a:extLst>
              <a:ext uri="{FF2B5EF4-FFF2-40B4-BE49-F238E27FC236}">
                <a16:creationId xmlns:a16="http://schemas.microsoft.com/office/drawing/2014/main" id="{0C60AA89-8AC8-E33D-065D-F672C6DEE81A}"/>
              </a:ext>
            </a:extLst>
          </xdr:cNvPr>
          <xdr:cNvSpPr/>
        </xdr:nvSpPr>
        <xdr:spPr>
          <a:xfrm>
            <a:off x="10268033" y="6435675"/>
            <a:ext cx="226492" cy="1202479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0" name="正方形/長方形 249">
            <a:extLst>
              <a:ext uri="{FF2B5EF4-FFF2-40B4-BE49-F238E27FC236}">
                <a16:creationId xmlns:a16="http://schemas.microsoft.com/office/drawing/2014/main" id="{296CC038-03FB-3E8A-179A-95774F67BA3A}"/>
              </a:ext>
            </a:extLst>
          </xdr:cNvPr>
          <xdr:cNvSpPr/>
        </xdr:nvSpPr>
        <xdr:spPr>
          <a:xfrm>
            <a:off x="10267349" y="7682585"/>
            <a:ext cx="223932" cy="120247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1" name="正方形/長方形 250">
            <a:extLst>
              <a:ext uri="{FF2B5EF4-FFF2-40B4-BE49-F238E27FC236}">
                <a16:creationId xmlns:a16="http://schemas.microsoft.com/office/drawing/2014/main" id="{8EB11261-DD9B-CCF1-4D79-8F15E7EDCFB6}"/>
              </a:ext>
            </a:extLst>
          </xdr:cNvPr>
          <xdr:cNvSpPr/>
        </xdr:nvSpPr>
        <xdr:spPr>
          <a:xfrm>
            <a:off x="10267451" y="8924238"/>
            <a:ext cx="220817" cy="145186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2" name="正方形/長方形 251">
            <a:extLst>
              <a:ext uri="{FF2B5EF4-FFF2-40B4-BE49-F238E27FC236}">
                <a16:creationId xmlns:a16="http://schemas.microsoft.com/office/drawing/2014/main" id="{38260470-2FA7-37BA-3818-4FC3C6E2CFB7}"/>
              </a:ext>
            </a:extLst>
          </xdr:cNvPr>
          <xdr:cNvSpPr/>
        </xdr:nvSpPr>
        <xdr:spPr>
          <a:xfrm>
            <a:off x="10270316" y="10404764"/>
            <a:ext cx="222300" cy="1228755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3" name="正方形/長方形 252">
            <a:extLst>
              <a:ext uri="{FF2B5EF4-FFF2-40B4-BE49-F238E27FC236}">
                <a16:creationId xmlns:a16="http://schemas.microsoft.com/office/drawing/2014/main" id="{7BB245C4-BEAB-AFBD-288D-30E580AA5E19}"/>
              </a:ext>
            </a:extLst>
          </xdr:cNvPr>
          <xdr:cNvSpPr/>
        </xdr:nvSpPr>
        <xdr:spPr>
          <a:xfrm>
            <a:off x="10269930" y="11667439"/>
            <a:ext cx="222300" cy="1706496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4" name="正方形/長方形 253">
            <a:extLst>
              <a:ext uri="{FF2B5EF4-FFF2-40B4-BE49-F238E27FC236}">
                <a16:creationId xmlns:a16="http://schemas.microsoft.com/office/drawing/2014/main" id="{44FD7C83-01F9-8EEB-844A-EAC67394792B}"/>
              </a:ext>
            </a:extLst>
          </xdr:cNvPr>
          <xdr:cNvSpPr/>
        </xdr:nvSpPr>
        <xdr:spPr>
          <a:xfrm>
            <a:off x="10266195" y="13418365"/>
            <a:ext cx="225777" cy="953098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5" name="正方形/長方形 254">
            <a:extLst>
              <a:ext uri="{FF2B5EF4-FFF2-40B4-BE49-F238E27FC236}">
                <a16:creationId xmlns:a16="http://schemas.microsoft.com/office/drawing/2014/main" id="{27A16CD5-80B8-93EF-476A-8B6E388809CB}"/>
              </a:ext>
            </a:extLst>
          </xdr:cNvPr>
          <xdr:cNvSpPr/>
        </xdr:nvSpPr>
        <xdr:spPr>
          <a:xfrm>
            <a:off x="10270346" y="14426404"/>
            <a:ext cx="222300" cy="693204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6" name="テキスト ボックス 255">
            <a:extLst>
              <a:ext uri="{FF2B5EF4-FFF2-40B4-BE49-F238E27FC236}">
                <a16:creationId xmlns:a16="http://schemas.microsoft.com/office/drawing/2014/main" id="{44AEFEEF-3A99-ABA2-540C-F59689EC828D}"/>
              </a:ext>
            </a:extLst>
          </xdr:cNvPr>
          <xdr:cNvSpPr txBox="1"/>
        </xdr:nvSpPr>
        <xdr:spPr>
          <a:xfrm>
            <a:off x="10208124" y="15139111"/>
            <a:ext cx="340323" cy="249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57" name="正方形/長方形 256">
            <a:extLst>
              <a:ext uri="{FF2B5EF4-FFF2-40B4-BE49-F238E27FC236}">
                <a16:creationId xmlns:a16="http://schemas.microsoft.com/office/drawing/2014/main" id="{EE6F12A7-3E36-0501-BD2D-72E58E7401DA}"/>
              </a:ext>
            </a:extLst>
          </xdr:cNvPr>
          <xdr:cNvSpPr/>
        </xdr:nvSpPr>
        <xdr:spPr>
          <a:xfrm>
            <a:off x="10268271" y="15169294"/>
            <a:ext cx="218447" cy="459697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8" name="正方形/長方形 257">
            <a:extLst>
              <a:ext uri="{FF2B5EF4-FFF2-40B4-BE49-F238E27FC236}">
                <a16:creationId xmlns:a16="http://schemas.microsoft.com/office/drawing/2014/main" id="{02D57B7E-3644-3F76-023F-E03A26326C95}"/>
              </a:ext>
            </a:extLst>
          </xdr:cNvPr>
          <xdr:cNvSpPr/>
        </xdr:nvSpPr>
        <xdr:spPr>
          <a:xfrm>
            <a:off x="10268069" y="15663765"/>
            <a:ext cx="218447" cy="43235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9" name="テキスト ボックス 258">
            <a:extLst>
              <a:ext uri="{FF2B5EF4-FFF2-40B4-BE49-F238E27FC236}">
                <a16:creationId xmlns:a16="http://schemas.microsoft.com/office/drawing/2014/main" id="{4C209553-61FE-5BAB-A74E-8BBF9497F13C}"/>
              </a:ext>
            </a:extLst>
          </xdr:cNvPr>
          <xdr:cNvSpPr txBox="1"/>
        </xdr:nvSpPr>
        <xdr:spPr>
          <a:xfrm>
            <a:off x="10222282" y="4916379"/>
            <a:ext cx="334042" cy="3255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260" name="テキスト ボックス 259">
            <a:extLst>
              <a:ext uri="{FF2B5EF4-FFF2-40B4-BE49-F238E27FC236}">
                <a16:creationId xmlns:a16="http://schemas.microsoft.com/office/drawing/2014/main" id="{09F8935F-0990-3AA7-B417-D9EFA9440EB6}"/>
              </a:ext>
            </a:extLst>
          </xdr:cNvPr>
          <xdr:cNvSpPr txBox="1"/>
        </xdr:nvSpPr>
        <xdr:spPr>
          <a:xfrm>
            <a:off x="10226130" y="6423746"/>
            <a:ext cx="334042" cy="27459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61" name="テキスト ボックス 260">
            <a:extLst>
              <a:ext uri="{FF2B5EF4-FFF2-40B4-BE49-F238E27FC236}">
                <a16:creationId xmlns:a16="http://schemas.microsoft.com/office/drawing/2014/main" id="{BBCF9A0A-A20D-8913-8914-159B0F3A04E3}"/>
              </a:ext>
            </a:extLst>
          </xdr:cNvPr>
          <xdr:cNvSpPr txBox="1"/>
        </xdr:nvSpPr>
        <xdr:spPr>
          <a:xfrm>
            <a:off x="10214630" y="7658339"/>
            <a:ext cx="334042" cy="2925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62" name="テキスト ボックス 261">
            <a:extLst>
              <a:ext uri="{FF2B5EF4-FFF2-40B4-BE49-F238E27FC236}">
                <a16:creationId xmlns:a16="http://schemas.microsoft.com/office/drawing/2014/main" id="{AD90AF10-33BC-A229-914D-CF5A037981C1}"/>
              </a:ext>
            </a:extLst>
          </xdr:cNvPr>
          <xdr:cNvSpPr txBox="1"/>
        </xdr:nvSpPr>
        <xdr:spPr>
          <a:xfrm>
            <a:off x="10201761" y="8887252"/>
            <a:ext cx="330220" cy="27155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63" name="テキスト ボックス 262">
            <a:extLst>
              <a:ext uri="{FF2B5EF4-FFF2-40B4-BE49-F238E27FC236}">
                <a16:creationId xmlns:a16="http://schemas.microsoft.com/office/drawing/2014/main" id="{F37C4019-9579-EFBD-1860-BA36D6DDE08A}"/>
              </a:ext>
            </a:extLst>
          </xdr:cNvPr>
          <xdr:cNvSpPr txBox="1"/>
        </xdr:nvSpPr>
        <xdr:spPr>
          <a:xfrm>
            <a:off x="10215098" y="10377013"/>
            <a:ext cx="334042" cy="2906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64" name="テキスト ボックス 263">
            <a:extLst>
              <a:ext uri="{FF2B5EF4-FFF2-40B4-BE49-F238E27FC236}">
                <a16:creationId xmlns:a16="http://schemas.microsoft.com/office/drawing/2014/main" id="{9E084B44-9AB6-D57B-6D09-6141E7BFC9F1}"/>
              </a:ext>
            </a:extLst>
          </xdr:cNvPr>
          <xdr:cNvSpPr txBox="1"/>
        </xdr:nvSpPr>
        <xdr:spPr>
          <a:xfrm>
            <a:off x="10212961" y="11643122"/>
            <a:ext cx="334042" cy="2906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65" name="テキスト ボックス 264">
            <a:extLst>
              <a:ext uri="{FF2B5EF4-FFF2-40B4-BE49-F238E27FC236}">
                <a16:creationId xmlns:a16="http://schemas.microsoft.com/office/drawing/2014/main" id="{467155A9-680E-EEAF-E71F-3322BAB1370F}"/>
              </a:ext>
            </a:extLst>
          </xdr:cNvPr>
          <xdr:cNvSpPr txBox="1"/>
        </xdr:nvSpPr>
        <xdr:spPr>
          <a:xfrm>
            <a:off x="10209320" y="13385049"/>
            <a:ext cx="334042" cy="2898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66" name="テキスト ボックス 265">
            <a:extLst>
              <a:ext uri="{FF2B5EF4-FFF2-40B4-BE49-F238E27FC236}">
                <a16:creationId xmlns:a16="http://schemas.microsoft.com/office/drawing/2014/main" id="{A20BE8AF-C5D5-4BE0-86F9-AD279F5E91D2}"/>
              </a:ext>
            </a:extLst>
          </xdr:cNvPr>
          <xdr:cNvSpPr txBox="1"/>
        </xdr:nvSpPr>
        <xdr:spPr>
          <a:xfrm>
            <a:off x="10207083" y="14401626"/>
            <a:ext cx="330220" cy="2659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67" name="テキスト ボックス 266">
            <a:extLst>
              <a:ext uri="{FF2B5EF4-FFF2-40B4-BE49-F238E27FC236}">
                <a16:creationId xmlns:a16="http://schemas.microsoft.com/office/drawing/2014/main" id="{44FF2C3D-B7C4-331F-CD3F-B7905C1FCD5C}"/>
              </a:ext>
            </a:extLst>
          </xdr:cNvPr>
          <xdr:cNvSpPr txBox="1"/>
        </xdr:nvSpPr>
        <xdr:spPr>
          <a:xfrm>
            <a:off x="10221193" y="15634510"/>
            <a:ext cx="334042" cy="2912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326571</xdr:colOff>
      <xdr:row>0</xdr:row>
      <xdr:rowOff>177099</xdr:rowOff>
    </xdr:from>
    <xdr:to>
      <xdr:col>2</xdr:col>
      <xdr:colOff>44563</xdr:colOff>
      <xdr:row>64</xdr:row>
      <xdr:rowOff>11445</xdr:rowOff>
    </xdr:to>
    <xdr:grpSp>
      <xdr:nvGrpSpPr>
        <xdr:cNvPr id="268" name="グループ化 267">
          <a:extLst>
            <a:ext uri="{FF2B5EF4-FFF2-40B4-BE49-F238E27FC236}">
              <a16:creationId xmlns:a16="http://schemas.microsoft.com/office/drawing/2014/main" id="{01C56F6C-86E2-7BBA-F4AC-5BDFF2611DF6}"/>
            </a:ext>
          </a:extLst>
        </xdr:cNvPr>
        <xdr:cNvGrpSpPr/>
      </xdr:nvGrpSpPr>
      <xdr:grpSpPr>
        <a:xfrm>
          <a:off x="326571" y="177099"/>
          <a:ext cx="360249" cy="16032289"/>
          <a:chOff x="10201761" y="218661"/>
          <a:chExt cx="358411" cy="15974891"/>
        </a:xfrm>
      </xdr:grpSpPr>
      <xdr:sp macro="" textlink="">
        <xdr:nvSpPr>
          <xdr:cNvPr id="269" name="四角形: 角を丸くする 268">
            <a:extLst>
              <a:ext uri="{FF2B5EF4-FFF2-40B4-BE49-F238E27FC236}">
                <a16:creationId xmlns:a16="http://schemas.microsoft.com/office/drawing/2014/main" id="{6260D473-FA70-8A3E-AB9D-EB04AFD3394E}"/>
              </a:ext>
            </a:extLst>
          </xdr:cNvPr>
          <xdr:cNvSpPr/>
        </xdr:nvSpPr>
        <xdr:spPr>
          <a:xfrm>
            <a:off x="10253789" y="218661"/>
            <a:ext cx="248589" cy="15974891"/>
          </a:xfrm>
          <a:prstGeom prst="roundRect">
            <a:avLst/>
          </a:prstGeom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70" name="テキスト ボックス 269">
            <a:extLst>
              <a:ext uri="{FF2B5EF4-FFF2-40B4-BE49-F238E27FC236}">
                <a16:creationId xmlns:a16="http://schemas.microsoft.com/office/drawing/2014/main" id="{E28EC089-FE5E-9855-7DD5-53128339418C}"/>
              </a:ext>
            </a:extLst>
          </xdr:cNvPr>
          <xdr:cNvSpPr txBox="1"/>
        </xdr:nvSpPr>
        <xdr:spPr>
          <a:xfrm>
            <a:off x="10266320" y="403304"/>
            <a:ext cx="256785" cy="3060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271" name="正方形/長方形 270">
            <a:extLst>
              <a:ext uri="{FF2B5EF4-FFF2-40B4-BE49-F238E27FC236}">
                <a16:creationId xmlns:a16="http://schemas.microsoft.com/office/drawing/2014/main" id="{6DE83EF2-3DD0-9A46-170B-E4ADAB930473}"/>
              </a:ext>
            </a:extLst>
          </xdr:cNvPr>
          <xdr:cNvSpPr/>
        </xdr:nvSpPr>
        <xdr:spPr>
          <a:xfrm>
            <a:off x="10269345" y="419560"/>
            <a:ext cx="223932" cy="14755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72" name="テキスト ボックス 271">
            <a:extLst>
              <a:ext uri="{FF2B5EF4-FFF2-40B4-BE49-F238E27FC236}">
                <a16:creationId xmlns:a16="http://schemas.microsoft.com/office/drawing/2014/main" id="{CEECB229-7852-C486-97C2-7664F7B08067}"/>
              </a:ext>
            </a:extLst>
          </xdr:cNvPr>
          <xdr:cNvSpPr txBox="1"/>
        </xdr:nvSpPr>
        <xdr:spPr>
          <a:xfrm>
            <a:off x="10265886" y="1951568"/>
            <a:ext cx="267303" cy="2936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273" name="正方形/長方形 272">
            <a:extLst>
              <a:ext uri="{FF2B5EF4-FFF2-40B4-BE49-F238E27FC236}">
                <a16:creationId xmlns:a16="http://schemas.microsoft.com/office/drawing/2014/main" id="{CD41E63E-C646-932C-9F4F-E8F566AF4252}"/>
              </a:ext>
            </a:extLst>
          </xdr:cNvPr>
          <xdr:cNvSpPr/>
        </xdr:nvSpPr>
        <xdr:spPr>
          <a:xfrm>
            <a:off x="10272508" y="1945661"/>
            <a:ext cx="220036" cy="119630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74" name="テキスト ボックス 273">
            <a:extLst>
              <a:ext uri="{FF2B5EF4-FFF2-40B4-BE49-F238E27FC236}">
                <a16:creationId xmlns:a16="http://schemas.microsoft.com/office/drawing/2014/main" id="{D68892AC-AA4C-D737-D9EF-E6A9FD033494}"/>
              </a:ext>
            </a:extLst>
          </xdr:cNvPr>
          <xdr:cNvSpPr txBox="1"/>
        </xdr:nvSpPr>
        <xdr:spPr>
          <a:xfrm>
            <a:off x="10213319" y="3178890"/>
            <a:ext cx="246755" cy="2568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275" name="正方形/長方形 274">
            <a:extLst>
              <a:ext uri="{FF2B5EF4-FFF2-40B4-BE49-F238E27FC236}">
                <a16:creationId xmlns:a16="http://schemas.microsoft.com/office/drawing/2014/main" id="{AAE8C925-1E76-5073-AD72-1B8C794DD3B2}"/>
              </a:ext>
            </a:extLst>
          </xdr:cNvPr>
          <xdr:cNvSpPr/>
        </xdr:nvSpPr>
        <xdr:spPr>
          <a:xfrm>
            <a:off x="10267763" y="3199196"/>
            <a:ext cx="223932" cy="169507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76" name="正方形/長方形 275">
            <a:extLst>
              <a:ext uri="{FF2B5EF4-FFF2-40B4-BE49-F238E27FC236}">
                <a16:creationId xmlns:a16="http://schemas.microsoft.com/office/drawing/2014/main" id="{EE03F8FC-743C-F1B4-718E-85FBA0EDCC7D}"/>
              </a:ext>
            </a:extLst>
          </xdr:cNvPr>
          <xdr:cNvSpPr/>
        </xdr:nvSpPr>
        <xdr:spPr>
          <a:xfrm>
            <a:off x="10270927" y="4938241"/>
            <a:ext cx="215653" cy="144249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77" name="正方形/長方形 276">
            <a:extLst>
              <a:ext uri="{FF2B5EF4-FFF2-40B4-BE49-F238E27FC236}">
                <a16:creationId xmlns:a16="http://schemas.microsoft.com/office/drawing/2014/main" id="{3CEF6A41-4458-076A-3705-9A6A58B9964F}"/>
              </a:ext>
            </a:extLst>
          </xdr:cNvPr>
          <xdr:cNvSpPr/>
        </xdr:nvSpPr>
        <xdr:spPr>
          <a:xfrm>
            <a:off x="10268033" y="6435675"/>
            <a:ext cx="226492" cy="1202479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78" name="正方形/長方形 277">
            <a:extLst>
              <a:ext uri="{FF2B5EF4-FFF2-40B4-BE49-F238E27FC236}">
                <a16:creationId xmlns:a16="http://schemas.microsoft.com/office/drawing/2014/main" id="{45DE3244-DB27-C36A-26EA-AF63118FA17D}"/>
              </a:ext>
            </a:extLst>
          </xdr:cNvPr>
          <xdr:cNvSpPr/>
        </xdr:nvSpPr>
        <xdr:spPr>
          <a:xfrm>
            <a:off x="10267349" y="7682585"/>
            <a:ext cx="223932" cy="120247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79" name="正方形/長方形 278">
            <a:extLst>
              <a:ext uri="{FF2B5EF4-FFF2-40B4-BE49-F238E27FC236}">
                <a16:creationId xmlns:a16="http://schemas.microsoft.com/office/drawing/2014/main" id="{47BDC352-7657-AF7E-1379-89C3F1EF690A}"/>
              </a:ext>
            </a:extLst>
          </xdr:cNvPr>
          <xdr:cNvSpPr/>
        </xdr:nvSpPr>
        <xdr:spPr>
          <a:xfrm>
            <a:off x="10267451" y="8924238"/>
            <a:ext cx="220817" cy="145186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80" name="正方形/長方形 279">
            <a:extLst>
              <a:ext uri="{FF2B5EF4-FFF2-40B4-BE49-F238E27FC236}">
                <a16:creationId xmlns:a16="http://schemas.microsoft.com/office/drawing/2014/main" id="{07ABD4A2-A901-AF53-997F-CF6CE63A89B2}"/>
              </a:ext>
            </a:extLst>
          </xdr:cNvPr>
          <xdr:cNvSpPr/>
        </xdr:nvSpPr>
        <xdr:spPr>
          <a:xfrm>
            <a:off x="10270316" y="10404764"/>
            <a:ext cx="222300" cy="1228755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81" name="正方形/長方形 280">
            <a:extLst>
              <a:ext uri="{FF2B5EF4-FFF2-40B4-BE49-F238E27FC236}">
                <a16:creationId xmlns:a16="http://schemas.microsoft.com/office/drawing/2014/main" id="{8F11D023-BEEC-24B2-C096-4351125D821E}"/>
              </a:ext>
            </a:extLst>
          </xdr:cNvPr>
          <xdr:cNvSpPr/>
        </xdr:nvSpPr>
        <xdr:spPr>
          <a:xfrm>
            <a:off x="10269930" y="11667439"/>
            <a:ext cx="222300" cy="1706496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82" name="正方形/長方形 281">
            <a:extLst>
              <a:ext uri="{FF2B5EF4-FFF2-40B4-BE49-F238E27FC236}">
                <a16:creationId xmlns:a16="http://schemas.microsoft.com/office/drawing/2014/main" id="{5B55931A-9F3D-BFF0-9AAB-9A8F843D49E3}"/>
              </a:ext>
            </a:extLst>
          </xdr:cNvPr>
          <xdr:cNvSpPr/>
        </xdr:nvSpPr>
        <xdr:spPr>
          <a:xfrm>
            <a:off x="10266195" y="13418365"/>
            <a:ext cx="225777" cy="953098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83" name="正方形/長方形 282">
            <a:extLst>
              <a:ext uri="{FF2B5EF4-FFF2-40B4-BE49-F238E27FC236}">
                <a16:creationId xmlns:a16="http://schemas.microsoft.com/office/drawing/2014/main" id="{840EA091-DAB6-B7C0-522B-E83290344E9E}"/>
              </a:ext>
            </a:extLst>
          </xdr:cNvPr>
          <xdr:cNvSpPr/>
        </xdr:nvSpPr>
        <xdr:spPr>
          <a:xfrm>
            <a:off x="10270346" y="14426404"/>
            <a:ext cx="222300" cy="693204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84" name="テキスト ボックス 283">
            <a:extLst>
              <a:ext uri="{FF2B5EF4-FFF2-40B4-BE49-F238E27FC236}">
                <a16:creationId xmlns:a16="http://schemas.microsoft.com/office/drawing/2014/main" id="{EDD4A09E-D836-9733-BF36-9C194FCFB4A3}"/>
              </a:ext>
            </a:extLst>
          </xdr:cNvPr>
          <xdr:cNvSpPr txBox="1"/>
        </xdr:nvSpPr>
        <xdr:spPr>
          <a:xfrm>
            <a:off x="10208124" y="15139111"/>
            <a:ext cx="340323" cy="249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85" name="正方形/長方形 284">
            <a:extLst>
              <a:ext uri="{FF2B5EF4-FFF2-40B4-BE49-F238E27FC236}">
                <a16:creationId xmlns:a16="http://schemas.microsoft.com/office/drawing/2014/main" id="{02F50662-93B9-6B8C-44A7-82626CC76CFE}"/>
              </a:ext>
            </a:extLst>
          </xdr:cNvPr>
          <xdr:cNvSpPr/>
        </xdr:nvSpPr>
        <xdr:spPr>
          <a:xfrm>
            <a:off x="10268271" y="15169294"/>
            <a:ext cx="218447" cy="459697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86" name="正方形/長方形 285">
            <a:extLst>
              <a:ext uri="{FF2B5EF4-FFF2-40B4-BE49-F238E27FC236}">
                <a16:creationId xmlns:a16="http://schemas.microsoft.com/office/drawing/2014/main" id="{DB443FD0-7AFE-7E09-EA6F-969027F0C855}"/>
              </a:ext>
            </a:extLst>
          </xdr:cNvPr>
          <xdr:cNvSpPr/>
        </xdr:nvSpPr>
        <xdr:spPr>
          <a:xfrm>
            <a:off x="10268069" y="15663765"/>
            <a:ext cx="218447" cy="43235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87" name="テキスト ボックス 286">
            <a:extLst>
              <a:ext uri="{FF2B5EF4-FFF2-40B4-BE49-F238E27FC236}">
                <a16:creationId xmlns:a16="http://schemas.microsoft.com/office/drawing/2014/main" id="{32677F87-CB44-CFC9-FC5F-3987C015235B}"/>
              </a:ext>
            </a:extLst>
          </xdr:cNvPr>
          <xdr:cNvSpPr txBox="1"/>
        </xdr:nvSpPr>
        <xdr:spPr>
          <a:xfrm>
            <a:off x="10222282" y="4916379"/>
            <a:ext cx="334042" cy="3255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288" name="テキスト ボックス 287">
            <a:extLst>
              <a:ext uri="{FF2B5EF4-FFF2-40B4-BE49-F238E27FC236}">
                <a16:creationId xmlns:a16="http://schemas.microsoft.com/office/drawing/2014/main" id="{6CDD6B3A-C522-EBE4-A82A-7EDDA0CAB435}"/>
              </a:ext>
            </a:extLst>
          </xdr:cNvPr>
          <xdr:cNvSpPr txBox="1"/>
        </xdr:nvSpPr>
        <xdr:spPr>
          <a:xfrm>
            <a:off x="10226130" y="6423746"/>
            <a:ext cx="334042" cy="27459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89" name="テキスト ボックス 288">
            <a:extLst>
              <a:ext uri="{FF2B5EF4-FFF2-40B4-BE49-F238E27FC236}">
                <a16:creationId xmlns:a16="http://schemas.microsoft.com/office/drawing/2014/main" id="{7BE9E12D-1766-2CC8-7D1C-04A22BE9256B}"/>
              </a:ext>
            </a:extLst>
          </xdr:cNvPr>
          <xdr:cNvSpPr txBox="1"/>
        </xdr:nvSpPr>
        <xdr:spPr>
          <a:xfrm>
            <a:off x="10214630" y="7658339"/>
            <a:ext cx="334042" cy="2925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90" name="テキスト ボックス 289">
            <a:extLst>
              <a:ext uri="{FF2B5EF4-FFF2-40B4-BE49-F238E27FC236}">
                <a16:creationId xmlns:a16="http://schemas.microsoft.com/office/drawing/2014/main" id="{D199E302-8DD8-7B80-9521-CFBA7C1ECC3C}"/>
              </a:ext>
            </a:extLst>
          </xdr:cNvPr>
          <xdr:cNvSpPr txBox="1"/>
        </xdr:nvSpPr>
        <xdr:spPr>
          <a:xfrm>
            <a:off x="10201761" y="8887252"/>
            <a:ext cx="330220" cy="27155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91" name="テキスト ボックス 290">
            <a:extLst>
              <a:ext uri="{FF2B5EF4-FFF2-40B4-BE49-F238E27FC236}">
                <a16:creationId xmlns:a16="http://schemas.microsoft.com/office/drawing/2014/main" id="{46F6CC04-9CB6-92A7-4AD8-CD8FF257E9E8}"/>
              </a:ext>
            </a:extLst>
          </xdr:cNvPr>
          <xdr:cNvSpPr txBox="1"/>
        </xdr:nvSpPr>
        <xdr:spPr>
          <a:xfrm>
            <a:off x="10215098" y="10377013"/>
            <a:ext cx="334042" cy="2906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92" name="テキスト ボックス 291">
            <a:extLst>
              <a:ext uri="{FF2B5EF4-FFF2-40B4-BE49-F238E27FC236}">
                <a16:creationId xmlns:a16="http://schemas.microsoft.com/office/drawing/2014/main" id="{16940855-6CA4-DC0D-F8A5-4FB45BDE751D}"/>
              </a:ext>
            </a:extLst>
          </xdr:cNvPr>
          <xdr:cNvSpPr txBox="1"/>
        </xdr:nvSpPr>
        <xdr:spPr>
          <a:xfrm>
            <a:off x="10212961" y="11643122"/>
            <a:ext cx="334042" cy="2906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93" name="テキスト ボックス 292">
            <a:extLst>
              <a:ext uri="{FF2B5EF4-FFF2-40B4-BE49-F238E27FC236}">
                <a16:creationId xmlns:a16="http://schemas.microsoft.com/office/drawing/2014/main" id="{E3C25EE8-2F5F-2ADD-E778-D513DC2E1FA5}"/>
              </a:ext>
            </a:extLst>
          </xdr:cNvPr>
          <xdr:cNvSpPr txBox="1"/>
        </xdr:nvSpPr>
        <xdr:spPr>
          <a:xfrm>
            <a:off x="10209320" y="13385049"/>
            <a:ext cx="334042" cy="2898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94" name="テキスト ボックス 293">
            <a:extLst>
              <a:ext uri="{FF2B5EF4-FFF2-40B4-BE49-F238E27FC236}">
                <a16:creationId xmlns:a16="http://schemas.microsoft.com/office/drawing/2014/main" id="{48245739-3384-D211-C131-0B5B686AAEF7}"/>
              </a:ext>
            </a:extLst>
          </xdr:cNvPr>
          <xdr:cNvSpPr txBox="1"/>
        </xdr:nvSpPr>
        <xdr:spPr>
          <a:xfrm>
            <a:off x="10207083" y="14401626"/>
            <a:ext cx="330220" cy="2659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95" name="テキスト ボックス 294">
            <a:extLst>
              <a:ext uri="{FF2B5EF4-FFF2-40B4-BE49-F238E27FC236}">
                <a16:creationId xmlns:a16="http://schemas.microsoft.com/office/drawing/2014/main" id="{C468460E-A27A-7EC5-50ED-4F0F2453C0A0}"/>
              </a:ext>
            </a:extLst>
          </xdr:cNvPr>
          <xdr:cNvSpPr txBox="1"/>
        </xdr:nvSpPr>
        <xdr:spPr>
          <a:xfrm>
            <a:off x="10221193" y="15634510"/>
            <a:ext cx="334042" cy="2912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</xdr:grpSp>
    <xdr:clientData/>
  </xdr:twoCellAnchor>
  <xdr:twoCellAnchor editAs="oneCell">
    <xdr:from>
      <xdr:col>9</xdr:col>
      <xdr:colOff>2046514</xdr:colOff>
      <xdr:row>24</xdr:row>
      <xdr:rowOff>239485</xdr:rowOff>
    </xdr:from>
    <xdr:to>
      <xdr:col>9</xdr:col>
      <xdr:colOff>2524429</xdr:colOff>
      <xdr:row>26</xdr:row>
      <xdr:rowOff>109514</xdr:rowOff>
    </xdr:to>
    <xdr:pic>
      <xdr:nvPicPr>
        <xdr:cNvPr id="296" name="図 295">
          <a:extLst>
            <a:ext uri="{FF2B5EF4-FFF2-40B4-BE49-F238E27FC236}">
              <a16:creationId xmlns:a16="http://schemas.microsoft.com/office/drawing/2014/main" id="{3CA87899-4969-44E5-AB12-27D346A5D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55324" flipH="1">
          <a:off x="9753600" y="6422571"/>
          <a:ext cx="477915" cy="3707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20934</xdr:colOff>
      <xdr:row>1</xdr:row>
      <xdr:rowOff>0</xdr:rowOff>
    </xdr:from>
    <xdr:to>
      <xdr:col>8</xdr:col>
      <xdr:colOff>293076</xdr:colOff>
      <xdr:row>21</xdr:row>
      <xdr:rowOff>150767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0A7E27F-1FC1-4F9E-8E70-77368C5F33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348"/>
        <a:stretch/>
      </xdr:blipFill>
      <xdr:spPr>
        <a:xfrm>
          <a:off x="8181954" y="228600"/>
          <a:ext cx="272142" cy="472276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11995</xdr:rowOff>
    </xdr:from>
    <xdr:to>
      <xdr:col>8</xdr:col>
      <xdr:colOff>268040</xdr:colOff>
      <xdr:row>60</xdr:row>
      <xdr:rowOff>205761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2E58143-D286-4838-8BCA-DC200223D8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999" t="6250" r="1666" b="21381"/>
        <a:stretch/>
      </xdr:blipFill>
      <xdr:spPr>
        <a:xfrm>
          <a:off x="8161020" y="9613195"/>
          <a:ext cx="268040" cy="4308566"/>
        </a:xfrm>
        <a:prstGeom prst="rect">
          <a:avLst/>
        </a:prstGeom>
      </xdr:spPr>
    </xdr:pic>
    <xdr:clientData/>
  </xdr:twoCellAnchor>
  <xdr:twoCellAnchor editAs="oneCell">
    <xdr:from>
      <xdr:col>8</xdr:col>
      <xdr:colOff>20934</xdr:colOff>
      <xdr:row>21</xdr:row>
      <xdr:rowOff>121284</xdr:rowOff>
    </xdr:from>
    <xdr:to>
      <xdr:col>8</xdr:col>
      <xdr:colOff>306140</xdr:colOff>
      <xdr:row>42</xdr:row>
      <xdr:rowOff>12866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4C9FC93-850F-49FD-A684-F7EB8E061E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3" t="6856" r="-7500" b="19385"/>
        <a:stretch/>
      </xdr:blipFill>
      <xdr:spPr>
        <a:xfrm>
          <a:off x="8181954" y="4921884"/>
          <a:ext cx="285206" cy="469218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318379</xdr:colOff>
      <xdr:row>21</xdr:row>
      <xdr:rowOff>148294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E8A62A2-6F25-48DB-A47F-FC8A0936EF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348"/>
        <a:stretch/>
      </xdr:blipFill>
      <xdr:spPr>
        <a:xfrm flipH="1">
          <a:off x="8831580" y="228600"/>
          <a:ext cx="318379" cy="4720294"/>
        </a:xfrm>
        <a:prstGeom prst="rect">
          <a:avLst/>
        </a:prstGeom>
      </xdr:spPr>
    </xdr:pic>
    <xdr:clientData/>
  </xdr:twoCellAnchor>
  <xdr:twoCellAnchor editAs="oneCell">
    <xdr:from>
      <xdr:col>9</xdr:col>
      <xdr:colOff>40820</xdr:colOff>
      <xdr:row>40</xdr:row>
      <xdr:rowOff>79213</xdr:rowOff>
    </xdr:from>
    <xdr:to>
      <xdr:col>9</xdr:col>
      <xdr:colOff>362490</xdr:colOff>
      <xdr:row>60</xdr:row>
      <xdr:rowOff>192674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0AB1F6D-F3AB-4196-85F1-E8896D160D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999" t="6250" r="1666" b="21381"/>
        <a:stretch/>
      </xdr:blipFill>
      <xdr:spPr>
        <a:xfrm flipH="1">
          <a:off x="8872400" y="9223213"/>
          <a:ext cx="321670" cy="468546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111179</xdr:rowOff>
    </xdr:from>
    <xdr:to>
      <xdr:col>9</xdr:col>
      <xdr:colOff>320433</xdr:colOff>
      <xdr:row>40</xdr:row>
      <xdr:rowOff>126715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D5602E2-EA5F-4BE5-B28B-B41F10DBAC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3" t="6856" r="-7500" b="19385"/>
        <a:stretch/>
      </xdr:blipFill>
      <xdr:spPr>
        <a:xfrm flipH="1">
          <a:off x="8831580" y="4911779"/>
          <a:ext cx="320433" cy="43589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11</xdr:col>
      <xdr:colOff>354874</xdr:colOff>
      <xdr:row>5</xdr:row>
      <xdr:rowOff>134038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AADE748-9D44-4B89-AF05-428B6B01C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2140" y="457200"/>
          <a:ext cx="1025434" cy="81983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11</xdr:col>
      <xdr:colOff>92719</xdr:colOff>
      <xdr:row>9</xdr:row>
      <xdr:rowOff>76771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F967C5A-24D1-432C-9F87-AEA2856E9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9502140" y="1600200"/>
          <a:ext cx="763279" cy="53397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11</xdr:col>
      <xdr:colOff>85205</xdr:colOff>
      <xdr:row>14</xdr:row>
      <xdr:rowOff>227414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C121F75-7829-4B58-91FF-8C570E39F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2140" y="2743200"/>
          <a:ext cx="755765" cy="68461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587840</xdr:colOff>
      <xdr:row>4</xdr:row>
      <xdr:rowOff>44068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53E7FAB-AAAF-47ED-A545-83611702C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080061" flipV="1">
          <a:off x="10843260" y="457200"/>
          <a:ext cx="587840" cy="50126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590007</xdr:colOff>
      <xdr:row>8</xdr:row>
      <xdr:rowOff>206038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9C9F1EE-87E1-4BFD-BE70-B5756A470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>
          <a:off x="10843260" y="1371600"/>
          <a:ext cx="590007" cy="663238"/>
        </a:xfrm>
        <a:prstGeom prst="rect">
          <a:avLst/>
        </a:prstGeom>
      </xdr:spPr>
    </xdr:pic>
    <xdr:clientData/>
  </xdr:twoCellAnchor>
  <xdr:twoCellAnchor editAs="oneCell">
    <xdr:from>
      <xdr:col>10</xdr:col>
      <xdr:colOff>121920</xdr:colOff>
      <xdr:row>17</xdr:row>
      <xdr:rowOff>30480</xdr:rowOff>
    </xdr:from>
    <xdr:to>
      <xdr:col>11</xdr:col>
      <xdr:colOff>91853</xdr:colOff>
      <xdr:row>20</xdr:row>
      <xdr:rowOff>20475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433264D-F885-4B6A-AA45-15A8DCA3B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4499338" flipV="1">
          <a:off x="9606409" y="3934331"/>
          <a:ext cx="675795" cy="64049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478905</xdr:colOff>
      <xdr:row>12</xdr:row>
      <xdr:rowOff>145992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AF9B163-9A1B-43A9-88F6-FEA1E451E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423612" flipH="1">
          <a:off x="10843260" y="2514600"/>
          <a:ext cx="478905" cy="3745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316402</xdr:colOff>
      <xdr:row>2</xdr:row>
      <xdr:rowOff>338523</xdr:rowOff>
    </xdr:from>
    <xdr:to>
      <xdr:col>7</xdr:col>
      <xdr:colOff>116470</xdr:colOff>
      <xdr:row>3</xdr:row>
      <xdr:rowOff>148022</xdr:rowOff>
    </xdr:to>
    <xdr:sp macro="" textlink="">
      <xdr:nvSpPr>
        <xdr:cNvPr id="17" name="十字形 16">
          <a:extLst>
            <a:ext uri="{FF2B5EF4-FFF2-40B4-BE49-F238E27FC236}">
              <a16:creationId xmlns:a16="http://schemas.microsoft.com/office/drawing/2014/main" id="{8808EE2F-9888-43E7-8458-C17D2845636D}"/>
            </a:ext>
          </a:extLst>
        </xdr:cNvPr>
        <xdr:cNvSpPr/>
      </xdr:nvSpPr>
      <xdr:spPr>
        <a:xfrm>
          <a:off x="6371581" y="1209380"/>
          <a:ext cx="235496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277091</xdr:colOff>
      <xdr:row>2</xdr:row>
      <xdr:rowOff>286987</xdr:rowOff>
    </xdr:from>
    <xdr:to>
      <xdr:col>4</xdr:col>
      <xdr:colOff>138630</xdr:colOff>
      <xdr:row>3</xdr:row>
      <xdr:rowOff>130104</xdr:rowOff>
    </xdr:to>
    <xdr:sp macro="" textlink="">
      <xdr:nvSpPr>
        <xdr:cNvPr id="18" name="次の値と等しい 17">
          <a:extLst>
            <a:ext uri="{FF2B5EF4-FFF2-40B4-BE49-F238E27FC236}">
              <a16:creationId xmlns:a16="http://schemas.microsoft.com/office/drawing/2014/main" id="{E78FC7C2-4095-42F8-AB43-A89230C8C024}"/>
            </a:ext>
          </a:extLst>
        </xdr:cNvPr>
        <xdr:cNvSpPr/>
      </xdr:nvSpPr>
      <xdr:spPr>
        <a:xfrm>
          <a:off x="3120984" y="1157844"/>
          <a:ext cx="296967" cy="278546"/>
        </a:xfrm>
        <a:prstGeom prst="mathEqual">
          <a:avLst>
            <a:gd name="adj1" fmla="val 8928"/>
            <a:gd name="adj2" fmla="val 21487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340152</xdr:colOff>
      <xdr:row>2</xdr:row>
      <xdr:rowOff>307845</xdr:rowOff>
    </xdr:from>
    <xdr:to>
      <xdr:col>10</xdr:col>
      <xdr:colOff>140220</xdr:colOff>
      <xdr:row>3</xdr:row>
      <xdr:rowOff>117344</xdr:rowOff>
    </xdr:to>
    <xdr:sp macro="" textlink="">
      <xdr:nvSpPr>
        <xdr:cNvPr id="19" name="十字形 18">
          <a:extLst>
            <a:ext uri="{FF2B5EF4-FFF2-40B4-BE49-F238E27FC236}">
              <a16:creationId xmlns:a16="http://schemas.microsoft.com/office/drawing/2014/main" id="{4046E4F9-BD9C-B15D-6C09-A82B29EB7463}"/>
            </a:ext>
          </a:extLst>
        </xdr:cNvPr>
        <xdr:cNvSpPr/>
      </xdr:nvSpPr>
      <xdr:spPr>
        <a:xfrm>
          <a:off x="9606616" y="1178702"/>
          <a:ext cx="235497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336688</xdr:colOff>
      <xdr:row>2</xdr:row>
      <xdr:rowOff>317989</xdr:rowOff>
    </xdr:from>
    <xdr:to>
      <xdr:col>13</xdr:col>
      <xdr:colOff>136757</xdr:colOff>
      <xdr:row>3</xdr:row>
      <xdr:rowOff>127488</xdr:rowOff>
    </xdr:to>
    <xdr:sp macro="" textlink="">
      <xdr:nvSpPr>
        <xdr:cNvPr id="20" name="十字形 19">
          <a:extLst>
            <a:ext uri="{FF2B5EF4-FFF2-40B4-BE49-F238E27FC236}">
              <a16:creationId xmlns:a16="http://schemas.microsoft.com/office/drawing/2014/main" id="{DAC9AFA7-E2BB-1241-9710-62A2DC54B079}"/>
            </a:ext>
          </a:extLst>
        </xdr:cNvPr>
        <xdr:cNvSpPr/>
      </xdr:nvSpPr>
      <xdr:spPr>
        <a:xfrm>
          <a:off x="12814438" y="1188846"/>
          <a:ext cx="235498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360438</xdr:colOff>
      <xdr:row>2</xdr:row>
      <xdr:rowOff>314524</xdr:rowOff>
    </xdr:from>
    <xdr:to>
      <xdr:col>16</xdr:col>
      <xdr:colOff>160507</xdr:colOff>
      <xdr:row>3</xdr:row>
      <xdr:rowOff>124023</xdr:rowOff>
    </xdr:to>
    <xdr:sp macro="" textlink="">
      <xdr:nvSpPr>
        <xdr:cNvPr id="21" name="十字形 20">
          <a:extLst>
            <a:ext uri="{FF2B5EF4-FFF2-40B4-BE49-F238E27FC236}">
              <a16:creationId xmlns:a16="http://schemas.microsoft.com/office/drawing/2014/main" id="{5CC31BE6-97E6-37C2-92BA-B081C4CF7DA4}"/>
            </a:ext>
          </a:extLst>
        </xdr:cNvPr>
        <xdr:cNvSpPr/>
      </xdr:nvSpPr>
      <xdr:spPr>
        <a:xfrm>
          <a:off x="16049474" y="1185381"/>
          <a:ext cx="235497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323574</xdr:colOff>
      <xdr:row>5</xdr:row>
      <xdr:rowOff>311061</xdr:rowOff>
    </xdr:from>
    <xdr:to>
      <xdr:col>16</xdr:col>
      <xdr:colOff>123643</xdr:colOff>
      <xdr:row>6</xdr:row>
      <xdr:rowOff>120561</xdr:rowOff>
    </xdr:to>
    <xdr:sp macro="" textlink="">
      <xdr:nvSpPr>
        <xdr:cNvPr id="22" name="十字形 21">
          <a:extLst>
            <a:ext uri="{FF2B5EF4-FFF2-40B4-BE49-F238E27FC236}">
              <a16:creationId xmlns:a16="http://schemas.microsoft.com/office/drawing/2014/main" id="{9AEA527D-97F3-CA21-8510-20A04C6A46CA}"/>
            </a:ext>
          </a:extLst>
        </xdr:cNvPr>
        <xdr:cNvSpPr/>
      </xdr:nvSpPr>
      <xdr:spPr>
        <a:xfrm>
          <a:off x="16012610" y="2488204"/>
          <a:ext cx="235497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333716</xdr:colOff>
      <xdr:row>5</xdr:row>
      <xdr:rowOff>301412</xdr:rowOff>
    </xdr:from>
    <xdr:to>
      <xdr:col>13</xdr:col>
      <xdr:colOff>133785</xdr:colOff>
      <xdr:row>6</xdr:row>
      <xdr:rowOff>110912</xdr:rowOff>
    </xdr:to>
    <xdr:sp macro="" textlink="">
      <xdr:nvSpPr>
        <xdr:cNvPr id="23" name="十字形 22">
          <a:extLst>
            <a:ext uri="{FF2B5EF4-FFF2-40B4-BE49-F238E27FC236}">
              <a16:creationId xmlns:a16="http://schemas.microsoft.com/office/drawing/2014/main" id="{C4341EAE-5D53-061C-E334-B78CC138A4EF}"/>
            </a:ext>
          </a:extLst>
        </xdr:cNvPr>
        <xdr:cNvSpPr/>
      </xdr:nvSpPr>
      <xdr:spPr>
        <a:xfrm>
          <a:off x="12811466" y="2478555"/>
          <a:ext cx="235498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303038</xdr:colOff>
      <xdr:row>5</xdr:row>
      <xdr:rowOff>318978</xdr:rowOff>
    </xdr:from>
    <xdr:to>
      <xdr:col>10</xdr:col>
      <xdr:colOff>103106</xdr:colOff>
      <xdr:row>6</xdr:row>
      <xdr:rowOff>128478</xdr:rowOff>
    </xdr:to>
    <xdr:sp macro="" textlink="">
      <xdr:nvSpPr>
        <xdr:cNvPr id="24" name="十字形 23">
          <a:extLst>
            <a:ext uri="{FF2B5EF4-FFF2-40B4-BE49-F238E27FC236}">
              <a16:creationId xmlns:a16="http://schemas.microsoft.com/office/drawing/2014/main" id="{F97D0DFF-CAD6-46E6-0EDE-CE80AF081FFC}"/>
            </a:ext>
          </a:extLst>
        </xdr:cNvPr>
        <xdr:cNvSpPr/>
      </xdr:nvSpPr>
      <xdr:spPr>
        <a:xfrm>
          <a:off x="9569502" y="2496121"/>
          <a:ext cx="235497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313180</xdr:colOff>
      <xdr:row>5</xdr:row>
      <xdr:rowOff>322937</xdr:rowOff>
    </xdr:from>
    <xdr:to>
      <xdr:col>7</xdr:col>
      <xdr:colOff>113248</xdr:colOff>
      <xdr:row>6</xdr:row>
      <xdr:rowOff>132437</xdr:rowOff>
    </xdr:to>
    <xdr:sp macro="" textlink="">
      <xdr:nvSpPr>
        <xdr:cNvPr id="25" name="十字形 24">
          <a:extLst>
            <a:ext uri="{FF2B5EF4-FFF2-40B4-BE49-F238E27FC236}">
              <a16:creationId xmlns:a16="http://schemas.microsoft.com/office/drawing/2014/main" id="{86746914-2EB5-0C99-9B12-D55ACD786777}"/>
            </a:ext>
          </a:extLst>
        </xdr:cNvPr>
        <xdr:cNvSpPr/>
      </xdr:nvSpPr>
      <xdr:spPr>
        <a:xfrm>
          <a:off x="6368359" y="2500080"/>
          <a:ext cx="235496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273628</xdr:colOff>
      <xdr:row>5</xdr:row>
      <xdr:rowOff>184563</xdr:rowOff>
    </xdr:from>
    <xdr:to>
      <xdr:col>4</xdr:col>
      <xdr:colOff>135167</xdr:colOff>
      <xdr:row>6</xdr:row>
      <xdr:rowOff>27681</xdr:rowOff>
    </xdr:to>
    <xdr:sp macro="" textlink="">
      <xdr:nvSpPr>
        <xdr:cNvPr id="26" name="次の値と等しい 25">
          <a:extLst>
            <a:ext uri="{FF2B5EF4-FFF2-40B4-BE49-F238E27FC236}">
              <a16:creationId xmlns:a16="http://schemas.microsoft.com/office/drawing/2014/main" id="{2335715A-6325-A0D1-64AF-AD971EAB59E6}"/>
            </a:ext>
          </a:extLst>
        </xdr:cNvPr>
        <xdr:cNvSpPr/>
      </xdr:nvSpPr>
      <xdr:spPr>
        <a:xfrm>
          <a:off x="3117521" y="2361706"/>
          <a:ext cx="296967" cy="278546"/>
        </a:xfrm>
        <a:prstGeom prst="mathEqual">
          <a:avLst>
            <a:gd name="adj1" fmla="val 8928"/>
            <a:gd name="adj2" fmla="val 21487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353785</xdr:colOff>
      <xdr:row>7</xdr:row>
      <xdr:rowOff>54429</xdr:rowOff>
    </xdr:from>
    <xdr:to>
      <xdr:col>8</xdr:col>
      <xdr:colOff>1823357</xdr:colOff>
      <xdr:row>8</xdr:row>
      <xdr:rowOff>108857</xdr:rowOff>
    </xdr:to>
    <xdr:sp macro="" textlink="">
      <xdr:nvSpPr>
        <xdr:cNvPr id="2" name="矢印: 下 1">
          <a:extLst>
            <a:ext uri="{FF2B5EF4-FFF2-40B4-BE49-F238E27FC236}">
              <a16:creationId xmlns:a16="http://schemas.microsoft.com/office/drawing/2014/main" id="{3979B278-E6CF-2688-5D43-95FF48293AE3}"/>
            </a:ext>
          </a:extLst>
        </xdr:cNvPr>
        <xdr:cNvSpPr/>
      </xdr:nvSpPr>
      <xdr:spPr>
        <a:xfrm>
          <a:off x="7279821" y="3102429"/>
          <a:ext cx="1469572" cy="340178"/>
        </a:xfrm>
        <a:prstGeom prst="down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内訳</a:t>
          </a:r>
        </a:p>
      </xdr:txBody>
    </xdr:sp>
    <xdr:clientData/>
  </xdr:twoCellAnchor>
  <xdr:twoCellAnchor>
    <xdr:from>
      <xdr:col>11</xdr:col>
      <xdr:colOff>424543</xdr:colOff>
      <xdr:row>7</xdr:row>
      <xdr:rowOff>43543</xdr:rowOff>
    </xdr:from>
    <xdr:to>
      <xdr:col>11</xdr:col>
      <xdr:colOff>1894115</xdr:colOff>
      <xdr:row>8</xdr:row>
      <xdr:rowOff>97971</xdr:rowOff>
    </xdr:to>
    <xdr:sp macro="" textlink="">
      <xdr:nvSpPr>
        <xdr:cNvPr id="3" name="矢印: 下 2">
          <a:extLst>
            <a:ext uri="{FF2B5EF4-FFF2-40B4-BE49-F238E27FC236}">
              <a16:creationId xmlns:a16="http://schemas.microsoft.com/office/drawing/2014/main" id="{CB163DF3-A605-A9DF-232E-4DA0EE9E2085}"/>
            </a:ext>
          </a:extLst>
        </xdr:cNvPr>
        <xdr:cNvSpPr/>
      </xdr:nvSpPr>
      <xdr:spPr>
        <a:xfrm>
          <a:off x="10561864" y="3091543"/>
          <a:ext cx="1469572" cy="571499"/>
        </a:xfrm>
        <a:prstGeom prst="down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内訳</a:t>
          </a:r>
        </a:p>
      </xdr:txBody>
    </xdr:sp>
    <xdr:clientData/>
  </xdr:twoCellAnchor>
  <xdr:twoCellAnchor>
    <xdr:from>
      <xdr:col>0</xdr:col>
      <xdr:colOff>598716</xdr:colOff>
      <xdr:row>12</xdr:row>
      <xdr:rowOff>163286</xdr:rowOff>
    </xdr:from>
    <xdr:to>
      <xdr:col>5</xdr:col>
      <xdr:colOff>1796144</xdr:colOff>
      <xdr:row>21</xdr:row>
      <xdr:rowOff>408216</xdr:rowOff>
    </xdr:to>
    <xdr:sp macro="" textlink="">
      <xdr:nvSpPr>
        <xdr:cNvPr id="4" name="四角形: 1 つの角を丸める 3">
          <a:extLst>
            <a:ext uri="{FF2B5EF4-FFF2-40B4-BE49-F238E27FC236}">
              <a16:creationId xmlns:a16="http://schemas.microsoft.com/office/drawing/2014/main" id="{32C673B6-4C64-886A-EA49-976FA9564321}"/>
            </a:ext>
          </a:extLst>
        </xdr:cNvPr>
        <xdr:cNvSpPr/>
      </xdr:nvSpPr>
      <xdr:spPr>
        <a:xfrm>
          <a:off x="598716" y="4844143"/>
          <a:ext cx="5075464" cy="3224894"/>
        </a:xfrm>
        <a:prstGeom prst="round1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「収支差」が意味するところは、</a:t>
          </a:r>
          <a:endParaRPr lang="ja-JP" altLang="ja-JP" sz="2000">
            <a:solidFill>
              <a:sysClr val="windowText" lastClr="000000"/>
            </a:solidFill>
            <a:effectLst/>
          </a:endParaRPr>
        </a:p>
        <a:p>
          <a:r>
            <a:rPr kumimoji="1" lang="ja-JP" altLang="ja-JP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１９万２</a:t>
          </a:r>
          <a:r>
            <a:rPr kumimoji="1" lang="en-US" altLang="ja-JP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kumimoji="1" lang="ja-JP" altLang="ja-JP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６３１円の赤字</a:t>
          </a:r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です。</a:t>
          </a:r>
          <a:endParaRPr kumimoji="1" lang="en-US" altLang="ja-JP" sz="2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ja-JP" altLang="ja-JP" sz="2000">
            <a:solidFill>
              <a:sysClr val="windowText" lastClr="000000"/>
            </a:solidFill>
            <a:effectLst/>
          </a:endParaRPr>
        </a:p>
        <a:p>
          <a:r>
            <a:rPr kumimoji="1" lang="en-US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ちなみに令和元年（</a:t>
          </a:r>
          <a:r>
            <a:rPr kumimoji="1" lang="en-US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2019</a:t>
          </a:r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年）度も</a:t>
          </a:r>
          <a:endParaRPr lang="ja-JP" altLang="ja-JP" sz="2000">
            <a:solidFill>
              <a:sysClr val="windowText" lastClr="000000"/>
            </a:solidFill>
            <a:effectLst/>
          </a:endParaRPr>
        </a:p>
        <a:p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ja-JP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約５万３千円ほど赤字</a:t>
          </a:r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でした。</a:t>
          </a:r>
          <a:endParaRPr lang="ja-JP" altLang="ja-JP" sz="2000">
            <a:solidFill>
              <a:sysClr val="windowText" lastClr="000000"/>
            </a:solidFill>
            <a:effectLst/>
          </a:endParaRPr>
        </a:p>
        <a:p>
          <a:pPr algn="r"/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（会計：橋本）</a:t>
          </a:r>
          <a:endParaRPr lang="ja-JP" altLang="ja-JP" sz="2000">
            <a:solidFill>
              <a:sysClr val="windowText" lastClr="000000"/>
            </a:solidFill>
            <a:effectLst/>
          </a:endParaRPr>
        </a:p>
        <a:p>
          <a:pPr algn="l"/>
          <a:endParaRPr kumimoji="1" lang="ja-JP" altLang="en-US" sz="20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61174</xdr:colOff>
      <xdr:row>2</xdr:row>
      <xdr:rowOff>160255</xdr:rowOff>
    </xdr:from>
    <xdr:to>
      <xdr:col>7</xdr:col>
      <xdr:colOff>303460</xdr:colOff>
      <xdr:row>3</xdr:row>
      <xdr:rowOff>220185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2512420-7107-B7E5-74AE-A0BD09419EAC}"/>
            </a:ext>
          </a:extLst>
        </xdr:cNvPr>
        <xdr:cNvSpPr txBox="1"/>
      </xdr:nvSpPr>
      <xdr:spPr>
        <a:xfrm>
          <a:off x="6561034" y="617455"/>
          <a:ext cx="242286" cy="288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200"/>
            <a:t>8</a:t>
          </a:r>
          <a:endParaRPr kumimoji="1" lang="ja-JP" altLang="en-US" sz="1200"/>
        </a:p>
      </xdr:txBody>
    </xdr:sp>
    <xdr:clientData/>
  </xdr:twoCellAnchor>
  <xdr:twoCellAnchor>
    <xdr:from>
      <xdr:col>7</xdr:col>
      <xdr:colOff>66055</xdr:colOff>
      <xdr:row>2</xdr:row>
      <xdr:rowOff>163307</xdr:rowOff>
    </xdr:from>
    <xdr:to>
      <xdr:col>7</xdr:col>
      <xdr:colOff>316557</xdr:colOff>
      <xdr:row>9</xdr:row>
      <xdr:rowOff>33764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6005E09-1F50-E815-EA11-E2B15A9D9BEF}"/>
            </a:ext>
          </a:extLst>
        </xdr:cNvPr>
        <xdr:cNvSpPr/>
      </xdr:nvSpPr>
      <xdr:spPr>
        <a:xfrm>
          <a:off x="6565915" y="620507"/>
          <a:ext cx="250502" cy="1470657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200"/>
        </a:p>
      </xdr:txBody>
    </xdr:sp>
    <xdr:clientData/>
  </xdr:twoCellAnchor>
  <xdr:twoCellAnchor>
    <xdr:from>
      <xdr:col>7</xdr:col>
      <xdr:colOff>61461</xdr:colOff>
      <xdr:row>9</xdr:row>
      <xdr:rowOff>67087</xdr:rowOff>
    </xdr:from>
    <xdr:to>
      <xdr:col>7</xdr:col>
      <xdr:colOff>304152</xdr:colOff>
      <xdr:row>10</xdr:row>
      <xdr:rowOff>127017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F02DA6E-6599-B78F-C935-BEE2E4FCFAC9}"/>
            </a:ext>
          </a:extLst>
        </xdr:cNvPr>
        <xdr:cNvSpPr txBox="1"/>
      </xdr:nvSpPr>
      <xdr:spPr>
        <a:xfrm>
          <a:off x="6561321" y="2124487"/>
          <a:ext cx="242691" cy="288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200"/>
            <a:t>9</a:t>
          </a:r>
          <a:endParaRPr kumimoji="1" lang="ja-JP" altLang="en-US" sz="1200"/>
        </a:p>
      </xdr:txBody>
    </xdr:sp>
    <xdr:clientData/>
  </xdr:twoCellAnchor>
  <xdr:twoCellAnchor>
    <xdr:from>
      <xdr:col>7</xdr:col>
      <xdr:colOff>61725</xdr:colOff>
      <xdr:row>9</xdr:row>
      <xdr:rowOff>87533</xdr:rowOff>
    </xdr:from>
    <xdr:to>
      <xdr:col>7</xdr:col>
      <xdr:colOff>316556</xdr:colOff>
      <xdr:row>15</xdr:row>
      <xdr:rowOff>152297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45834AA-B9BA-6BFA-8B54-A29FB366721C}"/>
            </a:ext>
          </a:extLst>
        </xdr:cNvPr>
        <xdr:cNvSpPr/>
      </xdr:nvSpPr>
      <xdr:spPr>
        <a:xfrm>
          <a:off x="6561585" y="2144933"/>
          <a:ext cx="254831" cy="1436364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200"/>
        </a:p>
      </xdr:txBody>
    </xdr:sp>
    <xdr:clientData/>
  </xdr:twoCellAnchor>
  <xdr:twoCellAnchor>
    <xdr:from>
      <xdr:col>7</xdr:col>
      <xdr:colOff>12618</xdr:colOff>
      <xdr:row>15</xdr:row>
      <xdr:rowOff>156976</xdr:rowOff>
    </xdr:from>
    <xdr:to>
      <xdr:col>7</xdr:col>
      <xdr:colOff>339508</xdr:colOff>
      <xdr:row>17</xdr:row>
      <xdr:rowOff>7419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A447A35-856C-1015-14FC-00E39EA7F287}"/>
            </a:ext>
          </a:extLst>
        </xdr:cNvPr>
        <xdr:cNvSpPr txBox="1"/>
      </xdr:nvSpPr>
      <xdr:spPr>
        <a:xfrm>
          <a:off x="6512478" y="3585976"/>
          <a:ext cx="326890" cy="30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200"/>
            <a:t>10</a:t>
          </a:r>
          <a:endParaRPr kumimoji="1" lang="ja-JP" altLang="en-US" sz="1200"/>
        </a:p>
      </xdr:txBody>
    </xdr:sp>
    <xdr:clientData/>
  </xdr:twoCellAnchor>
  <xdr:twoCellAnchor>
    <xdr:from>
      <xdr:col>7</xdr:col>
      <xdr:colOff>64524</xdr:colOff>
      <xdr:row>15</xdr:row>
      <xdr:rowOff>206039</xdr:rowOff>
    </xdr:from>
    <xdr:to>
      <xdr:col>7</xdr:col>
      <xdr:colOff>315888</xdr:colOff>
      <xdr:row>16</xdr:row>
      <xdr:rowOff>197671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70F6A18-880A-B58E-C114-CED04F15901A}"/>
            </a:ext>
          </a:extLst>
        </xdr:cNvPr>
        <xdr:cNvSpPr/>
      </xdr:nvSpPr>
      <xdr:spPr>
        <a:xfrm>
          <a:off x="6564384" y="3635039"/>
          <a:ext cx="251364" cy="220232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200"/>
        </a:p>
      </xdr:txBody>
    </xdr:sp>
    <xdr:clientData/>
  </xdr:twoCellAnchor>
  <xdr:twoCellAnchor>
    <xdr:from>
      <xdr:col>7</xdr:col>
      <xdr:colOff>16353</xdr:colOff>
      <xdr:row>16</xdr:row>
      <xdr:rowOff>221417</xdr:rowOff>
    </xdr:from>
    <xdr:to>
      <xdr:col>7</xdr:col>
      <xdr:colOff>347448</xdr:colOff>
      <xdr:row>18</xdr:row>
      <xdr:rowOff>44203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DF503DCB-852A-D984-A99C-BD314B89DCA1}"/>
            </a:ext>
          </a:extLst>
        </xdr:cNvPr>
        <xdr:cNvSpPr txBox="1"/>
      </xdr:nvSpPr>
      <xdr:spPr>
        <a:xfrm>
          <a:off x="6516213" y="3879017"/>
          <a:ext cx="331095" cy="279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200"/>
            <a:t>11</a:t>
          </a:r>
          <a:endParaRPr kumimoji="1" lang="ja-JP" altLang="en-US" sz="1200"/>
        </a:p>
      </xdr:txBody>
    </xdr:sp>
    <xdr:clientData/>
  </xdr:twoCellAnchor>
  <xdr:twoCellAnchor>
    <xdr:from>
      <xdr:col>7</xdr:col>
      <xdr:colOff>67033</xdr:colOff>
      <xdr:row>17</xdr:row>
      <xdr:rowOff>15109</xdr:rowOff>
    </xdr:from>
    <xdr:to>
      <xdr:col>7</xdr:col>
      <xdr:colOff>324704</xdr:colOff>
      <xdr:row>18</xdr:row>
      <xdr:rowOff>213171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B48E6C4-62A3-B43B-C04A-8565F4CA3191}"/>
            </a:ext>
          </a:extLst>
        </xdr:cNvPr>
        <xdr:cNvSpPr/>
      </xdr:nvSpPr>
      <xdr:spPr>
        <a:xfrm>
          <a:off x="6566893" y="3901309"/>
          <a:ext cx="257671" cy="426662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200"/>
        </a:p>
      </xdr:txBody>
    </xdr:sp>
    <xdr:clientData/>
  </xdr:twoCellAnchor>
  <xdr:twoCellAnchor>
    <xdr:from>
      <xdr:col>7</xdr:col>
      <xdr:colOff>19466</xdr:colOff>
      <xdr:row>18</xdr:row>
      <xdr:rowOff>217248</xdr:rowOff>
    </xdr:from>
    <xdr:to>
      <xdr:col>7</xdr:col>
      <xdr:colOff>350561</xdr:colOff>
      <xdr:row>20</xdr:row>
      <xdr:rowOff>60429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F82C8C05-D66B-C251-1DB7-74AE02405742}"/>
            </a:ext>
          </a:extLst>
        </xdr:cNvPr>
        <xdr:cNvSpPr txBox="1"/>
      </xdr:nvSpPr>
      <xdr:spPr>
        <a:xfrm>
          <a:off x="6519326" y="4332048"/>
          <a:ext cx="331095" cy="300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200">
              <a:solidFill>
                <a:schemeClr val="bg1">
                  <a:lumMod val="95000"/>
                </a:schemeClr>
              </a:solidFill>
            </a:rPr>
            <a:t>12</a:t>
          </a:r>
          <a:endParaRPr kumimoji="1" lang="ja-JP" altLang="en-US" sz="12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7</xdr:col>
      <xdr:colOff>67876</xdr:colOff>
      <xdr:row>19</xdr:row>
      <xdr:rowOff>6144</xdr:rowOff>
    </xdr:from>
    <xdr:to>
      <xdr:col>7</xdr:col>
      <xdr:colOff>312790</xdr:colOff>
      <xdr:row>20</xdr:row>
      <xdr:rowOff>27786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F0C2AFDD-11BA-7FF7-DFA2-9D69373A9491}"/>
            </a:ext>
          </a:extLst>
        </xdr:cNvPr>
        <xdr:cNvSpPr/>
      </xdr:nvSpPr>
      <xdr:spPr>
        <a:xfrm>
          <a:off x="6567736" y="4349544"/>
          <a:ext cx="244914" cy="250242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200"/>
        </a:p>
      </xdr:txBody>
    </xdr:sp>
    <xdr:clientData/>
  </xdr:twoCellAnchor>
  <xdr:twoCellAnchor>
    <xdr:from>
      <xdr:col>7</xdr:col>
      <xdr:colOff>10674</xdr:colOff>
      <xdr:row>20</xdr:row>
      <xdr:rowOff>28385</xdr:rowOff>
    </xdr:from>
    <xdr:to>
      <xdr:col>7</xdr:col>
      <xdr:colOff>341769</xdr:colOff>
      <xdr:row>20</xdr:row>
      <xdr:rowOff>337532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DD37CDD8-4313-575B-0FED-12557227789A}"/>
            </a:ext>
          </a:extLst>
        </xdr:cNvPr>
        <xdr:cNvSpPr txBox="1"/>
      </xdr:nvSpPr>
      <xdr:spPr>
        <a:xfrm>
          <a:off x="6510534" y="4600385"/>
          <a:ext cx="331095" cy="309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200">
              <a:solidFill>
                <a:schemeClr val="bg1">
                  <a:lumMod val="95000"/>
                </a:schemeClr>
              </a:solidFill>
            </a:rPr>
            <a:t>13</a:t>
          </a:r>
          <a:endParaRPr kumimoji="1" lang="ja-JP" altLang="en-US" sz="12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7</xdr:col>
      <xdr:colOff>66055</xdr:colOff>
      <xdr:row>20</xdr:row>
      <xdr:rowOff>58724</xdr:rowOff>
    </xdr:from>
    <xdr:to>
      <xdr:col>7</xdr:col>
      <xdr:colOff>315862</xdr:colOff>
      <xdr:row>21</xdr:row>
      <xdr:rowOff>159566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156CA21C-B7E3-C68D-5577-87E4034A8FA8}"/>
            </a:ext>
          </a:extLst>
        </xdr:cNvPr>
        <xdr:cNvSpPr/>
      </xdr:nvSpPr>
      <xdr:spPr>
        <a:xfrm>
          <a:off x="6565915" y="4630724"/>
          <a:ext cx="249807" cy="512322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200"/>
        </a:p>
      </xdr:txBody>
    </xdr:sp>
    <xdr:clientData/>
  </xdr:twoCellAnchor>
  <xdr:twoCellAnchor>
    <xdr:from>
      <xdr:col>7</xdr:col>
      <xdr:colOff>6435</xdr:colOff>
      <xdr:row>21</xdr:row>
      <xdr:rowOff>149214</xdr:rowOff>
    </xdr:from>
    <xdr:to>
      <xdr:col>7</xdr:col>
      <xdr:colOff>337530</xdr:colOff>
      <xdr:row>22</xdr:row>
      <xdr:rowOff>210442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D1E1FCD2-F18D-1E7A-29E5-7F7053D2473B}"/>
            </a:ext>
          </a:extLst>
        </xdr:cNvPr>
        <xdr:cNvSpPr txBox="1"/>
      </xdr:nvSpPr>
      <xdr:spPr>
        <a:xfrm>
          <a:off x="6506295" y="5132694"/>
          <a:ext cx="331095" cy="2898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200">
              <a:solidFill>
                <a:schemeClr val="bg1">
                  <a:lumMod val="95000"/>
                </a:schemeClr>
              </a:solidFill>
            </a:rPr>
            <a:t>14</a:t>
          </a:r>
          <a:endParaRPr kumimoji="1" lang="ja-JP" altLang="en-US" sz="12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7</xdr:col>
      <xdr:colOff>61464</xdr:colOff>
      <xdr:row>21</xdr:row>
      <xdr:rowOff>178443</xdr:rowOff>
    </xdr:from>
    <xdr:to>
      <xdr:col>7</xdr:col>
      <xdr:colOff>311271</xdr:colOff>
      <xdr:row>24</xdr:row>
      <xdr:rowOff>188394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AC5706EA-CC44-73D2-1327-66F3D4644A48}"/>
            </a:ext>
          </a:extLst>
        </xdr:cNvPr>
        <xdr:cNvSpPr/>
      </xdr:nvSpPr>
      <xdr:spPr>
        <a:xfrm>
          <a:off x="6561324" y="5161923"/>
          <a:ext cx="249807" cy="695751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200"/>
        </a:p>
      </xdr:txBody>
    </xdr:sp>
    <xdr:clientData/>
  </xdr:twoCellAnchor>
  <xdr:twoCellAnchor>
    <xdr:from>
      <xdr:col>7</xdr:col>
      <xdr:colOff>5089</xdr:colOff>
      <xdr:row>24</xdr:row>
      <xdr:rowOff>169887</xdr:rowOff>
    </xdr:from>
    <xdr:to>
      <xdr:col>7</xdr:col>
      <xdr:colOff>336184</xdr:colOff>
      <xdr:row>26</xdr:row>
      <xdr:rowOff>15144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BAA50B3C-A1BB-8734-BBB6-D998CA4326C3}"/>
            </a:ext>
          </a:extLst>
        </xdr:cNvPr>
        <xdr:cNvSpPr txBox="1"/>
      </xdr:nvSpPr>
      <xdr:spPr>
        <a:xfrm>
          <a:off x="6504949" y="5839167"/>
          <a:ext cx="331095" cy="302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200">
              <a:solidFill>
                <a:schemeClr val="bg1">
                  <a:lumMod val="95000"/>
                </a:schemeClr>
              </a:solidFill>
            </a:rPr>
            <a:t>15</a:t>
          </a:r>
          <a:endParaRPr kumimoji="1" lang="ja-JP" altLang="en-US" sz="12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7</xdr:col>
      <xdr:colOff>38388</xdr:colOff>
      <xdr:row>25</xdr:row>
      <xdr:rowOff>4655</xdr:rowOff>
    </xdr:from>
    <xdr:to>
      <xdr:col>7</xdr:col>
      <xdr:colOff>301783</xdr:colOff>
      <xdr:row>29</xdr:row>
      <xdr:rowOff>30857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947259DE-037E-FD67-A39C-DEDEB9912502}"/>
            </a:ext>
          </a:extLst>
        </xdr:cNvPr>
        <xdr:cNvSpPr/>
      </xdr:nvSpPr>
      <xdr:spPr>
        <a:xfrm>
          <a:off x="6538248" y="5902535"/>
          <a:ext cx="263395" cy="940602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200"/>
        </a:p>
      </xdr:txBody>
    </xdr:sp>
    <xdr:clientData/>
  </xdr:twoCellAnchor>
  <xdr:twoCellAnchor>
    <xdr:from>
      <xdr:col>7</xdr:col>
      <xdr:colOff>1554</xdr:colOff>
      <xdr:row>29</xdr:row>
      <xdr:rowOff>49784</xdr:rowOff>
    </xdr:from>
    <xdr:to>
      <xdr:col>7</xdr:col>
      <xdr:colOff>332649</xdr:colOff>
      <xdr:row>30</xdr:row>
      <xdr:rowOff>130332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99CB7121-10AE-F853-C211-9FA8EBE38158}"/>
            </a:ext>
          </a:extLst>
        </xdr:cNvPr>
        <xdr:cNvSpPr txBox="1"/>
      </xdr:nvSpPr>
      <xdr:spPr>
        <a:xfrm>
          <a:off x="6501414" y="6862064"/>
          <a:ext cx="331095" cy="3091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200">
              <a:solidFill>
                <a:schemeClr val="bg1">
                  <a:lumMod val="95000"/>
                </a:schemeClr>
              </a:solidFill>
            </a:rPr>
            <a:t>16</a:t>
          </a:r>
          <a:endParaRPr kumimoji="1" lang="ja-JP" altLang="en-US" sz="12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7</xdr:col>
      <xdr:colOff>59931</xdr:colOff>
      <xdr:row>29</xdr:row>
      <xdr:rowOff>87836</xdr:rowOff>
    </xdr:from>
    <xdr:to>
      <xdr:col>7</xdr:col>
      <xdr:colOff>304845</xdr:colOff>
      <xdr:row>36</xdr:row>
      <xdr:rowOff>201232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B4DEA622-1766-AD8B-0BFB-51A6CA7B903D}"/>
            </a:ext>
          </a:extLst>
        </xdr:cNvPr>
        <xdr:cNvSpPr/>
      </xdr:nvSpPr>
      <xdr:spPr>
        <a:xfrm>
          <a:off x="6559791" y="6900116"/>
          <a:ext cx="244914" cy="1713596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200"/>
        </a:p>
      </xdr:txBody>
    </xdr:sp>
    <xdr:clientData/>
  </xdr:twoCellAnchor>
  <xdr:twoCellAnchor>
    <xdr:from>
      <xdr:col>7</xdr:col>
      <xdr:colOff>2696</xdr:colOff>
      <xdr:row>36</xdr:row>
      <xdr:rowOff>207535</xdr:rowOff>
    </xdr:from>
    <xdr:to>
      <xdr:col>7</xdr:col>
      <xdr:colOff>333791</xdr:colOff>
      <xdr:row>38</xdr:row>
      <xdr:rowOff>46648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B9729CAE-5E09-EC9D-CED2-C0A05D98ECB3}"/>
            </a:ext>
          </a:extLst>
        </xdr:cNvPr>
        <xdr:cNvSpPr txBox="1"/>
      </xdr:nvSpPr>
      <xdr:spPr>
        <a:xfrm>
          <a:off x="6502556" y="8620015"/>
          <a:ext cx="331095" cy="2963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200">
              <a:solidFill>
                <a:schemeClr val="bg1"/>
              </a:solidFill>
            </a:rPr>
            <a:t>17</a:t>
          </a:r>
          <a:endParaRPr kumimoji="1" lang="ja-JP" alt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67875</xdr:colOff>
      <xdr:row>37</xdr:row>
      <xdr:rowOff>16339</xdr:rowOff>
    </xdr:from>
    <xdr:to>
      <xdr:col>7</xdr:col>
      <xdr:colOff>312789</xdr:colOff>
      <xdr:row>43</xdr:row>
      <xdr:rowOff>107397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EBD60076-F700-10CB-888C-6B4192C620FC}"/>
            </a:ext>
          </a:extLst>
        </xdr:cNvPr>
        <xdr:cNvSpPr/>
      </xdr:nvSpPr>
      <xdr:spPr>
        <a:xfrm>
          <a:off x="6567735" y="8657419"/>
          <a:ext cx="244914" cy="1462658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200"/>
        </a:p>
      </xdr:txBody>
    </xdr:sp>
    <xdr:clientData/>
  </xdr:twoCellAnchor>
  <xdr:twoCellAnchor>
    <xdr:from>
      <xdr:col>7</xdr:col>
      <xdr:colOff>0</xdr:colOff>
      <xdr:row>43</xdr:row>
      <xdr:rowOff>111900</xdr:rowOff>
    </xdr:from>
    <xdr:to>
      <xdr:col>7</xdr:col>
      <xdr:colOff>331095</xdr:colOff>
      <xdr:row>44</xdr:row>
      <xdr:rowOff>183680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3F270C59-DA96-CE9A-92A5-F68CCD40FAB2}"/>
            </a:ext>
          </a:extLst>
        </xdr:cNvPr>
        <xdr:cNvSpPr txBox="1"/>
      </xdr:nvSpPr>
      <xdr:spPr>
        <a:xfrm>
          <a:off x="6499860" y="10124580"/>
          <a:ext cx="331095" cy="300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200">
              <a:solidFill>
                <a:schemeClr val="bg1"/>
              </a:solidFill>
            </a:rPr>
            <a:t>18</a:t>
          </a:r>
          <a:endParaRPr kumimoji="1" lang="ja-JP" alt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39920</xdr:colOff>
      <xdr:row>43</xdr:row>
      <xdr:rowOff>164378</xdr:rowOff>
    </xdr:from>
    <xdr:to>
      <xdr:col>7</xdr:col>
      <xdr:colOff>316925</xdr:colOff>
      <xdr:row>47</xdr:row>
      <xdr:rowOff>190582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36AFE7C9-B096-3668-00A9-81A8F382111A}"/>
            </a:ext>
          </a:extLst>
        </xdr:cNvPr>
        <xdr:cNvSpPr/>
      </xdr:nvSpPr>
      <xdr:spPr>
        <a:xfrm>
          <a:off x="6539780" y="10177058"/>
          <a:ext cx="277005" cy="940604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200"/>
        </a:p>
      </xdr:txBody>
    </xdr:sp>
    <xdr:clientData/>
  </xdr:twoCellAnchor>
  <xdr:twoCellAnchor>
    <xdr:from>
      <xdr:col>7</xdr:col>
      <xdr:colOff>8379</xdr:colOff>
      <xdr:row>48</xdr:row>
      <xdr:rowOff>17817</xdr:rowOff>
    </xdr:from>
    <xdr:to>
      <xdr:col>7</xdr:col>
      <xdr:colOff>339474</xdr:colOff>
      <xdr:row>49</xdr:row>
      <xdr:rowOff>77747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ED024A10-6EE1-86B1-55B2-B2374055696C}"/>
            </a:ext>
          </a:extLst>
        </xdr:cNvPr>
        <xdr:cNvSpPr txBox="1"/>
      </xdr:nvSpPr>
      <xdr:spPr>
        <a:xfrm>
          <a:off x="6508239" y="11173497"/>
          <a:ext cx="331095" cy="288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200">
              <a:solidFill>
                <a:schemeClr val="bg1"/>
              </a:solidFill>
            </a:rPr>
            <a:t>19</a:t>
          </a:r>
          <a:endParaRPr kumimoji="1" lang="ja-JP" alt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61464</xdr:colOff>
      <xdr:row>48</xdr:row>
      <xdr:rowOff>31082</xdr:rowOff>
    </xdr:from>
    <xdr:to>
      <xdr:col>7</xdr:col>
      <xdr:colOff>323193</xdr:colOff>
      <xdr:row>53</xdr:row>
      <xdr:rowOff>85657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DCE860E9-977C-DC70-9C3C-EC3A896371C0}"/>
            </a:ext>
          </a:extLst>
        </xdr:cNvPr>
        <xdr:cNvSpPr/>
      </xdr:nvSpPr>
      <xdr:spPr>
        <a:xfrm>
          <a:off x="6561324" y="11186762"/>
          <a:ext cx="261729" cy="1197575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200"/>
        </a:p>
      </xdr:txBody>
    </xdr:sp>
    <xdr:clientData/>
  </xdr:twoCellAnchor>
  <xdr:twoCellAnchor>
    <xdr:from>
      <xdr:col>7</xdr:col>
      <xdr:colOff>11025</xdr:colOff>
      <xdr:row>53</xdr:row>
      <xdr:rowOff>118369</xdr:rowOff>
    </xdr:from>
    <xdr:to>
      <xdr:col>7</xdr:col>
      <xdr:colOff>342120</xdr:colOff>
      <xdr:row>54</xdr:row>
      <xdr:rowOff>176095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23CAACB1-F143-AA83-2F29-F6F77C07FE9E}"/>
            </a:ext>
          </a:extLst>
        </xdr:cNvPr>
        <xdr:cNvSpPr txBox="1"/>
      </xdr:nvSpPr>
      <xdr:spPr>
        <a:xfrm>
          <a:off x="6510885" y="12417049"/>
          <a:ext cx="331095" cy="2863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200">
              <a:solidFill>
                <a:schemeClr val="bg1"/>
              </a:solidFill>
            </a:rPr>
            <a:t>20</a:t>
          </a:r>
          <a:endParaRPr kumimoji="1" lang="ja-JP" alt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38388</xdr:colOff>
      <xdr:row>53</xdr:row>
      <xdr:rowOff>136574</xdr:rowOff>
    </xdr:from>
    <xdr:to>
      <xdr:col>7</xdr:col>
      <xdr:colOff>323192</xdr:colOff>
      <xdr:row>60</xdr:row>
      <xdr:rowOff>21392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EAECE3CB-1D78-655B-7694-EB144BD1535A}"/>
            </a:ext>
          </a:extLst>
        </xdr:cNvPr>
        <xdr:cNvSpPr/>
      </xdr:nvSpPr>
      <xdr:spPr>
        <a:xfrm>
          <a:off x="6538248" y="12435254"/>
          <a:ext cx="284804" cy="1485018"/>
        </a:xfrm>
        <a:prstGeom prst="rect">
          <a:avLst/>
        </a:prstGeom>
        <a:noFill/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200"/>
        </a:p>
      </xdr:txBody>
    </xdr:sp>
    <xdr:clientData/>
  </xdr:twoCellAnchor>
  <xdr:twoCellAnchor>
    <xdr:from>
      <xdr:col>7</xdr:col>
      <xdr:colOff>19648</xdr:colOff>
      <xdr:row>60</xdr:row>
      <xdr:rowOff>23163</xdr:rowOff>
    </xdr:from>
    <xdr:to>
      <xdr:col>7</xdr:col>
      <xdr:colOff>350743</xdr:colOff>
      <xdr:row>61</xdr:row>
      <xdr:rowOff>64150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9C137A4-3CDA-163E-5EBF-A2E79CF08479}"/>
            </a:ext>
          </a:extLst>
        </xdr:cNvPr>
        <xdr:cNvSpPr txBox="1"/>
      </xdr:nvSpPr>
      <xdr:spPr>
        <a:xfrm>
          <a:off x="6519508" y="13922043"/>
          <a:ext cx="331095" cy="2695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200">
              <a:solidFill>
                <a:schemeClr val="bg1"/>
              </a:solidFill>
            </a:rPr>
            <a:t>21</a:t>
          </a:r>
          <a:endParaRPr kumimoji="1" lang="ja-JP" alt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51803</xdr:colOff>
      <xdr:row>60</xdr:row>
      <xdr:rowOff>47899</xdr:rowOff>
    </xdr:from>
    <xdr:to>
      <xdr:col>7</xdr:col>
      <xdr:colOff>318676</xdr:colOff>
      <xdr:row>63</xdr:row>
      <xdr:rowOff>43477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41C6F3A2-74FB-2033-0317-09CC6A8FD6DF}"/>
            </a:ext>
          </a:extLst>
        </xdr:cNvPr>
        <xdr:cNvSpPr/>
      </xdr:nvSpPr>
      <xdr:spPr>
        <a:xfrm>
          <a:off x="6551663" y="13946779"/>
          <a:ext cx="266873" cy="681378"/>
        </a:xfrm>
        <a:prstGeom prst="rect">
          <a:avLst/>
        </a:prstGeom>
        <a:noFill/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200"/>
        </a:p>
      </xdr:txBody>
    </xdr:sp>
    <xdr:clientData/>
  </xdr:twoCellAnchor>
  <xdr:twoCellAnchor>
    <xdr:from>
      <xdr:col>7</xdr:col>
      <xdr:colOff>9144</xdr:colOff>
      <xdr:row>63</xdr:row>
      <xdr:rowOff>102256</xdr:rowOff>
    </xdr:from>
    <xdr:to>
      <xdr:col>7</xdr:col>
      <xdr:colOff>340239</xdr:colOff>
      <xdr:row>64</xdr:row>
      <xdr:rowOff>154716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7E27AF4B-C424-8D9E-EDD2-158167B76F7B}"/>
            </a:ext>
          </a:extLst>
        </xdr:cNvPr>
        <xdr:cNvSpPr txBox="1"/>
      </xdr:nvSpPr>
      <xdr:spPr>
        <a:xfrm>
          <a:off x="6509004" y="14686936"/>
          <a:ext cx="331095" cy="281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200">
              <a:solidFill>
                <a:schemeClr val="bg1"/>
              </a:solidFill>
            </a:rPr>
            <a:t>22</a:t>
          </a:r>
          <a:endParaRPr kumimoji="1" lang="ja-JP" alt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39511</xdr:colOff>
      <xdr:row>63</xdr:row>
      <xdr:rowOff>97439</xdr:rowOff>
    </xdr:from>
    <xdr:to>
      <xdr:col>7</xdr:col>
      <xdr:colOff>336649</xdr:colOff>
      <xdr:row>67</xdr:row>
      <xdr:rowOff>134974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E658F421-3F0E-8A80-40EE-C323145ADA1B}"/>
            </a:ext>
          </a:extLst>
        </xdr:cNvPr>
        <xdr:cNvSpPr/>
      </xdr:nvSpPr>
      <xdr:spPr>
        <a:xfrm>
          <a:off x="6539371" y="14682119"/>
          <a:ext cx="297138" cy="951935"/>
        </a:xfrm>
        <a:prstGeom prst="rect">
          <a:avLst/>
        </a:prstGeom>
        <a:noFill/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200"/>
        </a:p>
      </xdr:txBody>
    </xdr:sp>
    <xdr:clientData/>
  </xdr:twoCellAnchor>
  <xdr:twoCellAnchor>
    <xdr:from>
      <xdr:col>8</xdr:col>
      <xdr:colOff>41065</xdr:colOff>
      <xdr:row>1</xdr:row>
      <xdr:rowOff>137160</xdr:rowOff>
    </xdr:from>
    <xdr:to>
      <xdr:col>8</xdr:col>
      <xdr:colOff>289560</xdr:colOff>
      <xdr:row>67</xdr:row>
      <xdr:rowOff>216975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452C1089-B729-F61E-FC81-853226BEE014}"/>
            </a:ext>
          </a:extLst>
        </xdr:cNvPr>
        <xdr:cNvSpPr/>
      </xdr:nvSpPr>
      <xdr:spPr>
        <a:xfrm>
          <a:off x="7211485" y="365760"/>
          <a:ext cx="248495" cy="15350295"/>
        </a:xfrm>
        <a:prstGeom prst="roundRect">
          <a:avLst/>
        </a:prstGeom>
        <a:solidFill>
          <a:srgbClr val="33715C">
            <a:alpha val="50196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57DE1-7A35-4772-8589-C3D051540558}">
  <sheetPr>
    <pageSetUpPr fitToPage="1"/>
  </sheetPr>
  <dimension ref="B1:K66"/>
  <sheetViews>
    <sheetView zoomScale="80" zoomScaleNormal="80" zoomScaleSheetLayoutView="70" workbookViewId="0">
      <selection activeCell="I3" sqref="I1:I1048576"/>
    </sheetView>
  </sheetViews>
  <sheetFormatPr defaultColWidth="9" defaultRowHeight="13.8"/>
  <cols>
    <col min="1" max="1" width="10" style="49" customWidth="1"/>
    <col min="2" max="2" width="4.59765625" style="376" customWidth="1"/>
    <col min="3" max="3" width="4" style="549" customWidth="1"/>
    <col min="4" max="4" width="33.59765625" style="49" customWidth="1"/>
    <col min="5" max="5" width="4.59765625" style="376" customWidth="1"/>
    <col min="6" max="6" width="4" style="549" customWidth="1"/>
    <col min="7" max="7" width="34.69921875" style="49" customWidth="1"/>
    <col min="8" max="8" width="4.59765625" style="376" customWidth="1"/>
    <col min="9" max="9" width="4" style="549" customWidth="1"/>
    <col min="10" max="10" width="31.19921875" style="49" customWidth="1"/>
    <col min="11" max="11" width="4.59765625" style="376" customWidth="1"/>
    <col min="12" max="16384" width="9" style="49"/>
  </cols>
  <sheetData>
    <row r="1" spans="2:11" ht="36" customHeight="1" thickBot="1">
      <c r="B1" s="379"/>
      <c r="C1" s="369" t="s">
        <v>0</v>
      </c>
      <c r="D1" s="369"/>
      <c r="E1" s="379"/>
      <c r="F1" s="369" t="s">
        <v>1</v>
      </c>
      <c r="G1" s="369"/>
      <c r="H1" s="379"/>
      <c r="I1" s="369" t="s">
        <v>2</v>
      </c>
      <c r="J1" s="369"/>
      <c r="K1" s="379"/>
    </row>
    <row r="2" spans="2:11" s="48" customFormat="1" ht="20.100000000000001" customHeight="1" thickTop="1">
      <c r="B2" s="380">
        <v>8</v>
      </c>
      <c r="C2" s="370"/>
      <c r="D2" s="370"/>
      <c r="E2" s="380">
        <v>8</v>
      </c>
      <c r="F2" s="570"/>
      <c r="H2" s="380">
        <v>8</v>
      </c>
      <c r="I2" s="370"/>
      <c r="J2" s="370"/>
      <c r="K2" s="380">
        <v>8</v>
      </c>
    </row>
    <row r="3" spans="2:11" ht="20.100000000000001" customHeight="1">
      <c r="B3" s="379"/>
      <c r="D3" s="83"/>
      <c r="E3" s="379"/>
      <c r="F3" s="573" t="s">
        <v>3</v>
      </c>
      <c r="G3" s="84" t="s">
        <v>4</v>
      </c>
      <c r="H3" s="379"/>
      <c r="I3" s="573"/>
      <c r="J3" s="83"/>
      <c r="K3" s="379"/>
    </row>
    <row r="4" spans="2:11" ht="20.100000000000001" customHeight="1">
      <c r="B4" s="379"/>
      <c r="D4" s="83"/>
      <c r="E4" s="379"/>
      <c r="G4" s="84" t="s">
        <v>5</v>
      </c>
      <c r="H4" s="379"/>
      <c r="I4" s="592"/>
      <c r="J4" s="83"/>
      <c r="K4" s="379"/>
    </row>
    <row r="5" spans="2:11" ht="20.100000000000001" customHeight="1">
      <c r="B5" s="379"/>
      <c r="D5" s="83"/>
      <c r="E5" s="379"/>
      <c r="F5" s="574"/>
      <c r="G5" s="87" t="s">
        <v>6</v>
      </c>
      <c r="H5" s="379"/>
      <c r="J5" s="83"/>
      <c r="K5" s="379"/>
    </row>
    <row r="6" spans="2:11" ht="20.100000000000001" customHeight="1">
      <c r="B6" s="379"/>
      <c r="C6" s="550" t="s">
        <v>7</v>
      </c>
      <c r="D6" s="83" t="s">
        <v>8</v>
      </c>
      <c r="E6" s="379"/>
      <c r="F6" s="574"/>
      <c r="G6" s="87" t="s">
        <v>9</v>
      </c>
      <c r="H6" s="379"/>
      <c r="J6" s="83"/>
      <c r="K6" s="379"/>
    </row>
    <row r="7" spans="2:11" ht="20.100000000000001" customHeight="1" thickBot="1">
      <c r="B7" s="381"/>
      <c r="C7" s="551"/>
      <c r="D7" s="394" t="s">
        <v>10</v>
      </c>
      <c r="E7" s="381"/>
      <c r="F7" s="551"/>
      <c r="G7" s="300" t="s">
        <v>11</v>
      </c>
      <c r="H7" s="381"/>
      <c r="I7" s="551"/>
      <c r="J7" s="127"/>
      <c r="K7" s="381"/>
    </row>
    <row r="8" spans="2:11" ht="20.100000000000001" customHeight="1" thickTop="1">
      <c r="B8" s="391">
        <v>9</v>
      </c>
      <c r="C8" s="552" t="s">
        <v>12</v>
      </c>
      <c r="D8" s="393" t="s">
        <v>13</v>
      </c>
      <c r="E8" s="391">
        <v>9</v>
      </c>
      <c r="F8" s="572" t="s">
        <v>12</v>
      </c>
      <c r="G8" s="315" t="s">
        <v>14</v>
      </c>
      <c r="H8" s="391">
        <v>9</v>
      </c>
      <c r="I8" s="572" t="s">
        <v>12</v>
      </c>
      <c r="J8" s="315" t="s">
        <v>15</v>
      </c>
      <c r="K8" s="391">
        <v>9</v>
      </c>
    </row>
    <row r="9" spans="2:11" ht="20.100000000000001" customHeight="1">
      <c r="B9" s="392"/>
      <c r="C9" s="553"/>
      <c r="D9" s="171"/>
      <c r="E9" s="392"/>
      <c r="G9" s="87" t="s">
        <v>16</v>
      </c>
      <c r="H9" s="392"/>
      <c r="J9" s="89" t="s">
        <v>17</v>
      </c>
      <c r="K9" s="392"/>
    </row>
    <row r="10" spans="2:11" ht="20.100000000000001" customHeight="1">
      <c r="B10" s="392"/>
      <c r="C10" s="553"/>
      <c r="D10" s="171"/>
      <c r="E10" s="392"/>
      <c r="G10" s="83"/>
      <c r="H10" s="392"/>
      <c r="J10" s="83" t="s">
        <v>18</v>
      </c>
      <c r="K10" s="392"/>
    </row>
    <row r="11" spans="2:11" ht="20.100000000000001" customHeight="1">
      <c r="B11" s="392"/>
      <c r="C11" s="553"/>
      <c r="D11" s="171"/>
      <c r="E11" s="392"/>
      <c r="G11" s="83"/>
      <c r="H11" s="392"/>
      <c r="I11" s="592"/>
      <c r="J11" s="83"/>
      <c r="K11" s="392"/>
    </row>
    <row r="12" spans="2:11" ht="20.100000000000001" customHeight="1">
      <c r="B12" s="392"/>
      <c r="C12" s="553"/>
      <c r="D12" s="171"/>
      <c r="E12" s="392"/>
      <c r="G12" s="83"/>
      <c r="H12" s="392"/>
      <c r="J12" s="83"/>
      <c r="K12" s="392"/>
    </row>
    <row r="13" spans="2:11" ht="20.100000000000001" customHeight="1" thickBot="1">
      <c r="B13" s="397"/>
      <c r="C13" s="554"/>
      <c r="D13" s="317"/>
      <c r="E13" s="397"/>
      <c r="G13" s="127"/>
      <c r="H13" s="397"/>
      <c r="I13" s="551"/>
      <c r="J13" s="127"/>
      <c r="K13" s="397"/>
    </row>
    <row r="14" spans="2:11" ht="20.100000000000001" customHeight="1" thickTop="1" thickBot="1">
      <c r="B14" s="398">
        <v>10</v>
      </c>
      <c r="C14" s="555"/>
      <c r="D14" s="319"/>
      <c r="E14" s="398">
        <v>10</v>
      </c>
      <c r="F14" s="575"/>
      <c r="G14" s="320"/>
      <c r="H14" s="398">
        <v>10</v>
      </c>
      <c r="I14" s="593"/>
      <c r="J14" s="320"/>
      <c r="K14" s="398">
        <v>10</v>
      </c>
    </row>
    <row r="15" spans="2:11" ht="20.100000000000001" customHeight="1" thickTop="1">
      <c r="B15" s="389">
        <v>11</v>
      </c>
      <c r="C15" s="556"/>
      <c r="D15" s="285"/>
      <c r="E15" s="389">
        <v>11</v>
      </c>
      <c r="F15" s="559"/>
      <c r="G15" s="128" t="s">
        <v>19</v>
      </c>
      <c r="H15" s="389">
        <v>11</v>
      </c>
      <c r="I15" s="559"/>
      <c r="J15" s="128"/>
      <c r="K15" s="389">
        <v>11</v>
      </c>
    </row>
    <row r="16" spans="2:11" ht="20.100000000000001" customHeight="1" thickBot="1">
      <c r="B16" s="390"/>
      <c r="C16" s="557"/>
      <c r="D16" s="317"/>
      <c r="E16" s="390"/>
      <c r="F16" s="576"/>
      <c r="G16" s="127"/>
      <c r="H16" s="390"/>
      <c r="I16" s="551"/>
      <c r="J16" s="127"/>
      <c r="K16" s="390"/>
    </row>
    <row r="17" spans="2:11" ht="20.100000000000001" customHeight="1" thickTop="1" thickBot="1">
      <c r="B17" s="388">
        <v>12</v>
      </c>
      <c r="C17" s="555"/>
      <c r="D17" s="325" t="s">
        <v>20</v>
      </c>
      <c r="E17" s="388">
        <v>12</v>
      </c>
      <c r="F17" s="575"/>
      <c r="G17" s="325" t="s">
        <v>21</v>
      </c>
      <c r="H17" s="388">
        <v>12</v>
      </c>
      <c r="I17" s="593"/>
      <c r="J17" s="320"/>
      <c r="K17" s="388">
        <v>12</v>
      </c>
    </row>
    <row r="18" spans="2:11" ht="20.100000000000001" customHeight="1" thickTop="1">
      <c r="B18" s="385">
        <v>13</v>
      </c>
      <c r="C18" s="558" t="s">
        <v>12</v>
      </c>
      <c r="D18" s="396" t="s">
        <v>22</v>
      </c>
      <c r="E18" s="385">
        <v>13</v>
      </c>
      <c r="F18" s="572"/>
      <c r="G18" s="260"/>
      <c r="H18" s="385">
        <v>13</v>
      </c>
      <c r="I18" s="559"/>
      <c r="J18" s="128"/>
      <c r="K18" s="385">
        <v>13</v>
      </c>
    </row>
    <row r="19" spans="2:11" ht="20.100000000000001" customHeight="1" thickBot="1">
      <c r="B19" s="386"/>
      <c r="C19" s="554"/>
      <c r="D19" s="326" t="s">
        <v>23</v>
      </c>
      <c r="E19" s="386"/>
      <c r="F19" s="577"/>
      <c r="G19" s="130"/>
      <c r="H19" s="386"/>
      <c r="I19" s="577"/>
      <c r="J19" s="130"/>
      <c r="K19" s="386"/>
    </row>
    <row r="20" spans="2:11" ht="20.100000000000001" customHeight="1" thickTop="1">
      <c r="B20" s="385">
        <v>14</v>
      </c>
      <c r="C20" s="559"/>
      <c r="D20" s="288"/>
      <c r="E20" s="385">
        <v>14</v>
      </c>
      <c r="F20" s="572"/>
      <c r="G20" s="260"/>
      <c r="H20" s="385">
        <v>14</v>
      </c>
      <c r="I20" s="594"/>
      <c r="J20" s="289"/>
      <c r="K20" s="385">
        <v>14</v>
      </c>
    </row>
    <row r="21" spans="2:11" ht="20.100000000000001" customHeight="1">
      <c r="B21" s="377"/>
      <c r="C21" s="560"/>
      <c r="D21" s="99" t="s">
        <v>24</v>
      </c>
      <c r="E21" s="377"/>
      <c r="F21" s="566"/>
      <c r="G21" s="249" t="s">
        <v>25</v>
      </c>
      <c r="H21" s="377"/>
      <c r="I21" s="573"/>
      <c r="J21" s="87"/>
      <c r="K21" s="377"/>
    </row>
    <row r="22" spans="2:11" ht="20.100000000000001" customHeight="1" thickBot="1">
      <c r="B22" s="386"/>
      <c r="C22" s="561" t="s">
        <v>26</v>
      </c>
      <c r="D22" s="132" t="s">
        <v>27</v>
      </c>
      <c r="E22" s="386"/>
      <c r="F22" s="561" t="s">
        <v>26</v>
      </c>
      <c r="G22" s="133" t="s">
        <v>28</v>
      </c>
      <c r="H22" s="386"/>
      <c r="I22" s="595"/>
      <c r="J22" s="129"/>
      <c r="K22" s="386"/>
    </row>
    <row r="23" spans="2:11" ht="20.100000000000001" customHeight="1" thickTop="1" thickBot="1">
      <c r="B23" s="377">
        <v>15</v>
      </c>
      <c r="C23" s="562" t="s">
        <v>12</v>
      </c>
      <c r="D23" s="142" t="s">
        <v>29</v>
      </c>
      <c r="E23" s="377">
        <v>15</v>
      </c>
      <c r="F23" s="567" t="s">
        <v>12</v>
      </c>
      <c r="G23" s="246" t="s">
        <v>30</v>
      </c>
      <c r="H23" s="377">
        <v>15</v>
      </c>
      <c r="I23" s="572"/>
      <c r="J23" s="247"/>
      <c r="K23" s="377">
        <v>15</v>
      </c>
    </row>
    <row r="24" spans="2:11" ht="20.100000000000001" customHeight="1" thickTop="1">
      <c r="B24" s="377"/>
      <c r="C24" s="560"/>
      <c r="D24" s="94"/>
      <c r="E24" s="377"/>
      <c r="F24" s="566" t="s">
        <v>31</v>
      </c>
      <c r="G24" s="126" t="s">
        <v>32</v>
      </c>
      <c r="H24" s="377"/>
      <c r="I24" s="596"/>
      <c r="J24" s="252" t="s">
        <v>33</v>
      </c>
      <c r="K24" s="377"/>
    </row>
    <row r="25" spans="2:11" ht="20.100000000000001" customHeight="1" thickBot="1">
      <c r="B25" s="377"/>
      <c r="C25" s="560"/>
      <c r="D25" s="94"/>
      <c r="E25" s="377"/>
      <c r="F25" s="566" t="s">
        <v>3</v>
      </c>
      <c r="G25" s="126" t="s">
        <v>34</v>
      </c>
      <c r="H25" s="377"/>
      <c r="I25" s="566" t="s">
        <v>3</v>
      </c>
      <c r="J25" s="126" t="s">
        <v>35</v>
      </c>
      <c r="K25" s="377"/>
    </row>
    <row r="26" spans="2:11" ht="20.100000000000001" customHeight="1" thickBot="1">
      <c r="B26" s="377"/>
      <c r="C26" s="563"/>
      <c r="D26" s="160"/>
      <c r="E26" s="377"/>
      <c r="F26" s="561" t="s">
        <v>26</v>
      </c>
      <c r="G26" s="356" t="s">
        <v>36</v>
      </c>
      <c r="H26" s="377"/>
      <c r="I26" s="597"/>
      <c r="J26" s="134" t="s">
        <v>37</v>
      </c>
      <c r="K26" s="377"/>
    </row>
    <row r="27" spans="2:11" ht="20.100000000000001" customHeight="1" thickTop="1">
      <c r="B27" s="385">
        <v>16</v>
      </c>
      <c r="C27" s="564" t="s">
        <v>12</v>
      </c>
      <c r="D27" s="142" t="s">
        <v>38</v>
      </c>
      <c r="E27" s="385">
        <v>16</v>
      </c>
      <c r="F27" s="567" t="s">
        <v>12</v>
      </c>
      <c r="G27" s="328" t="s">
        <v>39</v>
      </c>
      <c r="H27" s="385">
        <v>16</v>
      </c>
      <c r="I27" s="598"/>
      <c r="J27" s="256" t="s">
        <v>40</v>
      </c>
      <c r="K27" s="385">
        <v>16</v>
      </c>
    </row>
    <row r="28" spans="2:11" ht="20.100000000000001" customHeight="1" thickBot="1">
      <c r="B28" s="377"/>
      <c r="C28" s="560"/>
      <c r="D28" s="94"/>
      <c r="E28" s="377"/>
      <c r="F28" s="578"/>
      <c r="G28" s="164" t="s">
        <v>41</v>
      </c>
      <c r="H28" s="377"/>
      <c r="I28" s="599"/>
      <c r="J28" s="208" t="s">
        <v>42</v>
      </c>
      <c r="K28" s="377"/>
    </row>
    <row r="29" spans="2:11" ht="20.100000000000001" customHeight="1">
      <c r="B29" s="377"/>
      <c r="C29" s="565" t="s">
        <v>43</v>
      </c>
      <c r="D29" s="99"/>
      <c r="E29" s="377"/>
      <c r="F29" s="566" t="s">
        <v>31</v>
      </c>
      <c r="G29" s="253" t="s">
        <v>44</v>
      </c>
      <c r="H29" s="377"/>
      <c r="I29" s="600" t="s">
        <v>31</v>
      </c>
      <c r="J29" s="189" t="s">
        <v>45</v>
      </c>
      <c r="K29" s="377"/>
    </row>
    <row r="30" spans="2:11" ht="21.6" customHeight="1">
      <c r="B30" s="377"/>
      <c r="C30" s="565" t="s">
        <v>3</v>
      </c>
      <c r="D30" s="100" t="s">
        <v>46</v>
      </c>
      <c r="E30" s="377"/>
      <c r="F30" s="573"/>
      <c r="G30" s="254" t="s">
        <v>47</v>
      </c>
      <c r="H30" s="377"/>
      <c r="I30" s="601"/>
      <c r="J30" s="189" t="s">
        <v>48</v>
      </c>
      <c r="K30" s="377"/>
    </row>
    <row r="31" spans="2:11" ht="20.100000000000001" customHeight="1">
      <c r="B31" s="377"/>
      <c r="C31" s="566" t="s">
        <v>26</v>
      </c>
      <c r="D31" s="100" t="s">
        <v>49</v>
      </c>
      <c r="E31" s="377"/>
      <c r="F31" s="573"/>
      <c r="G31" s="235" t="s">
        <v>50</v>
      </c>
      <c r="H31" s="377"/>
      <c r="I31" s="601"/>
      <c r="J31" s="189" t="s">
        <v>51</v>
      </c>
      <c r="K31" s="377"/>
    </row>
    <row r="32" spans="2:11" ht="20.100000000000001" customHeight="1">
      <c r="B32" s="377"/>
      <c r="C32" s="566" t="s">
        <v>52</v>
      </c>
      <c r="D32" s="100" t="s">
        <v>53</v>
      </c>
      <c r="E32" s="377"/>
      <c r="F32" s="573"/>
      <c r="G32" s="91"/>
      <c r="H32" s="377"/>
      <c r="I32" s="601"/>
      <c r="J32" s="189" t="s">
        <v>54</v>
      </c>
      <c r="K32" s="377"/>
    </row>
    <row r="33" spans="2:11" ht="20.100000000000001" customHeight="1" thickBot="1">
      <c r="B33" s="386"/>
      <c r="C33" s="561" t="s">
        <v>55</v>
      </c>
      <c r="D33" s="134" t="s">
        <v>56</v>
      </c>
      <c r="E33" s="386"/>
      <c r="F33" s="577"/>
      <c r="G33" s="130"/>
      <c r="H33" s="386"/>
      <c r="I33" s="602"/>
      <c r="J33" s="330" t="s">
        <v>57</v>
      </c>
      <c r="K33" s="386"/>
    </row>
    <row r="34" spans="2:11" ht="20.100000000000001" customHeight="1" thickTop="1">
      <c r="B34" s="382">
        <v>17</v>
      </c>
      <c r="C34" s="567" t="s">
        <v>58</v>
      </c>
      <c r="D34" s="256" t="s">
        <v>59</v>
      </c>
      <c r="E34" s="382">
        <v>17</v>
      </c>
      <c r="F34" s="572"/>
      <c r="G34" s="260"/>
      <c r="H34" s="382">
        <v>17</v>
      </c>
      <c r="I34" s="603" t="s">
        <v>31</v>
      </c>
      <c r="J34" s="261" t="s">
        <v>60</v>
      </c>
      <c r="K34" s="382">
        <v>17</v>
      </c>
    </row>
    <row r="35" spans="2:11" ht="20.100000000000001" customHeight="1">
      <c r="B35" s="382"/>
      <c r="C35" s="568"/>
      <c r="D35" s="100" t="s">
        <v>61</v>
      </c>
      <c r="E35" s="382"/>
      <c r="F35" s="573"/>
      <c r="G35" s="91"/>
      <c r="H35" s="382"/>
      <c r="I35" s="579"/>
      <c r="J35" s="291"/>
      <c r="K35" s="382"/>
    </row>
    <row r="36" spans="2:11" ht="20.100000000000001" customHeight="1">
      <c r="B36" s="382"/>
      <c r="C36" s="566" t="s">
        <v>31</v>
      </c>
      <c r="D36" s="100" t="s">
        <v>62</v>
      </c>
      <c r="E36" s="382"/>
      <c r="F36" s="579"/>
      <c r="G36" s="91"/>
      <c r="H36" s="382"/>
      <c r="J36" s="91"/>
      <c r="K36" s="382"/>
    </row>
    <row r="37" spans="2:11" ht="20.100000000000001" customHeight="1">
      <c r="B37" s="382"/>
      <c r="C37" s="566" t="s">
        <v>63</v>
      </c>
      <c r="D37" s="100" t="s">
        <v>64</v>
      </c>
      <c r="E37" s="382"/>
      <c r="F37" s="573"/>
      <c r="G37" s="91"/>
      <c r="H37" s="382"/>
      <c r="J37" s="83"/>
      <c r="K37" s="382"/>
    </row>
    <row r="38" spans="2:11" ht="20.100000000000001" customHeight="1">
      <c r="B38" s="382"/>
      <c r="C38" s="566" t="s">
        <v>3</v>
      </c>
      <c r="D38" s="100" t="s">
        <v>65</v>
      </c>
      <c r="E38" s="382"/>
      <c r="F38" s="573"/>
      <c r="G38" s="91"/>
      <c r="H38" s="382"/>
      <c r="J38" s="83"/>
      <c r="K38" s="382"/>
    </row>
    <row r="39" spans="2:11" ht="20.100000000000001" customHeight="1" thickBot="1">
      <c r="B39" s="382"/>
      <c r="C39" s="561"/>
      <c r="D39" s="262" t="s">
        <v>66</v>
      </c>
      <c r="E39" s="382"/>
      <c r="F39" s="577"/>
      <c r="G39" s="130"/>
      <c r="H39" s="382"/>
      <c r="I39" s="551"/>
      <c r="J39" s="127"/>
      <c r="K39" s="382"/>
    </row>
    <row r="40" spans="2:11" ht="20.100000000000001" customHeight="1" thickTop="1">
      <c r="B40" s="383">
        <v>18</v>
      </c>
      <c r="C40" s="569"/>
      <c r="D40" s="265"/>
      <c r="E40" s="383">
        <v>18</v>
      </c>
      <c r="F40" s="580" t="s">
        <v>12</v>
      </c>
      <c r="G40" s="267" t="s">
        <v>67</v>
      </c>
      <c r="H40" s="383">
        <v>18</v>
      </c>
      <c r="I40" s="604"/>
      <c r="J40" s="399" t="s">
        <v>68</v>
      </c>
      <c r="K40" s="400">
        <v>18</v>
      </c>
    </row>
    <row r="41" spans="2:11" ht="20.100000000000001" customHeight="1">
      <c r="B41" s="378"/>
      <c r="C41" s="570"/>
      <c r="D41" s="87"/>
      <c r="E41" s="378"/>
      <c r="F41" s="581"/>
      <c r="G41" s="101"/>
      <c r="H41" s="378"/>
      <c r="I41" s="582" t="s">
        <v>31</v>
      </c>
      <c r="J41" s="362" t="s">
        <v>69</v>
      </c>
      <c r="K41" s="378"/>
    </row>
    <row r="42" spans="2:11" ht="20.100000000000001" customHeight="1">
      <c r="B42" s="378"/>
      <c r="C42" s="570"/>
      <c r="D42" s="87"/>
      <c r="E42" s="378"/>
      <c r="F42" s="582" t="s">
        <v>3</v>
      </c>
      <c r="G42" s="101" t="s">
        <v>70</v>
      </c>
      <c r="H42" s="378"/>
      <c r="I42" s="605"/>
      <c r="J42" s="175" t="s">
        <v>71</v>
      </c>
      <c r="K42" s="378"/>
    </row>
    <row r="43" spans="2:11" ht="20.100000000000001" customHeight="1" thickBot="1">
      <c r="B43" s="384"/>
      <c r="C43" s="571"/>
      <c r="D43" s="129"/>
      <c r="E43" s="384"/>
      <c r="F43" s="583" t="s">
        <v>26</v>
      </c>
      <c r="G43" s="270" t="s">
        <v>72</v>
      </c>
      <c r="H43" s="384"/>
      <c r="I43" s="606"/>
      <c r="J43" s="272"/>
      <c r="K43" s="384"/>
    </row>
    <row r="44" spans="2:11" ht="20.100000000000001" customHeight="1" thickTop="1">
      <c r="B44" s="383">
        <v>19</v>
      </c>
      <c r="C44" s="572"/>
      <c r="D44" s="128"/>
      <c r="E44" s="383">
        <v>19</v>
      </c>
      <c r="F44" s="580" t="s">
        <v>31</v>
      </c>
      <c r="G44" s="331" t="s">
        <v>73</v>
      </c>
      <c r="H44" s="383">
        <v>19</v>
      </c>
      <c r="I44" s="607"/>
      <c r="J44" s="221"/>
      <c r="K44" s="383">
        <v>19</v>
      </c>
    </row>
    <row r="45" spans="2:11" ht="20.100000000000001" customHeight="1">
      <c r="B45" s="378"/>
      <c r="D45" s="83"/>
      <c r="E45" s="378"/>
      <c r="F45" s="584"/>
      <c r="G45" s="190" t="s">
        <v>74</v>
      </c>
      <c r="H45" s="378"/>
      <c r="I45" s="584"/>
      <c r="J45" s="103"/>
      <c r="K45" s="378"/>
    </row>
    <row r="46" spans="2:11" ht="20.100000000000001" customHeight="1">
      <c r="B46" s="378"/>
      <c r="D46" s="83"/>
      <c r="E46" s="378"/>
      <c r="F46" s="582" t="s">
        <v>75</v>
      </c>
      <c r="G46" s="167" t="s">
        <v>76</v>
      </c>
      <c r="H46" s="378"/>
      <c r="I46" s="608"/>
      <c r="J46" s="167"/>
      <c r="K46" s="378"/>
    </row>
    <row r="47" spans="2:11" ht="20.100000000000001" customHeight="1">
      <c r="B47" s="378"/>
      <c r="D47" s="83"/>
      <c r="E47" s="378"/>
      <c r="F47" s="585"/>
      <c r="G47" s="191" t="s">
        <v>77</v>
      </c>
      <c r="H47" s="378"/>
      <c r="I47" s="584"/>
      <c r="J47" s="103"/>
      <c r="K47" s="378"/>
    </row>
    <row r="48" spans="2:11" ht="20.100000000000001" customHeight="1" thickBot="1">
      <c r="B48" s="384"/>
      <c r="C48" s="551"/>
      <c r="D48" s="127"/>
      <c r="E48" s="384"/>
      <c r="F48" s="586"/>
      <c r="G48" s="273" t="s">
        <v>74</v>
      </c>
      <c r="H48" s="384"/>
      <c r="I48" s="606"/>
      <c r="J48" s="275"/>
      <c r="K48" s="384"/>
    </row>
    <row r="49" spans="2:11" ht="20.100000000000001" customHeight="1" thickTop="1">
      <c r="B49" s="383">
        <v>20</v>
      </c>
      <c r="C49" s="559"/>
      <c r="D49" s="128"/>
      <c r="E49" s="383">
        <v>20</v>
      </c>
      <c r="F49" s="587" t="s">
        <v>58</v>
      </c>
      <c r="G49" s="277" t="s">
        <v>78</v>
      </c>
      <c r="H49" s="383">
        <v>20</v>
      </c>
      <c r="I49" s="609"/>
      <c r="J49" s="277"/>
      <c r="K49" s="383">
        <v>20</v>
      </c>
    </row>
    <row r="50" spans="2:11" ht="20.100000000000001" customHeight="1">
      <c r="B50" s="378"/>
      <c r="D50" s="83"/>
      <c r="E50" s="378"/>
      <c r="F50" s="585"/>
      <c r="G50" s="191" t="s">
        <v>79</v>
      </c>
      <c r="H50" s="378"/>
      <c r="I50" s="610"/>
      <c r="J50" s="170"/>
      <c r="K50" s="378"/>
    </row>
    <row r="51" spans="2:11" ht="20.100000000000001" customHeight="1">
      <c r="B51" s="378"/>
      <c r="D51" s="83"/>
      <c r="E51" s="378"/>
      <c r="F51" s="582" t="s">
        <v>63</v>
      </c>
      <c r="G51" s="172" t="s">
        <v>80</v>
      </c>
      <c r="H51" s="378"/>
      <c r="I51" s="608"/>
      <c r="J51" s="167"/>
      <c r="K51" s="378"/>
    </row>
    <row r="52" spans="2:11" ht="20.100000000000001" customHeight="1">
      <c r="B52" s="378"/>
      <c r="D52" s="83"/>
      <c r="E52" s="378"/>
      <c r="F52" s="588"/>
      <c r="G52" s="192" t="s">
        <v>81</v>
      </c>
      <c r="H52" s="378"/>
      <c r="I52" s="582" t="s">
        <v>3</v>
      </c>
      <c r="J52" s="172" t="s">
        <v>82</v>
      </c>
      <c r="K52" s="378"/>
    </row>
    <row r="53" spans="2:11" ht="20.100000000000001" customHeight="1">
      <c r="B53" s="378"/>
      <c r="D53" s="83"/>
      <c r="E53" s="378"/>
      <c r="F53" s="582" t="s">
        <v>26</v>
      </c>
      <c r="G53" s="191" t="s">
        <v>83</v>
      </c>
      <c r="H53" s="378"/>
      <c r="I53" s="581"/>
      <c r="J53" s="172"/>
      <c r="K53" s="378"/>
    </row>
    <row r="54" spans="2:11" ht="20.100000000000001" customHeight="1" thickBot="1">
      <c r="B54" s="384"/>
      <c r="C54" s="551"/>
      <c r="D54" s="127"/>
      <c r="E54" s="384"/>
      <c r="F54" s="583"/>
      <c r="G54" s="282" t="s">
        <v>84</v>
      </c>
      <c r="H54" s="384"/>
      <c r="I54" s="611"/>
      <c r="J54" s="279" t="s">
        <v>85</v>
      </c>
      <c r="K54" s="384"/>
    </row>
    <row r="55" spans="2:11" ht="20.100000000000001" customHeight="1" thickTop="1">
      <c r="B55" s="383">
        <v>21</v>
      </c>
      <c r="C55" s="559"/>
      <c r="D55" s="128"/>
      <c r="E55" s="383">
        <v>21</v>
      </c>
      <c r="F55" s="589"/>
      <c r="G55" s="283" t="s">
        <v>86</v>
      </c>
      <c r="H55" s="383">
        <v>21</v>
      </c>
      <c r="I55" s="559"/>
      <c r="J55" s="281"/>
      <c r="K55" s="383">
        <v>21</v>
      </c>
    </row>
    <row r="56" spans="2:11" ht="20.100000000000001" customHeight="1">
      <c r="B56" s="378"/>
      <c r="D56" s="83"/>
      <c r="E56" s="378"/>
      <c r="F56" s="590"/>
      <c r="G56" s="193" t="s">
        <v>87</v>
      </c>
      <c r="H56" s="378"/>
      <c r="J56" s="83"/>
      <c r="K56" s="378"/>
    </row>
    <row r="57" spans="2:11" ht="20.100000000000001" customHeight="1" thickBot="1">
      <c r="B57" s="384"/>
      <c r="C57" s="551"/>
      <c r="D57" s="127"/>
      <c r="E57" s="384"/>
      <c r="F57" s="591"/>
      <c r="G57" s="152"/>
      <c r="H57" s="384"/>
      <c r="I57" s="551"/>
      <c r="J57" s="127"/>
      <c r="K57" s="384"/>
    </row>
    <row r="58" spans="2:11" ht="20.100000000000001" customHeight="1" thickTop="1">
      <c r="B58" s="383">
        <v>22</v>
      </c>
      <c r="C58" s="559"/>
      <c r="D58" s="128"/>
      <c r="E58" s="383">
        <v>22</v>
      </c>
      <c r="F58" s="569"/>
      <c r="G58" s="333"/>
      <c r="H58" s="383">
        <v>22</v>
      </c>
      <c r="I58" s="572"/>
      <c r="J58" s="265"/>
      <c r="K58" s="383">
        <v>22</v>
      </c>
    </row>
    <row r="59" spans="2:11" ht="20.100000000000001" customHeight="1">
      <c r="B59" s="378"/>
      <c r="D59" s="83"/>
      <c r="E59" s="378"/>
      <c r="F59" s="570"/>
      <c r="G59" s="194"/>
      <c r="H59" s="378"/>
      <c r="J59" s="83"/>
      <c r="K59" s="378"/>
    </row>
    <row r="60" spans="2:11" ht="20.100000000000001" customHeight="1" thickBot="1">
      <c r="B60" s="384"/>
      <c r="D60" s="83"/>
      <c r="E60" s="384"/>
      <c r="F60" s="570"/>
      <c r="G60" s="194"/>
      <c r="H60" s="384"/>
      <c r="J60" s="83"/>
      <c r="K60" s="384"/>
    </row>
    <row r="61" spans="2:11" ht="20.100000000000001" customHeight="1" thickTop="1">
      <c r="D61" s="83"/>
      <c r="F61" s="570"/>
      <c r="G61" s="194"/>
      <c r="J61" s="83"/>
    </row>
    <row r="62" spans="2:11" ht="20.100000000000001" customHeight="1">
      <c r="D62" s="83"/>
      <c r="G62" s="83"/>
      <c r="J62" s="83"/>
    </row>
    <row r="63" spans="2:11" ht="20.100000000000001" customHeight="1">
      <c r="D63" s="83"/>
      <c r="G63" s="83"/>
      <c r="J63" s="83"/>
    </row>
    <row r="64" spans="2:11" ht="20.100000000000001" customHeight="1">
      <c r="D64" s="83"/>
      <c r="G64" s="83"/>
      <c r="J64" s="83"/>
    </row>
    <row r="65" spans="4:10" ht="20.100000000000001" customHeight="1">
      <c r="D65" s="83"/>
      <c r="G65" s="83"/>
      <c r="J65" s="83"/>
    </row>
    <row r="66" spans="4:10" ht="20.100000000000001" customHeight="1"/>
  </sheetData>
  <mergeCells count="5">
    <mergeCell ref="C1:D1"/>
    <mergeCell ref="F1:G1"/>
    <mergeCell ref="I1:J1"/>
    <mergeCell ref="C2:D2"/>
    <mergeCell ref="I2:J2"/>
  </mergeCells>
  <phoneticPr fontId="1"/>
  <printOptions horizontalCentered="1"/>
  <pageMargins left="0.31496062992125984" right="0.31496062992125984" top="1.1417322834645669" bottom="0.55118110236220474" header="0.51181102362204722" footer="0.11811023622047245"/>
  <pageSetup paperSize="8" scale="85" orientation="portrait" cellComments="asDisplayed" r:id="rId1"/>
  <headerFooter>
    <oddHeader>&amp;L&amp;"BIZ UDP明朝 Medium,太字"&amp;22 令和８年　&amp;C&amp;"BIZ UDP明朝 Medium,太字"&amp;22 &amp;U7月１8日（土） （宵宮祭）　＜駒寄＞ 進行表</oddHeader>
  </headerFooter>
  <ignoredErrors>
    <ignoredError sqref="C6:J60 F3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995E-EE61-426C-9A34-4D7CBD4191EB}">
  <sheetPr>
    <pageSetUpPr fitToPage="1"/>
  </sheetPr>
  <dimension ref="B1:O75"/>
  <sheetViews>
    <sheetView tabSelected="1" zoomScale="80" zoomScaleNormal="80" zoomScaleSheetLayoutView="70" workbookViewId="0">
      <selection activeCell="I2" sqref="I1:I1048576"/>
    </sheetView>
  </sheetViews>
  <sheetFormatPr defaultColWidth="9" defaultRowHeight="19.8"/>
  <cols>
    <col min="1" max="1" width="4.8984375" style="11" customWidth="1"/>
    <col min="2" max="2" width="3.59765625" style="11" customWidth="1"/>
    <col min="3" max="3" width="3.8984375" style="626" customWidth="1"/>
    <col min="4" max="4" width="40" style="11" customWidth="1"/>
    <col min="5" max="5" width="3.59765625" style="11" customWidth="1"/>
    <col min="6" max="6" width="3.69921875" style="654" customWidth="1"/>
    <col min="7" max="7" width="36.59765625" style="11" customWidth="1"/>
    <col min="8" max="8" width="3.59765625" style="11" customWidth="1"/>
    <col min="9" max="9" width="4.19921875" style="626" customWidth="1"/>
    <col min="10" max="10" width="33.5" style="11" customWidth="1"/>
    <col min="11" max="11" width="3.59765625" style="11" customWidth="1"/>
    <col min="12" max="16384" width="9" style="11"/>
  </cols>
  <sheetData>
    <row r="1" spans="2:14" ht="33.6" customHeight="1" thickBot="1">
      <c r="B1" s="404"/>
      <c r="C1" s="431" t="s">
        <v>0</v>
      </c>
      <c r="D1" s="432"/>
      <c r="E1" s="412"/>
      <c r="F1" s="431" t="s">
        <v>1</v>
      </c>
      <c r="G1" s="432"/>
      <c r="H1" s="495"/>
      <c r="I1" s="515" t="s">
        <v>2</v>
      </c>
      <c r="J1" s="516"/>
      <c r="K1" s="412"/>
    </row>
    <row r="2" spans="2:14" ht="20.100000000000001" customHeight="1">
      <c r="B2" s="405">
        <v>8</v>
      </c>
      <c r="C2" s="612"/>
      <c r="D2" s="433"/>
      <c r="E2" s="413">
        <v>8</v>
      </c>
      <c r="F2" s="627"/>
      <c r="G2" s="433"/>
      <c r="H2" s="496">
        <v>8</v>
      </c>
      <c r="I2" s="655"/>
      <c r="J2" s="517"/>
      <c r="K2" s="413">
        <v>8</v>
      </c>
    </row>
    <row r="3" spans="2:14" ht="20.100000000000001" customHeight="1">
      <c r="B3" s="379"/>
      <c r="C3" s="612"/>
      <c r="D3" s="433"/>
      <c r="E3" s="414"/>
      <c r="F3" s="628"/>
      <c r="G3" s="457"/>
      <c r="H3" s="497"/>
      <c r="I3" s="655"/>
      <c r="J3" s="517"/>
      <c r="K3" s="414"/>
    </row>
    <row r="4" spans="2:14" ht="20.100000000000001" customHeight="1">
      <c r="B4" s="379"/>
      <c r="C4" s="613"/>
      <c r="D4" s="433"/>
      <c r="E4" s="414"/>
      <c r="F4" s="629" t="s">
        <v>3</v>
      </c>
      <c r="G4" s="458" t="s">
        <v>88</v>
      </c>
      <c r="H4" s="497"/>
      <c r="I4" s="655"/>
      <c r="J4" s="517"/>
      <c r="K4" s="414"/>
    </row>
    <row r="5" spans="2:14" ht="20.100000000000001" customHeight="1">
      <c r="B5" s="379"/>
      <c r="C5" s="612"/>
      <c r="D5" s="433"/>
      <c r="E5" s="414"/>
      <c r="F5" s="627"/>
      <c r="G5" s="459" t="s">
        <v>6</v>
      </c>
      <c r="H5" s="497"/>
      <c r="I5" s="655"/>
      <c r="J5" s="517"/>
      <c r="K5" s="414"/>
    </row>
    <row r="6" spans="2:14" ht="20.100000000000001" customHeight="1">
      <c r="B6" s="379"/>
      <c r="C6" s="614"/>
      <c r="D6" s="434" t="s">
        <v>89</v>
      </c>
      <c r="E6" s="414"/>
      <c r="F6" s="630" t="s">
        <v>26</v>
      </c>
      <c r="G6" s="460" t="s">
        <v>90</v>
      </c>
      <c r="H6" s="497"/>
      <c r="I6" s="655"/>
      <c r="J6" s="517"/>
      <c r="K6" s="414"/>
    </row>
    <row r="7" spans="2:14" ht="20.100000000000001" customHeight="1" thickBot="1">
      <c r="B7" s="404"/>
      <c r="C7" s="615"/>
      <c r="D7" s="435" t="s">
        <v>91</v>
      </c>
      <c r="E7" s="412"/>
      <c r="F7" s="631"/>
      <c r="G7" s="461"/>
      <c r="H7" s="495"/>
      <c r="I7" s="656"/>
      <c r="J7" s="518"/>
      <c r="K7" s="412"/>
    </row>
    <row r="8" spans="2:14" ht="20.100000000000001" customHeight="1">
      <c r="B8" s="410">
        <v>9</v>
      </c>
      <c r="C8" s="616" t="s">
        <v>12</v>
      </c>
      <c r="D8" s="436" t="s">
        <v>92</v>
      </c>
      <c r="E8" s="415">
        <v>9</v>
      </c>
      <c r="F8" s="632" t="s">
        <v>12</v>
      </c>
      <c r="G8" s="462" t="s">
        <v>93</v>
      </c>
      <c r="H8" s="498">
        <v>9</v>
      </c>
      <c r="I8" s="657"/>
      <c r="J8" s="519"/>
      <c r="K8" s="415">
        <v>9</v>
      </c>
      <c r="N8" s="80"/>
    </row>
    <row r="9" spans="2:14" ht="20.100000000000001" customHeight="1">
      <c r="B9" s="392"/>
      <c r="C9" s="617" t="s">
        <v>3</v>
      </c>
      <c r="D9" s="437" t="s">
        <v>94</v>
      </c>
      <c r="E9" s="416"/>
      <c r="F9" s="627"/>
      <c r="G9" s="463" t="s">
        <v>95</v>
      </c>
      <c r="H9" s="499"/>
      <c r="I9" s="655"/>
      <c r="J9" s="517"/>
      <c r="K9" s="416"/>
    </row>
    <row r="10" spans="2:14" ht="20.100000000000001" customHeight="1">
      <c r="B10" s="392"/>
      <c r="C10" s="618" t="s">
        <v>96</v>
      </c>
      <c r="D10" s="438" t="s">
        <v>97</v>
      </c>
      <c r="E10" s="416"/>
      <c r="F10" s="633"/>
      <c r="G10" s="464"/>
      <c r="H10" s="499"/>
      <c r="I10" s="655"/>
      <c r="J10" s="517"/>
      <c r="K10" s="416"/>
    </row>
    <row r="11" spans="2:14" ht="20.100000000000001" customHeight="1">
      <c r="B11" s="392"/>
      <c r="C11" s="619" t="s">
        <v>98</v>
      </c>
      <c r="D11" s="439" t="s">
        <v>99</v>
      </c>
      <c r="E11" s="416"/>
      <c r="F11" s="634"/>
      <c r="G11" s="465" t="s">
        <v>100</v>
      </c>
      <c r="H11" s="499"/>
      <c r="I11" s="658"/>
      <c r="J11" s="520" t="s">
        <v>101</v>
      </c>
      <c r="K11" s="416"/>
    </row>
    <row r="12" spans="2:14" ht="20.100000000000001" customHeight="1" thickBot="1">
      <c r="B12" s="403"/>
      <c r="C12" s="615" t="s">
        <v>102</v>
      </c>
      <c r="D12" s="440" t="s">
        <v>103</v>
      </c>
      <c r="E12" s="417"/>
      <c r="F12" s="635" t="s">
        <v>26</v>
      </c>
      <c r="G12" s="466" t="s">
        <v>104</v>
      </c>
      <c r="H12" s="500"/>
      <c r="I12" s="659" t="s">
        <v>26</v>
      </c>
      <c r="J12" s="521" t="s">
        <v>104</v>
      </c>
      <c r="K12" s="417"/>
    </row>
    <row r="13" spans="2:14" ht="20.100000000000001" customHeight="1">
      <c r="B13" s="406">
        <v>10</v>
      </c>
      <c r="C13" s="616" t="s">
        <v>105</v>
      </c>
      <c r="D13" s="436" t="s">
        <v>106</v>
      </c>
      <c r="E13" s="418">
        <v>10</v>
      </c>
      <c r="F13" s="636" t="s">
        <v>12</v>
      </c>
      <c r="G13" s="467" t="s">
        <v>107</v>
      </c>
      <c r="H13" s="501">
        <v>10</v>
      </c>
      <c r="I13" s="660" t="s">
        <v>12</v>
      </c>
      <c r="J13" s="522" t="s">
        <v>108</v>
      </c>
      <c r="K13" s="418">
        <v>10</v>
      </c>
    </row>
    <row r="14" spans="2:14" ht="20.100000000000001" customHeight="1">
      <c r="B14" s="407"/>
      <c r="C14" s="619" t="s">
        <v>109</v>
      </c>
      <c r="D14" s="439" t="s">
        <v>110</v>
      </c>
      <c r="E14" s="419"/>
      <c r="F14" s="634"/>
      <c r="G14" s="468" t="s">
        <v>111</v>
      </c>
      <c r="H14" s="502"/>
      <c r="I14" s="661"/>
      <c r="J14" s="523" t="s">
        <v>112</v>
      </c>
      <c r="K14" s="419"/>
    </row>
    <row r="15" spans="2:14" ht="20.100000000000001" customHeight="1">
      <c r="B15" s="407"/>
      <c r="C15" s="618" t="s">
        <v>113</v>
      </c>
      <c r="D15" s="438" t="s">
        <v>114</v>
      </c>
      <c r="E15" s="419"/>
      <c r="F15" s="634"/>
      <c r="G15" s="468" t="s">
        <v>115</v>
      </c>
      <c r="H15" s="502"/>
      <c r="I15" s="661"/>
      <c r="J15" s="524" t="s">
        <v>116</v>
      </c>
      <c r="K15" s="419"/>
    </row>
    <row r="16" spans="2:14" ht="20.100000000000001" customHeight="1">
      <c r="B16" s="407"/>
      <c r="C16" s="618"/>
      <c r="D16" s="438"/>
      <c r="E16" s="419"/>
      <c r="F16" s="634"/>
      <c r="G16" s="469" t="s">
        <v>117</v>
      </c>
      <c r="H16" s="502"/>
      <c r="I16" s="661"/>
      <c r="J16" s="525" t="s">
        <v>118</v>
      </c>
      <c r="K16" s="419"/>
    </row>
    <row r="17" spans="2:11" ht="20.100000000000001" customHeight="1">
      <c r="B17" s="407"/>
      <c r="C17" s="618"/>
      <c r="D17" s="438"/>
      <c r="E17" s="419"/>
      <c r="F17" s="634"/>
      <c r="G17" s="470" t="s">
        <v>119</v>
      </c>
      <c r="H17" s="502"/>
      <c r="I17" s="661"/>
      <c r="J17" s="524" t="s">
        <v>120</v>
      </c>
      <c r="K17" s="419"/>
    </row>
    <row r="18" spans="2:11" ht="20.100000000000001" customHeight="1">
      <c r="B18" s="407"/>
      <c r="C18" s="618"/>
      <c r="D18" s="438"/>
      <c r="E18" s="419"/>
      <c r="F18" s="634"/>
      <c r="G18" s="470" t="s">
        <v>121</v>
      </c>
      <c r="H18" s="502"/>
      <c r="I18" s="661"/>
      <c r="J18" s="524" t="s">
        <v>122</v>
      </c>
      <c r="K18" s="419"/>
    </row>
    <row r="19" spans="2:11" ht="20.100000000000001" customHeight="1" thickBot="1">
      <c r="B19" s="408"/>
      <c r="C19" s="620" t="s">
        <v>123</v>
      </c>
      <c r="D19" s="435" t="s">
        <v>124</v>
      </c>
      <c r="E19" s="420"/>
      <c r="F19" s="637"/>
      <c r="G19" s="471" t="s">
        <v>125</v>
      </c>
      <c r="H19" s="503"/>
      <c r="I19" s="662"/>
      <c r="J19" s="526"/>
      <c r="K19" s="420"/>
    </row>
    <row r="20" spans="2:11" ht="20.100000000000001" customHeight="1" thickTop="1">
      <c r="B20" s="409">
        <v>11</v>
      </c>
      <c r="C20" s="621"/>
      <c r="D20" s="441"/>
      <c r="E20" s="421">
        <v>11</v>
      </c>
      <c r="F20" s="636"/>
      <c r="G20" s="472"/>
      <c r="H20" s="504">
        <v>11</v>
      </c>
      <c r="I20" s="657"/>
      <c r="J20" s="527"/>
      <c r="K20" s="421">
        <v>11</v>
      </c>
    </row>
    <row r="21" spans="2:11" ht="20.100000000000001" customHeight="1">
      <c r="B21" s="387"/>
      <c r="C21" s="618" t="s">
        <v>126</v>
      </c>
      <c r="D21" s="438" t="s">
        <v>127</v>
      </c>
      <c r="E21" s="422"/>
      <c r="F21" s="638"/>
      <c r="G21" s="473" t="s">
        <v>128</v>
      </c>
      <c r="H21" s="505"/>
      <c r="I21" s="663"/>
      <c r="J21" s="528"/>
      <c r="K21" s="422"/>
    </row>
    <row r="22" spans="2:11" ht="20.100000000000001" customHeight="1" thickBot="1">
      <c r="B22" s="387"/>
      <c r="C22" s="619" t="s">
        <v>129</v>
      </c>
      <c r="D22" s="439" t="s">
        <v>130</v>
      </c>
      <c r="E22" s="422"/>
      <c r="F22" s="634" t="s">
        <v>3</v>
      </c>
      <c r="G22" s="473"/>
      <c r="H22" s="505"/>
      <c r="I22" s="664"/>
      <c r="J22" s="528"/>
      <c r="K22" s="422"/>
    </row>
    <row r="23" spans="2:11" ht="20.100000000000001" customHeight="1">
      <c r="B23" s="387"/>
      <c r="C23" s="618" t="s">
        <v>131</v>
      </c>
      <c r="D23" s="442" t="s">
        <v>132</v>
      </c>
      <c r="E23" s="422"/>
      <c r="F23" s="633"/>
      <c r="G23" s="474"/>
      <c r="H23" s="505"/>
      <c r="I23" s="664"/>
      <c r="J23" s="528"/>
      <c r="K23" s="422"/>
    </row>
    <row r="24" spans="2:11" ht="20.100000000000001" customHeight="1">
      <c r="B24" s="387"/>
      <c r="C24" s="619" t="s">
        <v>52</v>
      </c>
      <c r="D24" s="443" t="s">
        <v>133</v>
      </c>
      <c r="E24" s="422"/>
      <c r="F24" s="633"/>
      <c r="G24" s="474"/>
      <c r="H24" s="505"/>
      <c r="I24" s="664"/>
      <c r="J24" s="528"/>
      <c r="K24" s="422"/>
    </row>
    <row r="25" spans="2:11" ht="20.100000000000001" customHeight="1" thickBot="1">
      <c r="B25" s="387"/>
      <c r="C25" s="615" t="s">
        <v>55</v>
      </c>
      <c r="D25" s="444" t="s">
        <v>134</v>
      </c>
      <c r="E25" s="422"/>
      <c r="F25" s="639"/>
      <c r="G25" s="475"/>
      <c r="H25" s="505"/>
      <c r="I25" s="656"/>
      <c r="J25" s="518"/>
      <c r="K25" s="422"/>
    </row>
    <row r="26" spans="2:11" ht="20.100000000000001" customHeight="1" thickTop="1">
      <c r="B26" s="385">
        <v>12</v>
      </c>
      <c r="C26" s="616"/>
      <c r="D26" s="445" t="s">
        <v>135</v>
      </c>
      <c r="E26" s="395">
        <v>12</v>
      </c>
      <c r="F26" s="640"/>
      <c r="G26" s="456"/>
      <c r="H26" s="506">
        <v>12</v>
      </c>
      <c r="I26" s="665"/>
      <c r="J26" s="529"/>
      <c r="K26" s="395">
        <v>12</v>
      </c>
    </row>
    <row r="27" spans="2:11" ht="20.100000000000001" customHeight="1">
      <c r="B27" s="377"/>
      <c r="C27" s="619" t="s">
        <v>136</v>
      </c>
      <c r="D27" s="446" t="s">
        <v>137</v>
      </c>
      <c r="E27" s="423"/>
      <c r="F27" s="633"/>
      <c r="G27" s="474"/>
      <c r="H27" s="507"/>
      <c r="I27" s="655"/>
      <c r="J27" s="517"/>
      <c r="K27" s="423"/>
    </row>
    <row r="28" spans="2:11" ht="20.100000000000001" customHeight="1" thickBot="1">
      <c r="B28" s="377"/>
      <c r="C28" s="619" t="s">
        <v>138</v>
      </c>
      <c r="D28" s="447" t="s">
        <v>139</v>
      </c>
      <c r="E28" s="423"/>
      <c r="F28" s="641" t="s">
        <v>140</v>
      </c>
      <c r="G28" s="476" t="s">
        <v>141</v>
      </c>
      <c r="H28" s="507"/>
      <c r="I28" s="655"/>
      <c r="J28" s="517"/>
      <c r="K28" s="423"/>
    </row>
    <row r="29" spans="2:11" ht="20.100000000000001" customHeight="1">
      <c r="B29" s="377"/>
      <c r="C29" s="619" t="s">
        <v>142</v>
      </c>
      <c r="D29" s="439" t="s">
        <v>143</v>
      </c>
      <c r="E29" s="423"/>
      <c r="F29" s="633"/>
      <c r="G29" s="477"/>
      <c r="H29" s="507"/>
      <c r="I29" s="655"/>
      <c r="J29" s="517"/>
      <c r="K29" s="423"/>
    </row>
    <row r="30" spans="2:11" ht="20.100000000000001" customHeight="1" thickBot="1">
      <c r="B30" s="386"/>
      <c r="C30" s="615" t="s">
        <v>144</v>
      </c>
      <c r="D30" s="435" t="s">
        <v>145</v>
      </c>
      <c r="E30" s="424"/>
      <c r="F30" s="642" t="s">
        <v>140</v>
      </c>
      <c r="G30" s="478" t="s">
        <v>146</v>
      </c>
      <c r="H30" s="508"/>
      <c r="I30" s="656"/>
      <c r="J30" s="518"/>
      <c r="K30" s="424"/>
    </row>
    <row r="31" spans="2:11" ht="20.100000000000001" customHeight="1" thickTop="1">
      <c r="B31" s="385">
        <v>13</v>
      </c>
      <c r="C31" s="622"/>
      <c r="D31" s="448" t="s">
        <v>147</v>
      </c>
      <c r="E31" s="395">
        <v>13</v>
      </c>
      <c r="F31" s="643"/>
      <c r="G31" s="479"/>
      <c r="H31" s="506">
        <v>13</v>
      </c>
      <c r="I31" s="665"/>
      <c r="J31" s="529"/>
      <c r="K31" s="395">
        <v>13</v>
      </c>
    </row>
    <row r="32" spans="2:11" ht="20.100000000000001" customHeight="1">
      <c r="B32" s="377"/>
      <c r="C32" s="619"/>
      <c r="D32" s="449"/>
      <c r="E32" s="423"/>
      <c r="F32" s="633"/>
      <c r="G32" s="474"/>
      <c r="H32" s="507"/>
      <c r="I32" s="664"/>
      <c r="J32" s="528"/>
      <c r="K32" s="423"/>
    </row>
    <row r="33" spans="2:15" ht="20.100000000000001" customHeight="1">
      <c r="B33" s="377"/>
      <c r="C33" s="619" t="s">
        <v>142</v>
      </c>
      <c r="D33" s="449" t="s">
        <v>148</v>
      </c>
      <c r="E33" s="423"/>
      <c r="F33" s="633"/>
      <c r="G33" s="474"/>
      <c r="H33" s="507"/>
      <c r="I33" s="655"/>
      <c r="J33" s="517"/>
      <c r="K33" s="423"/>
    </row>
    <row r="34" spans="2:15" ht="20.100000000000001" customHeight="1">
      <c r="B34" s="377"/>
      <c r="C34" s="619" t="s">
        <v>149</v>
      </c>
      <c r="D34" s="439" t="s">
        <v>150</v>
      </c>
      <c r="E34" s="423"/>
      <c r="F34" s="634"/>
      <c r="G34" s="465" t="s">
        <v>151</v>
      </c>
      <c r="H34" s="507"/>
      <c r="I34" s="666"/>
      <c r="J34" s="520" t="s">
        <v>101</v>
      </c>
      <c r="K34" s="423"/>
    </row>
    <row r="35" spans="2:15" ht="20.100000000000001" customHeight="1" thickBot="1">
      <c r="B35" s="386"/>
      <c r="C35" s="623"/>
      <c r="D35" s="450"/>
      <c r="E35" s="424"/>
      <c r="F35" s="635" t="s">
        <v>26</v>
      </c>
      <c r="G35" s="480" t="s">
        <v>104</v>
      </c>
      <c r="H35" s="508"/>
      <c r="I35" s="667" t="s">
        <v>26</v>
      </c>
      <c r="J35" s="521" t="s">
        <v>104</v>
      </c>
      <c r="K35" s="424"/>
    </row>
    <row r="36" spans="2:15" ht="20.100000000000001" customHeight="1" thickTop="1">
      <c r="B36" s="385">
        <v>14</v>
      </c>
      <c r="C36" s="616" t="s">
        <v>58</v>
      </c>
      <c r="D36" s="436" t="s">
        <v>152</v>
      </c>
      <c r="E36" s="395">
        <v>14</v>
      </c>
      <c r="F36" s="636" t="s">
        <v>12</v>
      </c>
      <c r="G36" s="481" t="s">
        <v>153</v>
      </c>
      <c r="H36" s="506">
        <v>14</v>
      </c>
      <c r="I36" s="660" t="s">
        <v>12</v>
      </c>
      <c r="J36" s="530" t="s">
        <v>154</v>
      </c>
      <c r="K36" s="395">
        <v>14</v>
      </c>
    </row>
    <row r="37" spans="2:15" ht="20.100000000000001" customHeight="1">
      <c r="B37" s="377"/>
      <c r="C37" s="614"/>
      <c r="D37" s="439"/>
      <c r="E37" s="423"/>
      <c r="F37" s="644"/>
      <c r="G37" s="473" t="s">
        <v>155</v>
      </c>
      <c r="H37" s="507"/>
      <c r="I37" s="661"/>
      <c r="J37" s="531" t="s">
        <v>155</v>
      </c>
      <c r="K37" s="423"/>
    </row>
    <row r="38" spans="2:15" ht="20.100000000000001" customHeight="1">
      <c r="B38" s="377"/>
      <c r="C38" s="619" t="s">
        <v>156</v>
      </c>
      <c r="D38" s="439" t="s">
        <v>157</v>
      </c>
      <c r="E38" s="423"/>
      <c r="F38" s="644"/>
      <c r="G38" s="473" t="s">
        <v>158</v>
      </c>
      <c r="H38" s="507"/>
      <c r="I38" s="661"/>
      <c r="J38" s="532" t="s">
        <v>159</v>
      </c>
      <c r="K38" s="423"/>
    </row>
    <row r="39" spans="2:15" ht="20.100000000000001" customHeight="1">
      <c r="B39" s="377"/>
      <c r="C39" s="614"/>
      <c r="D39" s="439"/>
      <c r="E39" s="423"/>
      <c r="F39" s="634"/>
      <c r="G39" s="482" t="s">
        <v>160</v>
      </c>
      <c r="H39" s="507"/>
      <c r="I39" s="661"/>
      <c r="J39" s="533" t="s">
        <v>161</v>
      </c>
      <c r="K39" s="423"/>
    </row>
    <row r="40" spans="2:15" ht="20.100000000000001" customHeight="1">
      <c r="B40" s="377"/>
      <c r="C40" s="619" t="s">
        <v>131</v>
      </c>
      <c r="D40" s="439" t="s">
        <v>162</v>
      </c>
      <c r="E40" s="423"/>
      <c r="F40" s="634"/>
      <c r="G40" s="482" t="s">
        <v>163</v>
      </c>
      <c r="H40" s="507"/>
      <c r="I40" s="668"/>
      <c r="J40" s="531" t="s">
        <v>164</v>
      </c>
      <c r="K40" s="423"/>
      <c r="O40" s="117"/>
    </row>
    <row r="41" spans="2:15" ht="20.100000000000001" customHeight="1" thickBot="1">
      <c r="B41" s="401"/>
      <c r="C41" s="615" t="s">
        <v>165</v>
      </c>
      <c r="D41" s="435" t="s">
        <v>166</v>
      </c>
      <c r="E41" s="425"/>
      <c r="F41" s="637"/>
      <c r="G41" s="483" t="s">
        <v>167</v>
      </c>
      <c r="H41" s="509"/>
      <c r="I41" s="669"/>
      <c r="J41" s="534" t="s">
        <v>168</v>
      </c>
      <c r="K41" s="425"/>
    </row>
    <row r="42" spans="2:15" ht="20.100000000000001" customHeight="1" thickTop="1">
      <c r="B42" s="402">
        <v>15</v>
      </c>
      <c r="C42" s="622"/>
      <c r="D42" s="441"/>
      <c r="E42" s="426">
        <v>15</v>
      </c>
      <c r="F42" s="640"/>
      <c r="G42" s="484"/>
      <c r="H42" s="510">
        <v>15</v>
      </c>
      <c r="I42" s="670"/>
      <c r="J42" s="535"/>
      <c r="K42" s="426">
        <v>15</v>
      </c>
    </row>
    <row r="43" spans="2:15" ht="20.100000000000001" customHeight="1">
      <c r="B43" s="377"/>
      <c r="C43" s="619" t="s">
        <v>109</v>
      </c>
      <c r="D43" s="439" t="s">
        <v>169</v>
      </c>
      <c r="E43" s="423"/>
      <c r="F43" s="633"/>
      <c r="G43" s="485"/>
      <c r="H43" s="507"/>
      <c r="I43" s="671"/>
      <c r="J43" s="536"/>
      <c r="K43" s="423"/>
    </row>
    <row r="44" spans="2:15" ht="20.100000000000001" customHeight="1" thickBot="1">
      <c r="B44" s="377"/>
      <c r="C44" s="619" t="s">
        <v>170</v>
      </c>
      <c r="D44" s="439" t="s">
        <v>171</v>
      </c>
      <c r="E44" s="423"/>
      <c r="F44" s="633"/>
      <c r="G44" s="486"/>
      <c r="H44" s="507"/>
      <c r="I44" s="672"/>
      <c r="J44" s="537"/>
      <c r="K44" s="423"/>
      <c r="L44" s="81"/>
    </row>
    <row r="45" spans="2:15" ht="20.100000000000001" customHeight="1" thickTop="1">
      <c r="B45" s="377"/>
      <c r="C45" s="619" t="s">
        <v>98</v>
      </c>
      <c r="D45" s="439" t="s">
        <v>172</v>
      </c>
      <c r="E45" s="423"/>
      <c r="F45" s="633"/>
      <c r="G45" s="485"/>
      <c r="H45" s="507"/>
      <c r="I45" s="673"/>
      <c r="J45" s="517"/>
      <c r="K45" s="423"/>
      <c r="L45" s="81"/>
    </row>
    <row r="46" spans="2:15" ht="20.100000000000001" customHeight="1" thickBot="1">
      <c r="B46" s="377"/>
      <c r="C46" s="614"/>
      <c r="D46" s="451"/>
      <c r="E46" s="423"/>
      <c r="F46" s="633"/>
      <c r="G46" s="486"/>
      <c r="H46" s="507"/>
      <c r="I46" s="655"/>
      <c r="J46" s="517"/>
      <c r="K46" s="423"/>
      <c r="L46" s="81"/>
    </row>
    <row r="47" spans="2:15" ht="20.100000000000001" customHeight="1" thickTop="1">
      <c r="B47" s="385">
        <v>16</v>
      </c>
      <c r="C47" s="621" t="s">
        <v>136</v>
      </c>
      <c r="D47" s="452" t="s">
        <v>173</v>
      </c>
      <c r="E47" s="395">
        <v>16</v>
      </c>
      <c r="F47" s="632"/>
      <c r="G47" s="484"/>
      <c r="H47" s="506">
        <v>16</v>
      </c>
      <c r="I47" s="674"/>
      <c r="J47" s="538" t="s">
        <v>68</v>
      </c>
      <c r="K47" s="395">
        <v>16</v>
      </c>
      <c r="L47" s="81"/>
    </row>
    <row r="48" spans="2:15" ht="20.100000000000001" customHeight="1">
      <c r="B48" s="377"/>
      <c r="C48" s="619" t="s">
        <v>174</v>
      </c>
      <c r="D48" s="453" t="s">
        <v>175</v>
      </c>
      <c r="E48" s="423"/>
      <c r="F48" s="627"/>
      <c r="G48" s="486"/>
      <c r="H48" s="507"/>
      <c r="I48" s="675"/>
      <c r="J48" s="539" t="s">
        <v>71</v>
      </c>
      <c r="K48" s="423"/>
      <c r="L48" s="81"/>
    </row>
    <row r="49" spans="2:11" ht="20.100000000000001" customHeight="1">
      <c r="B49" s="377"/>
      <c r="C49" s="619" t="s">
        <v>43</v>
      </c>
      <c r="D49" s="453" t="s">
        <v>176</v>
      </c>
      <c r="E49" s="423"/>
      <c r="F49" s="629"/>
      <c r="G49" s="485"/>
      <c r="H49" s="507"/>
      <c r="I49" s="676"/>
      <c r="J49" s="540"/>
      <c r="K49" s="423"/>
    </row>
    <row r="50" spans="2:11" ht="20.100000000000001" customHeight="1">
      <c r="B50" s="377"/>
      <c r="C50" s="619" t="s">
        <v>63</v>
      </c>
      <c r="D50" s="453" t="s">
        <v>177</v>
      </c>
      <c r="E50" s="423"/>
      <c r="F50" s="633"/>
      <c r="G50" s="486"/>
      <c r="H50" s="507"/>
      <c r="I50" s="677"/>
      <c r="J50" s="541"/>
      <c r="K50" s="423"/>
    </row>
    <row r="51" spans="2:11" ht="20.100000000000001" customHeight="1" thickBot="1">
      <c r="B51" s="377"/>
      <c r="C51" s="619" t="s">
        <v>75</v>
      </c>
      <c r="D51" s="454" t="s">
        <v>178</v>
      </c>
      <c r="E51" s="423"/>
      <c r="F51" s="628"/>
      <c r="G51" s="457"/>
      <c r="H51" s="507"/>
      <c r="I51" s="677"/>
      <c r="J51" s="541"/>
      <c r="K51" s="423"/>
    </row>
    <row r="52" spans="2:11" ht="20.100000000000001" customHeight="1">
      <c r="B52" s="377"/>
      <c r="C52" s="614"/>
      <c r="D52" s="439" t="s">
        <v>179</v>
      </c>
      <c r="E52" s="423"/>
      <c r="F52" s="645" t="s">
        <v>140</v>
      </c>
      <c r="G52" s="486" t="s">
        <v>180</v>
      </c>
      <c r="H52" s="507"/>
      <c r="I52" s="675"/>
      <c r="J52" s="542"/>
      <c r="K52" s="423"/>
    </row>
    <row r="53" spans="2:11" ht="20.100000000000001" customHeight="1" thickBot="1">
      <c r="B53" s="386"/>
      <c r="C53" s="624"/>
      <c r="D53" s="455"/>
      <c r="E53" s="424"/>
      <c r="F53" s="639" t="s">
        <v>52</v>
      </c>
      <c r="G53" s="487" t="s">
        <v>181</v>
      </c>
      <c r="H53" s="508"/>
      <c r="I53" s="678"/>
      <c r="J53" s="543"/>
      <c r="K53" s="424"/>
    </row>
    <row r="54" spans="2:11" ht="20.100000000000001" customHeight="1" thickTop="1">
      <c r="B54" s="411">
        <v>17</v>
      </c>
      <c r="C54" s="625"/>
      <c r="D54" s="456"/>
      <c r="E54" s="427">
        <v>17</v>
      </c>
      <c r="F54" s="646" t="s">
        <v>12</v>
      </c>
      <c r="G54" s="488" t="s">
        <v>182</v>
      </c>
      <c r="H54" s="511">
        <v>17</v>
      </c>
      <c r="I54" s="679"/>
      <c r="J54" s="544"/>
      <c r="K54" s="427">
        <v>17</v>
      </c>
    </row>
    <row r="55" spans="2:11" ht="20.100000000000001" customHeight="1">
      <c r="B55" s="382"/>
      <c r="C55" s="612"/>
      <c r="D55" s="433"/>
      <c r="E55" s="428"/>
      <c r="F55" s="647"/>
      <c r="G55" s="489" t="s">
        <v>183</v>
      </c>
      <c r="H55" s="512"/>
      <c r="I55" s="675"/>
      <c r="J55" s="542"/>
      <c r="K55" s="428"/>
    </row>
    <row r="56" spans="2:11" ht="20.100000000000001" customHeight="1">
      <c r="B56" s="382"/>
      <c r="C56" s="612"/>
      <c r="D56" s="433"/>
      <c r="E56" s="428"/>
      <c r="F56" s="648" t="s">
        <v>184</v>
      </c>
      <c r="G56" s="548"/>
      <c r="H56" s="512"/>
      <c r="I56" s="675"/>
      <c r="J56" s="542"/>
      <c r="K56" s="428"/>
    </row>
    <row r="57" spans="2:11" ht="20.100000000000001" customHeight="1" thickBot="1">
      <c r="B57" s="382"/>
      <c r="C57" s="624"/>
      <c r="D57" s="455"/>
      <c r="E57" s="428"/>
      <c r="F57" s="649"/>
      <c r="G57" s="490"/>
      <c r="H57" s="512"/>
      <c r="I57" s="678"/>
      <c r="J57" s="545"/>
      <c r="K57" s="428"/>
    </row>
    <row r="58" spans="2:11" ht="20.100000000000001" customHeight="1" thickTop="1">
      <c r="B58" s="383">
        <v>18</v>
      </c>
      <c r="C58" s="625"/>
      <c r="D58" s="456"/>
      <c r="E58" s="429">
        <v>18</v>
      </c>
      <c r="F58" s="632" t="s">
        <v>12</v>
      </c>
      <c r="G58" s="491" t="s">
        <v>185</v>
      </c>
      <c r="H58" s="513">
        <v>18</v>
      </c>
      <c r="I58" s="680" t="s">
        <v>140</v>
      </c>
      <c r="J58" s="546" t="s">
        <v>186</v>
      </c>
      <c r="K58" s="429">
        <v>18</v>
      </c>
    </row>
    <row r="59" spans="2:11" ht="20.100000000000001" customHeight="1">
      <c r="B59" s="378"/>
      <c r="C59" s="612"/>
      <c r="D59" s="433"/>
      <c r="E59" s="430"/>
      <c r="F59" s="650" t="s">
        <v>187</v>
      </c>
      <c r="G59" s="492" t="s">
        <v>188</v>
      </c>
      <c r="H59" s="514"/>
      <c r="I59" s="681"/>
      <c r="J59" s="517"/>
      <c r="K59" s="430"/>
    </row>
    <row r="60" spans="2:11" ht="20.100000000000001" customHeight="1" thickBot="1">
      <c r="B60" s="378"/>
      <c r="C60" s="624"/>
      <c r="D60" s="455"/>
      <c r="E60" s="430"/>
      <c r="F60" s="651"/>
      <c r="G60" s="493" t="s">
        <v>87</v>
      </c>
      <c r="H60" s="514"/>
      <c r="I60" s="656"/>
      <c r="J60" s="547"/>
      <c r="K60" s="430"/>
    </row>
    <row r="61" spans="2:11" ht="20.100000000000001" customHeight="1" thickTop="1">
      <c r="B61" s="383">
        <v>19</v>
      </c>
      <c r="C61" s="625"/>
      <c r="D61" s="456"/>
      <c r="E61" s="429">
        <v>19</v>
      </c>
      <c r="F61" s="652"/>
      <c r="G61" s="494"/>
      <c r="H61" s="513">
        <v>19</v>
      </c>
      <c r="I61" s="665"/>
      <c r="J61" s="529"/>
      <c r="K61" s="429">
        <v>19</v>
      </c>
    </row>
    <row r="62" spans="2:11" ht="20.100000000000001" customHeight="1" thickBot="1">
      <c r="B62" s="378"/>
      <c r="C62" s="624"/>
      <c r="D62" s="455"/>
      <c r="E62" s="430"/>
      <c r="F62" s="653"/>
      <c r="G62" s="493"/>
      <c r="H62" s="514"/>
      <c r="I62" s="656"/>
      <c r="J62" s="518"/>
      <c r="K62" s="430"/>
    </row>
    <row r="63" spans="2:11" ht="20.100000000000001" customHeight="1" thickTop="1">
      <c r="B63" s="383">
        <v>20</v>
      </c>
      <c r="C63" s="625"/>
      <c r="D63" s="456"/>
      <c r="E63" s="429">
        <v>20</v>
      </c>
      <c r="F63" s="640"/>
      <c r="G63" s="456"/>
      <c r="H63" s="513">
        <v>20</v>
      </c>
      <c r="I63" s="665"/>
      <c r="J63" s="529"/>
      <c r="K63" s="429">
        <v>20</v>
      </c>
    </row>
    <row r="64" spans="2:11" ht="20.100000000000001" customHeight="1">
      <c r="B64" s="378"/>
      <c r="C64" s="612"/>
      <c r="D64" s="433"/>
      <c r="E64" s="430"/>
      <c r="F64" s="627"/>
      <c r="G64" s="433"/>
      <c r="H64" s="514"/>
      <c r="I64" s="655"/>
      <c r="J64" s="517"/>
      <c r="K64" s="430"/>
    </row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</sheetData>
  <mergeCells count="3">
    <mergeCell ref="C1:D1"/>
    <mergeCell ref="F1:G1"/>
    <mergeCell ref="I1:J1"/>
  </mergeCells>
  <phoneticPr fontId="1"/>
  <printOptions horizontalCentered="1"/>
  <pageMargins left="0.31496062992125984" right="0.31496062992125984" top="1.1417322834645669" bottom="0.55118110236220474" header="0.51181102362204722" footer="0.11811023622047245"/>
  <pageSetup paperSize="8" scale="79" orientation="portrait" cellComments="asDisplayed" r:id="rId1"/>
  <headerFooter>
    <oddHeader>&amp;C&amp;"BIZ UDP明朝 Medium,太字"&amp;22 &amp;U7月19日（日） （本祭）　＜駒寄＞ 進行表&amp;RRev.H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CB0C-7EEF-4029-8104-DD8B5FB771C8}">
  <sheetPr>
    <pageSetUpPr fitToPage="1"/>
  </sheetPr>
  <dimension ref="C1:J66"/>
  <sheetViews>
    <sheetView view="pageBreakPreview" zoomScale="70" zoomScaleNormal="80" zoomScaleSheetLayoutView="70" workbookViewId="0">
      <selection activeCell="D64" sqref="D64"/>
    </sheetView>
  </sheetViews>
  <sheetFormatPr defaultColWidth="9" defaultRowHeight="12.6"/>
  <cols>
    <col min="1" max="1" width="8.59765625" style="49" customWidth="1"/>
    <col min="2" max="2" width="4.59765625" style="49" customWidth="1"/>
    <col min="3" max="3" width="4" style="63" customWidth="1"/>
    <col min="4" max="4" width="33.59765625" style="49" customWidth="1"/>
    <col min="5" max="5" width="3.8984375" style="49" customWidth="1"/>
    <col min="6" max="6" width="4" style="63" customWidth="1"/>
    <col min="7" max="7" width="34.69921875" style="49" customWidth="1"/>
    <col min="8" max="8" width="3.69921875" style="49" customWidth="1"/>
    <col min="9" max="9" width="4" style="63" customWidth="1"/>
    <col min="10" max="10" width="31.19921875" style="49" customWidth="1"/>
    <col min="11" max="11" width="4.59765625" style="49" customWidth="1"/>
    <col min="12" max="16384" width="9" style="49"/>
  </cols>
  <sheetData>
    <row r="1" spans="3:10" ht="36" customHeight="1">
      <c r="C1" s="369" t="s">
        <v>0</v>
      </c>
      <c r="D1" s="369"/>
      <c r="E1" s="162"/>
      <c r="F1" s="369" t="s">
        <v>1</v>
      </c>
      <c r="G1" s="369"/>
      <c r="H1" s="163"/>
      <c r="I1" s="369" t="s">
        <v>2</v>
      </c>
      <c r="J1" s="369"/>
    </row>
    <row r="2" spans="3:10" s="48" customFormat="1" ht="20.100000000000001" customHeight="1">
      <c r="C2" s="370"/>
      <c r="D2" s="370"/>
      <c r="E2" s="83"/>
      <c r="F2" s="102"/>
      <c r="H2" s="83"/>
      <c r="I2" s="370"/>
      <c r="J2" s="370"/>
    </row>
    <row r="3" spans="3:10" ht="20.100000000000001" customHeight="1">
      <c r="C3" s="84"/>
      <c r="D3" s="83"/>
      <c r="E3" s="83"/>
      <c r="F3" s="86" t="s">
        <v>3</v>
      </c>
      <c r="G3" s="84" t="s">
        <v>4</v>
      </c>
      <c r="H3" s="89"/>
      <c r="I3" s="86"/>
      <c r="J3" s="83"/>
    </row>
    <row r="4" spans="3:10" ht="20.100000000000001" customHeight="1">
      <c r="C4" s="84"/>
      <c r="D4" s="83"/>
      <c r="E4" s="83"/>
      <c r="F4" s="84"/>
      <c r="G4" s="84" t="s">
        <v>5</v>
      </c>
      <c r="H4" s="83"/>
      <c r="I4" s="90"/>
      <c r="J4" s="83"/>
    </row>
    <row r="5" spans="3:10" ht="20.100000000000001" customHeight="1">
      <c r="C5" s="84"/>
      <c r="D5" s="83"/>
      <c r="E5" s="83"/>
      <c r="F5" s="299"/>
      <c r="G5" s="87" t="s">
        <v>6</v>
      </c>
      <c r="H5" s="83"/>
      <c r="I5" s="84"/>
      <c r="J5" s="83"/>
    </row>
    <row r="6" spans="3:10" ht="20.100000000000001" customHeight="1">
      <c r="C6" s="148" t="s">
        <v>7</v>
      </c>
      <c r="D6" s="83" t="s">
        <v>8</v>
      </c>
      <c r="E6" s="83"/>
      <c r="F6" s="299"/>
      <c r="G6" s="87" t="s">
        <v>9</v>
      </c>
      <c r="H6" s="83"/>
      <c r="I6" s="84"/>
      <c r="J6" s="83"/>
    </row>
    <row r="7" spans="3:10" ht="20.100000000000001" customHeight="1">
      <c r="C7" s="263"/>
      <c r="D7" s="310" t="s">
        <v>10</v>
      </c>
      <c r="E7" s="127"/>
      <c r="F7" s="263"/>
      <c r="G7" s="300" t="s">
        <v>11</v>
      </c>
      <c r="H7" s="127"/>
      <c r="I7" s="263"/>
      <c r="J7" s="127"/>
    </row>
    <row r="8" spans="3:10" ht="20.100000000000001" customHeight="1">
      <c r="C8" s="311" t="s">
        <v>12</v>
      </c>
      <c r="D8" s="312" t="s">
        <v>13</v>
      </c>
      <c r="E8" s="244"/>
      <c r="F8" s="250" t="s">
        <v>12</v>
      </c>
      <c r="G8" s="313" t="s">
        <v>14</v>
      </c>
      <c r="H8" s="314"/>
      <c r="I8" s="250" t="s">
        <v>12</v>
      </c>
      <c r="J8" s="315" t="s">
        <v>15</v>
      </c>
    </row>
    <row r="9" spans="3:10" ht="20.100000000000001" customHeight="1">
      <c r="C9" s="88"/>
      <c r="D9" s="171"/>
      <c r="E9" s="83"/>
      <c r="F9" s="84"/>
      <c r="G9" s="87" t="s">
        <v>16</v>
      </c>
      <c r="H9" s="89"/>
      <c r="I9" s="84"/>
      <c r="J9" s="89" t="s">
        <v>17</v>
      </c>
    </row>
    <row r="10" spans="3:10" ht="20.100000000000001" customHeight="1">
      <c r="C10" s="88"/>
      <c r="D10" s="171"/>
      <c r="E10" s="83"/>
      <c r="F10" s="84"/>
      <c r="G10" s="83"/>
      <c r="H10" s="83"/>
      <c r="I10" s="84"/>
      <c r="J10" s="83" t="s">
        <v>18</v>
      </c>
    </row>
    <row r="11" spans="3:10" ht="20.100000000000001" customHeight="1">
      <c r="C11" s="88"/>
      <c r="D11" s="171"/>
      <c r="E11" s="83"/>
      <c r="G11" s="83"/>
      <c r="H11" s="83"/>
      <c r="I11" s="90"/>
      <c r="J11" s="83"/>
    </row>
    <row r="12" spans="3:10" ht="20.100000000000001" customHeight="1">
      <c r="C12" s="88"/>
      <c r="D12" s="171"/>
      <c r="E12" s="83"/>
      <c r="F12" s="84"/>
      <c r="G12" s="83"/>
      <c r="H12" s="83"/>
      <c r="I12" s="84"/>
      <c r="J12" s="83"/>
    </row>
    <row r="13" spans="3:10" ht="20.100000000000001" customHeight="1">
      <c r="C13" s="316"/>
      <c r="D13" s="317"/>
      <c r="E13" s="127"/>
      <c r="G13" s="127"/>
      <c r="H13" s="127"/>
      <c r="I13" s="263"/>
      <c r="J13" s="127"/>
    </row>
    <row r="14" spans="3:10" ht="20.100000000000001" customHeight="1">
      <c r="C14" s="318"/>
      <c r="D14" s="319"/>
      <c r="E14" s="320"/>
      <c r="F14" s="321"/>
      <c r="G14" s="320"/>
      <c r="H14" s="320"/>
      <c r="I14" s="322"/>
      <c r="J14" s="320"/>
    </row>
    <row r="15" spans="3:10" ht="20.100000000000001" customHeight="1">
      <c r="C15" s="284"/>
      <c r="D15" s="285"/>
      <c r="E15" s="128"/>
      <c r="F15" s="363"/>
      <c r="G15" s="128" t="s">
        <v>19</v>
      </c>
      <c r="H15" s="128"/>
      <c r="I15" s="276"/>
      <c r="J15" s="128"/>
    </row>
    <row r="16" spans="3:10" ht="20.100000000000001" customHeight="1">
      <c r="C16" s="323"/>
      <c r="D16" s="317"/>
      <c r="E16" s="127"/>
      <c r="F16" s="324"/>
      <c r="G16" s="127"/>
      <c r="H16" s="127"/>
      <c r="I16" s="263"/>
      <c r="J16" s="127"/>
    </row>
    <row r="17" spans="3:10" ht="20.100000000000001" customHeight="1">
      <c r="C17" s="318"/>
      <c r="D17" s="325" t="s">
        <v>20</v>
      </c>
      <c r="E17" s="320"/>
      <c r="F17" s="321"/>
      <c r="G17" s="325" t="s">
        <v>21</v>
      </c>
      <c r="H17" s="320"/>
      <c r="I17" s="322"/>
      <c r="J17" s="320"/>
    </row>
    <row r="18" spans="3:10" ht="20.100000000000001" customHeight="1">
      <c r="C18" s="286" t="s">
        <v>12</v>
      </c>
      <c r="D18" s="287" t="s">
        <v>22</v>
      </c>
      <c r="E18" s="128"/>
      <c r="F18" s="250"/>
      <c r="G18" s="260"/>
      <c r="H18" s="128"/>
      <c r="I18" s="276"/>
      <c r="J18" s="128"/>
    </row>
    <row r="19" spans="3:10" ht="20.100000000000001" customHeight="1">
      <c r="C19" s="316"/>
      <c r="D19" s="326" t="s">
        <v>23</v>
      </c>
      <c r="E19" s="327"/>
      <c r="F19" s="259"/>
      <c r="G19" s="130"/>
      <c r="H19" s="130"/>
      <c r="I19" s="259"/>
      <c r="J19" s="130"/>
    </row>
    <row r="20" spans="3:10" ht="20.100000000000001" customHeight="1">
      <c r="C20" s="276"/>
      <c r="D20" s="288"/>
      <c r="E20" s="128"/>
      <c r="F20" s="250"/>
      <c r="G20" s="260"/>
      <c r="H20" s="289"/>
      <c r="I20" s="290"/>
      <c r="J20" s="289"/>
    </row>
    <row r="21" spans="3:10" ht="20.100000000000001" customHeight="1">
      <c r="C21" s="96"/>
      <c r="D21" s="99" t="s">
        <v>24</v>
      </c>
      <c r="E21" s="83"/>
      <c r="F21" s="93"/>
      <c r="G21" s="249" t="s">
        <v>25</v>
      </c>
      <c r="H21" s="87"/>
      <c r="I21" s="86"/>
      <c r="J21" s="87"/>
    </row>
    <row r="22" spans="3:10" ht="20.100000000000001" customHeight="1">
      <c r="C22" s="131" t="s">
        <v>26</v>
      </c>
      <c r="D22" s="132" t="s">
        <v>27</v>
      </c>
      <c r="E22" s="127"/>
      <c r="F22" s="131" t="s">
        <v>26</v>
      </c>
      <c r="G22" s="133" t="s">
        <v>28</v>
      </c>
      <c r="H22" s="129"/>
      <c r="I22" s="129"/>
      <c r="J22" s="129"/>
    </row>
    <row r="23" spans="3:10" ht="20.100000000000001" customHeight="1" thickBot="1">
      <c r="C23" s="243" t="s">
        <v>12</v>
      </c>
      <c r="D23" s="142" t="s">
        <v>29</v>
      </c>
      <c r="E23" s="244"/>
      <c r="F23" s="245" t="s">
        <v>12</v>
      </c>
      <c r="G23" s="246" t="s">
        <v>30</v>
      </c>
      <c r="H23" s="247"/>
      <c r="I23" s="250"/>
      <c r="J23" s="247"/>
    </row>
    <row r="24" spans="3:10" ht="20.100000000000001" customHeight="1" thickTop="1">
      <c r="C24" s="96"/>
      <c r="D24" s="94"/>
      <c r="E24" s="83"/>
      <c r="F24" s="93" t="s">
        <v>31</v>
      </c>
      <c r="G24" s="126" t="s">
        <v>32</v>
      </c>
      <c r="H24" s="97"/>
      <c r="I24" s="251"/>
      <c r="J24" s="252" t="s">
        <v>33</v>
      </c>
    </row>
    <row r="25" spans="3:10" ht="20.100000000000001" customHeight="1" thickBot="1">
      <c r="C25" s="96"/>
      <c r="D25" s="94"/>
      <c r="E25" s="95"/>
      <c r="F25" s="93" t="s">
        <v>3</v>
      </c>
      <c r="G25" s="126" t="s">
        <v>34</v>
      </c>
      <c r="H25" s="87"/>
      <c r="I25" s="93" t="s">
        <v>3</v>
      </c>
      <c r="J25" s="126" t="s">
        <v>35</v>
      </c>
    </row>
    <row r="26" spans="3:10" ht="20.100000000000001" customHeight="1">
      <c r="C26" s="159"/>
      <c r="D26" s="160"/>
      <c r="E26" s="132"/>
      <c r="F26" s="131" t="s">
        <v>26</v>
      </c>
      <c r="G26" s="356" t="s">
        <v>36</v>
      </c>
      <c r="H26" s="129"/>
      <c r="I26" s="134"/>
      <c r="J26" s="134" t="s">
        <v>37</v>
      </c>
    </row>
    <row r="27" spans="3:10" ht="20.100000000000001" customHeight="1">
      <c r="C27" s="248" t="s">
        <v>12</v>
      </c>
      <c r="D27" s="142" t="s">
        <v>38</v>
      </c>
      <c r="E27" s="128"/>
      <c r="F27" s="245" t="s">
        <v>12</v>
      </c>
      <c r="G27" s="328" t="s">
        <v>39</v>
      </c>
      <c r="H27" s="128"/>
      <c r="I27" s="255"/>
      <c r="J27" s="256" t="s">
        <v>40</v>
      </c>
    </row>
    <row r="28" spans="3:10" ht="20.100000000000001" customHeight="1" thickBot="1">
      <c r="C28" s="96"/>
      <c r="D28" s="94"/>
      <c r="E28" s="83"/>
      <c r="F28" s="301"/>
      <c r="G28" s="164" t="s">
        <v>41</v>
      </c>
      <c r="H28" s="83"/>
      <c r="I28" s="257"/>
      <c r="J28" s="208" t="s">
        <v>42</v>
      </c>
    </row>
    <row r="29" spans="3:10" ht="20.100000000000001" customHeight="1">
      <c r="C29" s="98" t="s">
        <v>43</v>
      </c>
      <c r="D29" s="99"/>
      <c r="E29" s="83"/>
      <c r="F29" s="93" t="s">
        <v>31</v>
      </c>
      <c r="G29" s="253" t="s">
        <v>44</v>
      </c>
      <c r="H29" s="83"/>
      <c r="I29" s="188" t="s">
        <v>31</v>
      </c>
      <c r="J29" s="189" t="s">
        <v>45</v>
      </c>
    </row>
    <row r="30" spans="3:10" ht="21.6" customHeight="1">
      <c r="C30" s="98" t="s">
        <v>3</v>
      </c>
      <c r="D30" s="100" t="s">
        <v>46</v>
      </c>
      <c r="E30" s="83"/>
      <c r="F30" s="86"/>
      <c r="G30" s="254" t="s">
        <v>47</v>
      </c>
      <c r="H30" s="91"/>
      <c r="I30" s="165"/>
      <c r="J30" s="189" t="s">
        <v>48</v>
      </c>
    </row>
    <row r="31" spans="3:10" ht="20.100000000000001" customHeight="1">
      <c r="C31" s="93" t="s">
        <v>26</v>
      </c>
      <c r="D31" s="100" t="s">
        <v>49</v>
      </c>
      <c r="E31" s="83"/>
      <c r="F31" s="86"/>
      <c r="G31" s="235" t="s">
        <v>50</v>
      </c>
      <c r="H31" s="91"/>
      <c r="I31" s="165"/>
      <c r="J31" s="189" t="s">
        <v>51</v>
      </c>
    </row>
    <row r="32" spans="3:10" ht="20.100000000000001" customHeight="1">
      <c r="C32" s="93" t="s">
        <v>52</v>
      </c>
      <c r="D32" s="100" t="s">
        <v>53</v>
      </c>
      <c r="E32" s="87"/>
      <c r="F32" s="86"/>
      <c r="G32" s="91"/>
      <c r="H32" s="91"/>
      <c r="I32" s="165"/>
      <c r="J32" s="189" t="s">
        <v>54</v>
      </c>
    </row>
    <row r="33" spans="3:10" ht="20.100000000000001" customHeight="1">
      <c r="C33" s="131" t="s">
        <v>55</v>
      </c>
      <c r="D33" s="134" t="s">
        <v>56</v>
      </c>
      <c r="E33" s="127"/>
      <c r="F33" s="259"/>
      <c r="G33" s="130"/>
      <c r="H33" s="130"/>
      <c r="I33" s="329"/>
      <c r="J33" s="330" t="s">
        <v>57</v>
      </c>
    </row>
    <row r="34" spans="3:10" ht="20.100000000000001" customHeight="1">
      <c r="C34" s="245" t="s">
        <v>58</v>
      </c>
      <c r="D34" s="256" t="s">
        <v>59</v>
      </c>
      <c r="E34" s="128"/>
      <c r="F34" s="250"/>
      <c r="G34" s="260"/>
      <c r="H34" s="260"/>
      <c r="I34" s="355" t="s">
        <v>31</v>
      </c>
      <c r="J34" s="261" t="s">
        <v>60</v>
      </c>
    </row>
    <row r="35" spans="3:10" ht="20.100000000000001" customHeight="1">
      <c r="C35" s="158"/>
      <c r="D35" s="100" t="s">
        <v>61</v>
      </c>
      <c r="E35" s="83"/>
      <c r="F35" s="86"/>
      <c r="G35" s="91"/>
      <c r="H35" s="91"/>
      <c r="I35" s="258"/>
      <c r="J35" s="291"/>
    </row>
    <row r="36" spans="3:10" ht="20.100000000000001" customHeight="1">
      <c r="C36" s="93" t="s">
        <v>31</v>
      </c>
      <c r="D36" s="100" t="s">
        <v>62</v>
      </c>
      <c r="E36" s="83"/>
      <c r="F36" s="258"/>
      <c r="G36" s="91"/>
      <c r="H36" s="91"/>
      <c r="I36" s="84"/>
      <c r="J36" s="91"/>
    </row>
    <row r="37" spans="3:10" ht="20.100000000000001" customHeight="1">
      <c r="C37" s="93" t="s">
        <v>63</v>
      </c>
      <c r="D37" s="100" t="s">
        <v>64</v>
      </c>
      <c r="E37" s="83"/>
      <c r="F37" s="86"/>
      <c r="G37" s="91"/>
      <c r="H37" s="91"/>
      <c r="I37" s="84"/>
      <c r="J37" s="83"/>
    </row>
    <row r="38" spans="3:10" ht="20.100000000000001" customHeight="1">
      <c r="C38" s="93" t="s">
        <v>3</v>
      </c>
      <c r="D38" s="100" t="s">
        <v>65</v>
      </c>
      <c r="E38" s="83"/>
      <c r="F38" s="86"/>
      <c r="G38" s="91"/>
      <c r="H38" s="91"/>
      <c r="I38" s="84"/>
      <c r="J38" s="83"/>
    </row>
    <row r="39" spans="3:10" ht="20.100000000000001" customHeight="1">
      <c r="C39" s="131"/>
      <c r="D39" s="262" t="s">
        <v>66</v>
      </c>
      <c r="E39" s="127"/>
      <c r="F39" s="259"/>
      <c r="G39" s="130"/>
      <c r="H39" s="130"/>
      <c r="I39" s="263"/>
      <c r="J39" s="127"/>
    </row>
    <row r="40" spans="3:10" ht="20.100000000000001" customHeight="1">
      <c r="C40" s="264"/>
      <c r="D40" s="265"/>
      <c r="E40" s="128"/>
      <c r="F40" s="266" t="s">
        <v>12</v>
      </c>
      <c r="G40" s="267" t="s">
        <v>67</v>
      </c>
      <c r="H40" s="128"/>
      <c r="I40" s="268"/>
      <c r="J40" s="219" t="s">
        <v>68</v>
      </c>
    </row>
    <row r="41" spans="3:10" ht="20.100000000000001" customHeight="1">
      <c r="C41" s="102"/>
      <c r="D41" s="87"/>
      <c r="E41" s="83"/>
      <c r="F41" s="161"/>
      <c r="G41" s="101"/>
      <c r="H41" s="83"/>
      <c r="I41" s="302" t="s">
        <v>31</v>
      </c>
      <c r="J41" s="362" t="s">
        <v>69</v>
      </c>
    </row>
    <row r="42" spans="3:10" ht="20.100000000000001" customHeight="1">
      <c r="C42" s="102"/>
      <c r="D42" s="87"/>
      <c r="F42" s="302" t="s">
        <v>3</v>
      </c>
      <c r="G42" s="101" t="s">
        <v>70</v>
      </c>
      <c r="H42" s="85"/>
      <c r="I42" s="104"/>
      <c r="J42" s="175" t="s">
        <v>71</v>
      </c>
    </row>
    <row r="43" spans="3:10" ht="20.100000000000001" customHeight="1">
      <c r="C43" s="269"/>
      <c r="D43" s="129"/>
      <c r="E43" s="83"/>
      <c r="F43" s="303" t="s">
        <v>26</v>
      </c>
      <c r="G43" s="270" t="s">
        <v>72</v>
      </c>
      <c r="H43" s="130"/>
      <c r="I43" s="271"/>
      <c r="J43" s="272"/>
    </row>
    <row r="44" spans="3:10" ht="20.100000000000001" customHeight="1">
      <c r="C44" s="250"/>
      <c r="D44" s="128"/>
      <c r="E44" s="83"/>
      <c r="F44" s="266" t="s">
        <v>31</v>
      </c>
      <c r="G44" s="331" t="s">
        <v>73</v>
      </c>
      <c r="H44" s="247"/>
      <c r="I44" s="331"/>
      <c r="J44" s="221"/>
    </row>
    <row r="45" spans="3:10" ht="20.100000000000001" customHeight="1">
      <c r="C45" s="84"/>
      <c r="D45" s="83"/>
      <c r="E45" s="83"/>
      <c r="F45" s="305"/>
      <c r="G45" s="190" t="s">
        <v>74</v>
      </c>
      <c r="H45" s="83"/>
      <c r="I45" s="166"/>
      <c r="J45" s="103"/>
    </row>
    <row r="46" spans="3:10" ht="20.100000000000001" customHeight="1">
      <c r="C46" s="84"/>
      <c r="D46" s="83"/>
      <c r="E46" s="83"/>
      <c r="F46" s="302" t="s">
        <v>75</v>
      </c>
      <c r="G46" s="167" t="s">
        <v>76</v>
      </c>
      <c r="H46" s="87"/>
      <c r="I46" s="167"/>
      <c r="J46" s="167"/>
    </row>
    <row r="47" spans="3:10" ht="20.100000000000001" customHeight="1">
      <c r="C47" s="84"/>
      <c r="D47" s="83"/>
      <c r="E47" s="83"/>
      <c r="F47" s="304"/>
      <c r="G47" s="191" t="s">
        <v>77</v>
      </c>
      <c r="H47" s="83"/>
      <c r="I47" s="166"/>
      <c r="J47" s="103"/>
    </row>
    <row r="48" spans="3:10" ht="20.100000000000001" customHeight="1">
      <c r="C48" s="263"/>
      <c r="D48" s="127"/>
      <c r="E48" s="127"/>
      <c r="F48" s="306"/>
      <c r="G48" s="273" t="s">
        <v>74</v>
      </c>
      <c r="H48" s="127"/>
      <c r="I48" s="274"/>
      <c r="J48" s="275"/>
    </row>
    <row r="49" spans="3:10" ht="20.100000000000001" customHeight="1">
      <c r="C49" s="276"/>
      <c r="D49" s="128"/>
      <c r="E49" s="128"/>
      <c r="F49" s="280" t="s">
        <v>58</v>
      </c>
      <c r="G49" s="277" t="s">
        <v>78</v>
      </c>
      <c r="H49" s="265"/>
      <c r="I49" s="277"/>
      <c r="J49" s="277"/>
    </row>
    <row r="50" spans="3:10" ht="20.100000000000001" customHeight="1">
      <c r="C50" s="84"/>
      <c r="D50" s="83"/>
      <c r="E50" s="83"/>
      <c r="F50" s="304"/>
      <c r="G50" s="191" t="s">
        <v>79</v>
      </c>
      <c r="H50" s="168"/>
      <c r="I50" s="169"/>
      <c r="J50" s="170"/>
    </row>
    <row r="51" spans="3:10" ht="20.100000000000001" customHeight="1">
      <c r="C51" s="84"/>
      <c r="D51" s="83"/>
      <c r="E51" s="83"/>
      <c r="F51" s="302" t="s">
        <v>63</v>
      </c>
      <c r="G51" s="172" t="s">
        <v>80</v>
      </c>
      <c r="H51" s="87"/>
      <c r="I51" s="167"/>
      <c r="J51" s="167"/>
    </row>
    <row r="52" spans="3:10" ht="20.100000000000001" customHeight="1">
      <c r="C52" s="84"/>
      <c r="D52" s="83"/>
      <c r="E52" s="83"/>
      <c r="F52" s="307"/>
      <c r="G52" s="192" t="s">
        <v>81</v>
      </c>
      <c r="H52" s="92"/>
      <c r="I52" s="302" t="s">
        <v>3</v>
      </c>
      <c r="J52" s="172" t="s">
        <v>82</v>
      </c>
    </row>
    <row r="53" spans="3:10" ht="20.100000000000001" customHeight="1">
      <c r="C53" s="84"/>
      <c r="D53" s="83"/>
      <c r="E53" s="83"/>
      <c r="F53" s="302" t="s">
        <v>26</v>
      </c>
      <c r="G53" s="191" t="s">
        <v>83</v>
      </c>
      <c r="H53" s="366"/>
      <c r="I53" s="161"/>
      <c r="J53" s="172"/>
    </row>
    <row r="54" spans="3:10" ht="20.100000000000001" customHeight="1">
      <c r="C54" s="263"/>
      <c r="D54" s="127"/>
      <c r="E54" s="127"/>
      <c r="F54" s="303"/>
      <c r="G54" s="282" t="s">
        <v>84</v>
      </c>
      <c r="H54" s="129"/>
      <c r="I54" s="278"/>
      <c r="J54" s="279" t="s">
        <v>85</v>
      </c>
    </row>
    <row r="55" spans="3:10" ht="20.100000000000001" customHeight="1">
      <c r="C55" s="276"/>
      <c r="D55" s="128"/>
      <c r="E55" s="260"/>
      <c r="F55" s="308"/>
      <c r="G55" s="283" t="s">
        <v>86</v>
      </c>
      <c r="H55" s="128"/>
      <c r="I55" s="276"/>
      <c r="J55" s="281"/>
    </row>
    <row r="56" spans="3:10" ht="20.100000000000001" customHeight="1">
      <c r="C56" s="84"/>
      <c r="D56" s="83"/>
      <c r="E56" s="91"/>
      <c r="F56" s="309"/>
      <c r="G56" s="193" t="s">
        <v>87</v>
      </c>
      <c r="H56" s="83"/>
      <c r="I56" s="84"/>
      <c r="J56" s="83"/>
    </row>
    <row r="57" spans="3:10" ht="20.100000000000001" customHeight="1">
      <c r="C57" s="263"/>
      <c r="D57" s="127"/>
      <c r="E57" s="130"/>
      <c r="F57" s="332"/>
      <c r="G57" s="152"/>
      <c r="H57" s="127"/>
      <c r="I57" s="263"/>
      <c r="J57" s="127"/>
    </row>
    <row r="58" spans="3:10" ht="20.100000000000001" customHeight="1">
      <c r="C58" s="276"/>
      <c r="D58" s="128"/>
      <c r="E58" s="128"/>
      <c r="F58" s="264"/>
      <c r="G58" s="333"/>
      <c r="H58" s="128"/>
      <c r="I58" s="250"/>
      <c r="J58" s="265"/>
    </row>
    <row r="59" spans="3:10" ht="20.100000000000001" customHeight="1">
      <c r="C59" s="84"/>
      <c r="D59" s="83"/>
      <c r="E59" s="83"/>
      <c r="F59" s="102"/>
      <c r="G59" s="194"/>
      <c r="H59" s="83"/>
      <c r="I59" s="84"/>
      <c r="J59" s="83"/>
    </row>
    <row r="60" spans="3:10" ht="20.100000000000001" customHeight="1">
      <c r="C60" s="84"/>
      <c r="D60" s="83"/>
      <c r="E60" s="83"/>
      <c r="F60" s="102"/>
      <c r="G60" s="194"/>
      <c r="H60" s="83"/>
      <c r="I60" s="84"/>
      <c r="J60" s="83"/>
    </row>
    <row r="61" spans="3:10" ht="20.100000000000001" customHeight="1">
      <c r="C61" s="84"/>
      <c r="D61" s="83"/>
      <c r="E61" s="83"/>
      <c r="F61" s="102"/>
      <c r="G61" s="194"/>
      <c r="H61" s="83"/>
      <c r="I61" s="84"/>
      <c r="J61" s="83"/>
    </row>
    <row r="62" spans="3:10" ht="20.100000000000001" customHeight="1">
      <c r="C62" s="84"/>
      <c r="D62" s="83"/>
      <c r="E62" s="83"/>
      <c r="F62" s="84"/>
      <c r="G62" s="83"/>
      <c r="H62" s="83"/>
      <c r="I62" s="84"/>
      <c r="J62" s="83"/>
    </row>
    <row r="63" spans="3:10" ht="20.100000000000001" customHeight="1">
      <c r="C63" s="84"/>
      <c r="D63" s="83"/>
      <c r="E63" s="83"/>
      <c r="F63" s="84"/>
      <c r="G63" s="83"/>
      <c r="H63" s="83"/>
      <c r="I63" s="84"/>
      <c r="J63" s="83"/>
    </row>
    <row r="64" spans="3:10" ht="20.100000000000001" customHeight="1">
      <c r="C64" s="84"/>
      <c r="D64" s="83"/>
      <c r="E64" s="83"/>
      <c r="F64" s="84"/>
      <c r="G64" s="83"/>
      <c r="H64" s="83"/>
      <c r="I64" s="84"/>
      <c r="J64" s="83"/>
    </row>
    <row r="65" spans="3:10" ht="20.100000000000001" customHeight="1">
      <c r="C65" s="84"/>
      <c r="D65" s="83"/>
      <c r="E65" s="83"/>
      <c r="F65" s="84"/>
      <c r="G65" s="83"/>
      <c r="H65" s="83"/>
      <c r="I65" s="84"/>
      <c r="J65" s="83"/>
    </row>
    <row r="66" spans="3:10" ht="20.100000000000001" customHeight="1"/>
  </sheetData>
  <mergeCells count="5">
    <mergeCell ref="C1:D1"/>
    <mergeCell ref="F1:G1"/>
    <mergeCell ref="I1:J1"/>
    <mergeCell ref="C2:D2"/>
    <mergeCell ref="I2:J2"/>
  </mergeCells>
  <phoneticPr fontId="1"/>
  <printOptions horizontalCentered="1"/>
  <pageMargins left="0.31496062992125984" right="0.31496062992125984" top="1.1417322834645669" bottom="0.55118110236220474" header="0.51181102362204722" footer="0.11811023622047245"/>
  <pageSetup paperSize="8" scale="85" orientation="portrait" cellComments="asDisplayed" r:id="rId1"/>
  <headerFooter>
    <oddHeader>&amp;L&amp;"BIZ UDP明朝 Medium,太字"&amp;22 令和８年　&amp;C&amp;"BIZ UDP明朝 Medium,太字"&amp;22 &amp;U7月１8日（土） （宵宮祭）　＜駒寄＞ 進行表</oddHead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E502-2F53-4713-82D0-9E2BD9E408C5}">
  <sheetPr>
    <pageSetUpPr fitToPage="1"/>
  </sheetPr>
  <dimension ref="C1:O75"/>
  <sheetViews>
    <sheetView view="pageBreakPreview" zoomScale="70" zoomScaleNormal="80" zoomScaleSheetLayoutView="70" workbookViewId="0">
      <selection activeCell="J23" sqref="J23"/>
    </sheetView>
  </sheetViews>
  <sheetFormatPr defaultColWidth="9" defaultRowHeight="18"/>
  <cols>
    <col min="1" max="1" width="4.8984375" style="11" customWidth="1"/>
    <col min="2" max="2" width="3.59765625" style="11" customWidth="1"/>
    <col min="3" max="3" width="3.8984375" style="82" customWidth="1"/>
    <col min="4" max="4" width="38.8984375" style="11" customWidth="1"/>
    <col min="5" max="5" width="3.59765625" style="11" customWidth="1"/>
    <col min="6" max="6" width="3.69921875" style="82" customWidth="1"/>
    <col min="7" max="7" width="36.59765625" style="11" customWidth="1"/>
    <col min="8" max="8" width="3.19921875" style="11" customWidth="1"/>
    <col min="9" max="9" width="4.19921875" style="82" customWidth="1"/>
    <col min="10" max="10" width="33.5" style="11" customWidth="1"/>
    <col min="11" max="11" width="3.59765625" style="11" customWidth="1"/>
    <col min="12" max="16384" width="9" style="11"/>
  </cols>
  <sheetData>
    <row r="1" spans="3:14" ht="33.6" customHeight="1">
      <c r="C1" s="369" t="s">
        <v>0</v>
      </c>
      <c r="D1" s="369"/>
      <c r="E1" s="162"/>
      <c r="F1" s="369" t="s">
        <v>1</v>
      </c>
      <c r="G1" s="369"/>
      <c r="H1" s="163"/>
      <c r="I1" s="369" t="s">
        <v>2</v>
      </c>
      <c r="J1" s="369"/>
    </row>
    <row r="2" spans="3:14" ht="20.100000000000001" customHeight="1">
      <c r="C2" s="105"/>
      <c r="D2" s="83"/>
      <c r="E2" s="83"/>
      <c r="F2" s="105"/>
      <c r="G2" s="83"/>
      <c r="H2" s="83"/>
      <c r="I2" s="105"/>
      <c r="J2" s="83"/>
    </row>
    <row r="3" spans="3:14" ht="20.100000000000001" customHeight="1">
      <c r="C3" s="105"/>
      <c r="D3" s="83"/>
      <c r="E3" s="83"/>
      <c r="H3" s="83"/>
      <c r="I3" s="105"/>
      <c r="J3" s="83"/>
    </row>
    <row r="4" spans="3:14" ht="20.100000000000001" customHeight="1">
      <c r="C4" s="106"/>
      <c r="D4" s="83"/>
      <c r="E4" s="83"/>
      <c r="F4" s="106" t="s">
        <v>3</v>
      </c>
      <c r="G4" s="84" t="s">
        <v>88</v>
      </c>
      <c r="H4" s="85"/>
      <c r="I4" s="105"/>
      <c r="J4" s="83"/>
    </row>
    <row r="5" spans="3:14" ht="20.100000000000001" customHeight="1">
      <c r="C5" s="105"/>
      <c r="D5" s="83"/>
      <c r="E5" s="83"/>
      <c r="F5" s="105"/>
      <c r="G5" s="87" t="s">
        <v>6</v>
      </c>
      <c r="H5" s="83"/>
      <c r="I5" s="105"/>
      <c r="J5" s="83"/>
    </row>
    <row r="6" spans="3:14" ht="20.100000000000001" customHeight="1">
      <c r="C6" s="210"/>
      <c r="D6" s="211" t="s">
        <v>89</v>
      </c>
      <c r="E6" s="83"/>
      <c r="F6" s="292" t="s">
        <v>26</v>
      </c>
      <c r="G6" s="293" t="s">
        <v>90</v>
      </c>
      <c r="H6" s="83"/>
      <c r="I6" s="105"/>
      <c r="J6" s="83"/>
    </row>
    <row r="7" spans="3:14" ht="20.100000000000001" customHeight="1">
      <c r="C7" s="136"/>
      <c r="D7" s="137" t="s">
        <v>91</v>
      </c>
      <c r="E7" s="127"/>
      <c r="F7" s="294"/>
      <c r="G7" s="295"/>
      <c r="H7" s="127"/>
      <c r="I7" s="135"/>
      <c r="J7" s="127"/>
    </row>
    <row r="8" spans="3:14" ht="20.100000000000001" customHeight="1">
      <c r="C8" s="343" t="s">
        <v>12</v>
      </c>
      <c r="D8" s="344" t="s">
        <v>92</v>
      </c>
      <c r="E8" s="128"/>
      <c r="F8" s="206" t="s">
        <v>12</v>
      </c>
      <c r="G8" s="353" t="s">
        <v>93</v>
      </c>
      <c r="H8" s="354"/>
      <c r="I8" s="206"/>
      <c r="J8" s="354"/>
      <c r="N8" s="80"/>
    </row>
    <row r="9" spans="3:14" ht="20.100000000000001" customHeight="1">
      <c r="C9" s="213" t="s">
        <v>3</v>
      </c>
      <c r="D9" s="134" t="s">
        <v>94</v>
      </c>
      <c r="E9" s="83"/>
      <c r="F9" s="105"/>
      <c r="G9" s="202" t="s">
        <v>95</v>
      </c>
      <c r="H9" s="83"/>
      <c r="I9" s="105"/>
      <c r="J9" s="83"/>
    </row>
    <row r="10" spans="3:14" ht="20.100000000000001" customHeight="1">
      <c r="C10" s="214" t="s">
        <v>96</v>
      </c>
      <c r="D10" s="109" t="s">
        <v>97</v>
      </c>
      <c r="E10" s="83"/>
      <c r="F10" s="107"/>
      <c r="G10" s="203"/>
      <c r="H10" s="107"/>
      <c r="I10" s="105"/>
      <c r="J10" s="83"/>
    </row>
    <row r="11" spans="3:14" ht="20.100000000000001" customHeight="1">
      <c r="C11" s="212" t="s">
        <v>98</v>
      </c>
      <c r="D11" s="108" t="s">
        <v>99</v>
      </c>
      <c r="E11" s="83"/>
      <c r="F11" s="116"/>
      <c r="G11" s="174" t="s">
        <v>100</v>
      </c>
      <c r="H11" s="107"/>
      <c r="I11" s="207"/>
      <c r="J11" s="208" t="s">
        <v>101</v>
      </c>
    </row>
    <row r="12" spans="3:14" ht="20.100000000000001" customHeight="1">
      <c r="C12" s="136" t="s">
        <v>102</v>
      </c>
      <c r="D12" s="153" t="s">
        <v>103</v>
      </c>
      <c r="E12" s="127"/>
      <c r="F12" s="296" t="s">
        <v>26</v>
      </c>
      <c r="G12" s="204" t="s">
        <v>104</v>
      </c>
      <c r="H12" s="138"/>
      <c r="I12" s="297" t="s">
        <v>26</v>
      </c>
      <c r="J12" s="139" t="s">
        <v>104</v>
      </c>
    </row>
    <row r="13" spans="3:14" ht="20.100000000000001" customHeight="1">
      <c r="C13" s="343" t="s">
        <v>105</v>
      </c>
      <c r="D13" s="344" t="s">
        <v>106</v>
      </c>
      <c r="E13" s="128"/>
      <c r="F13" s="200" t="s">
        <v>12</v>
      </c>
      <c r="G13" s="205" t="s">
        <v>107</v>
      </c>
      <c r="H13" s="206"/>
      <c r="I13" s="346" t="s">
        <v>12</v>
      </c>
      <c r="J13" s="352" t="s">
        <v>108</v>
      </c>
    </row>
    <row r="14" spans="3:14" ht="20.100000000000001" customHeight="1">
      <c r="C14" s="212" t="s">
        <v>109</v>
      </c>
      <c r="D14" s="108" t="s">
        <v>110</v>
      </c>
      <c r="E14" s="83"/>
      <c r="F14" s="116"/>
      <c r="G14" s="199" t="s">
        <v>111</v>
      </c>
      <c r="H14" s="107"/>
      <c r="I14" s="176"/>
      <c r="J14" s="357" t="s">
        <v>112</v>
      </c>
    </row>
    <row r="15" spans="3:14" ht="20.100000000000001" customHeight="1">
      <c r="C15" s="214" t="s">
        <v>113</v>
      </c>
      <c r="D15" s="109" t="s">
        <v>114</v>
      </c>
      <c r="E15" s="83"/>
      <c r="F15" s="116"/>
      <c r="G15" s="199" t="s">
        <v>115</v>
      </c>
      <c r="H15" s="107"/>
      <c r="I15" s="176"/>
      <c r="J15" s="209" t="s">
        <v>116</v>
      </c>
    </row>
    <row r="16" spans="3:14" ht="20.100000000000001" customHeight="1">
      <c r="C16" s="214"/>
      <c r="D16" s="109"/>
      <c r="E16" s="83"/>
      <c r="F16" s="116"/>
      <c r="G16" s="360" t="s">
        <v>117</v>
      </c>
      <c r="H16" s="107"/>
      <c r="I16" s="176"/>
      <c r="J16" s="201" t="s">
        <v>118</v>
      </c>
    </row>
    <row r="17" spans="3:10" ht="20.100000000000001" customHeight="1">
      <c r="C17" s="214"/>
      <c r="D17" s="109"/>
      <c r="E17" s="83"/>
      <c r="F17" s="116"/>
      <c r="G17" s="117" t="s">
        <v>119</v>
      </c>
      <c r="H17" s="107"/>
      <c r="I17" s="176"/>
      <c r="J17" s="209" t="s">
        <v>120</v>
      </c>
    </row>
    <row r="18" spans="3:10" ht="20.100000000000001" customHeight="1">
      <c r="C18" s="214"/>
      <c r="D18" s="109"/>
      <c r="E18" s="83"/>
      <c r="F18" s="116"/>
      <c r="G18" s="117" t="s">
        <v>121</v>
      </c>
      <c r="H18" s="107"/>
      <c r="I18" s="176"/>
      <c r="J18" s="209" t="s">
        <v>122</v>
      </c>
    </row>
    <row r="19" spans="3:10" ht="20.100000000000001" customHeight="1">
      <c r="C19" s="351" t="s">
        <v>123</v>
      </c>
      <c r="D19" s="137" t="s">
        <v>124</v>
      </c>
      <c r="E19" s="127"/>
      <c r="F19" s="146"/>
      <c r="G19" s="361" t="s">
        <v>125</v>
      </c>
      <c r="H19" s="138"/>
      <c r="I19" s="358"/>
      <c r="J19" s="140"/>
    </row>
    <row r="20" spans="3:10" ht="20.100000000000001" customHeight="1">
      <c r="C20" s="215"/>
      <c r="D20" s="142"/>
      <c r="E20" s="128"/>
      <c r="F20" s="200"/>
      <c r="G20" s="359"/>
      <c r="H20" s="206"/>
      <c r="I20" s="206"/>
      <c r="J20" s="241"/>
    </row>
    <row r="21" spans="3:10" ht="20.100000000000001" customHeight="1">
      <c r="C21" s="214" t="s">
        <v>126</v>
      </c>
      <c r="D21" s="109" t="s">
        <v>127</v>
      </c>
      <c r="E21" s="83"/>
      <c r="F21" s="120"/>
      <c r="G21" s="118" t="s">
        <v>128</v>
      </c>
      <c r="H21" s="107"/>
      <c r="J21" s="107"/>
    </row>
    <row r="22" spans="3:10" ht="20.100000000000001" customHeight="1" thickBot="1">
      <c r="C22" s="212" t="s">
        <v>129</v>
      </c>
      <c r="D22" s="108" t="s">
        <v>130</v>
      </c>
      <c r="E22" s="83"/>
      <c r="F22" s="116" t="s">
        <v>3</v>
      </c>
      <c r="G22" s="118"/>
      <c r="H22" s="107"/>
      <c r="I22" s="107"/>
      <c r="J22" s="107"/>
    </row>
    <row r="23" spans="3:10" ht="20.100000000000001" customHeight="1">
      <c r="C23" s="214" t="s">
        <v>131</v>
      </c>
      <c r="D23" s="110" t="s">
        <v>132</v>
      </c>
      <c r="E23" s="83"/>
      <c r="F23" s="107"/>
      <c r="G23" s="107"/>
      <c r="H23" s="107"/>
      <c r="I23" s="107"/>
      <c r="J23" s="107"/>
    </row>
    <row r="24" spans="3:10" ht="20.100000000000001" customHeight="1">
      <c r="C24" s="212" t="s">
        <v>52</v>
      </c>
      <c r="D24" s="111" t="s">
        <v>133</v>
      </c>
      <c r="E24" s="83"/>
      <c r="F24" s="107"/>
      <c r="G24" s="107"/>
      <c r="H24" s="107"/>
      <c r="I24" s="107"/>
      <c r="J24" s="107"/>
    </row>
    <row r="25" spans="3:10" ht="20.100000000000001" customHeight="1">
      <c r="C25" s="136" t="s">
        <v>55</v>
      </c>
      <c r="D25" s="143" t="s">
        <v>134</v>
      </c>
      <c r="E25" s="127"/>
      <c r="F25" s="138"/>
      <c r="G25" s="138"/>
      <c r="H25" s="127"/>
      <c r="I25" s="135"/>
      <c r="J25" s="127"/>
    </row>
    <row r="26" spans="3:10" ht="20.100000000000001" customHeight="1">
      <c r="C26" s="343"/>
      <c r="D26" s="350" t="s">
        <v>135</v>
      </c>
      <c r="E26" s="128"/>
      <c r="F26" s="220"/>
      <c r="G26" s="128"/>
      <c r="H26" s="128"/>
      <c r="I26" s="220"/>
      <c r="J26" s="128"/>
    </row>
    <row r="27" spans="3:10" ht="20.100000000000001" customHeight="1">
      <c r="C27" s="212" t="s">
        <v>136</v>
      </c>
      <c r="D27" s="154" t="s">
        <v>137</v>
      </c>
      <c r="E27" s="83"/>
      <c r="F27" s="107"/>
      <c r="G27" s="107"/>
      <c r="H27" s="83"/>
      <c r="I27" s="105"/>
      <c r="J27" s="83"/>
    </row>
    <row r="28" spans="3:10" ht="20.100000000000001" customHeight="1" thickBot="1">
      <c r="C28" s="212" t="s">
        <v>138</v>
      </c>
      <c r="D28" s="112" t="s">
        <v>139</v>
      </c>
      <c r="E28" s="113"/>
      <c r="F28" s="185" t="s">
        <v>140</v>
      </c>
      <c r="G28" s="186" t="s">
        <v>141</v>
      </c>
      <c r="H28" s="83"/>
      <c r="I28" s="105"/>
      <c r="J28" s="83"/>
    </row>
    <row r="29" spans="3:10" ht="20.100000000000001" customHeight="1">
      <c r="C29" s="212" t="s">
        <v>142</v>
      </c>
      <c r="D29" s="108" t="s">
        <v>143</v>
      </c>
      <c r="E29" s="83"/>
      <c r="F29" s="107"/>
      <c r="G29" s="115"/>
      <c r="H29" s="83"/>
      <c r="I29" s="105"/>
      <c r="J29" s="83"/>
    </row>
    <row r="30" spans="3:10" ht="20.100000000000001" customHeight="1">
      <c r="C30" s="136" t="s">
        <v>144</v>
      </c>
      <c r="D30" s="137" t="s">
        <v>145</v>
      </c>
      <c r="E30" s="127"/>
      <c r="F30" s="348" t="s">
        <v>140</v>
      </c>
      <c r="G30" s="349" t="s">
        <v>146</v>
      </c>
      <c r="H30" s="127"/>
      <c r="I30" s="135"/>
      <c r="J30" s="127"/>
    </row>
    <row r="31" spans="3:10" ht="20.100000000000001" customHeight="1">
      <c r="C31" s="141"/>
      <c r="D31" s="230" t="s">
        <v>147</v>
      </c>
      <c r="E31" s="231"/>
      <c r="F31" s="232"/>
      <c r="G31" s="233"/>
      <c r="H31" s="128"/>
      <c r="I31" s="220"/>
      <c r="J31" s="128"/>
    </row>
    <row r="32" spans="3:10" ht="20.100000000000001" customHeight="1">
      <c r="C32" s="212"/>
      <c r="D32" s="144"/>
      <c r="E32" s="83"/>
      <c r="F32" s="107"/>
      <c r="G32" s="107"/>
      <c r="H32" s="107"/>
      <c r="I32" s="107"/>
      <c r="J32" s="107"/>
    </row>
    <row r="33" spans="3:15" ht="20.100000000000001" customHeight="1">
      <c r="C33" s="212" t="s">
        <v>142</v>
      </c>
      <c r="D33" s="144" t="s">
        <v>148</v>
      </c>
      <c r="E33" s="83"/>
      <c r="F33" s="107"/>
      <c r="G33" s="107"/>
      <c r="H33" s="107"/>
      <c r="I33" s="105"/>
      <c r="J33" s="83"/>
    </row>
    <row r="34" spans="3:15" ht="20.100000000000001" customHeight="1">
      <c r="C34" s="212" t="s">
        <v>149</v>
      </c>
      <c r="D34" s="108" t="s">
        <v>150</v>
      </c>
      <c r="E34" s="83"/>
      <c r="F34" s="116"/>
      <c r="G34" s="174" t="s">
        <v>151</v>
      </c>
      <c r="H34" s="107"/>
      <c r="I34" s="235"/>
      <c r="J34" s="208" t="s">
        <v>101</v>
      </c>
    </row>
    <row r="35" spans="3:15" ht="20.100000000000001" customHeight="1">
      <c r="C35" s="145"/>
      <c r="D35" s="132"/>
      <c r="E35" s="127"/>
      <c r="F35" s="296" t="s">
        <v>26</v>
      </c>
      <c r="G35" s="147" t="s">
        <v>104</v>
      </c>
      <c r="H35" s="177"/>
      <c r="I35" s="298" t="s">
        <v>26</v>
      </c>
      <c r="J35" s="139" t="s">
        <v>104</v>
      </c>
    </row>
    <row r="36" spans="3:15" ht="20.100000000000001" customHeight="1">
      <c r="C36" s="343" t="s">
        <v>58</v>
      </c>
      <c r="D36" s="344" t="s">
        <v>152</v>
      </c>
      <c r="E36" s="128"/>
      <c r="F36" s="200" t="s">
        <v>12</v>
      </c>
      <c r="G36" s="242" t="s">
        <v>153</v>
      </c>
      <c r="H36" s="345"/>
      <c r="I36" s="346" t="s">
        <v>12</v>
      </c>
      <c r="J36" s="347" t="s">
        <v>154</v>
      </c>
    </row>
    <row r="37" spans="3:15" ht="20.100000000000001" customHeight="1">
      <c r="C37" s="210"/>
      <c r="D37" s="108"/>
      <c r="E37" s="83"/>
      <c r="F37" s="173"/>
      <c r="G37" s="118" t="s">
        <v>155</v>
      </c>
      <c r="H37" s="178"/>
      <c r="I37" s="176"/>
      <c r="J37" s="195" t="s">
        <v>155</v>
      </c>
    </row>
    <row r="38" spans="3:15" ht="20.100000000000001" customHeight="1">
      <c r="C38" s="212" t="s">
        <v>156</v>
      </c>
      <c r="D38" s="108" t="s">
        <v>157</v>
      </c>
      <c r="E38" s="83"/>
      <c r="F38" s="173"/>
      <c r="G38" s="118" t="s">
        <v>158</v>
      </c>
      <c r="H38" s="178"/>
      <c r="I38" s="176"/>
      <c r="J38" s="196" t="s">
        <v>159</v>
      </c>
    </row>
    <row r="39" spans="3:15" ht="20.100000000000001" customHeight="1">
      <c r="C39" s="210"/>
      <c r="D39" s="108"/>
      <c r="E39" s="83"/>
      <c r="F39" s="116"/>
      <c r="G39" s="236" t="s">
        <v>160</v>
      </c>
      <c r="H39" s="179"/>
      <c r="I39" s="176"/>
      <c r="J39" s="240" t="s">
        <v>161</v>
      </c>
    </row>
    <row r="40" spans="3:15" ht="20.100000000000001" customHeight="1">
      <c r="C40" s="212" t="s">
        <v>131</v>
      </c>
      <c r="D40" s="108" t="s">
        <v>162</v>
      </c>
      <c r="E40" s="83"/>
      <c r="F40" s="116"/>
      <c r="G40" s="236" t="s">
        <v>163</v>
      </c>
      <c r="H40" s="179"/>
      <c r="I40" s="180"/>
      <c r="J40" s="195" t="s">
        <v>164</v>
      </c>
      <c r="O40" s="117"/>
    </row>
    <row r="41" spans="3:15" ht="20.100000000000001" customHeight="1">
      <c r="C41" s="136" t="s">
        <v>165</v>
      </c>
      <c r="D41" s="137" t="s">
        <v>166</v>
      </c>
      <c r="E41" s="127"/>
      <c r="F41" s="146"/>
      <c r="G41" s="234" t="s">
        <v>167</v>
      </c>
      <c r="H41" s="181"/>
      <c r="I41" s="182"/>
      <c r="J41" s="340" t="s">
        <v>168</v>
      </c>
    </row>
    <row r="42" spans="3:15" ht="20.100000000000001" customHeight="1">
      <c r="C42" s="141"/>
      <c r="D42" s="142"/>
      <c r="E42" s="128"/>
      <c r="F42" s="220"/>
      <c r="G42" s="216"/>
      <c r="H42" s="341"/>
      <c r="I42" s="342"/>
      <c r="J42" s="238"/>
    </row>
    <row r="43" spans="3:15" ht="20.100000000000001" customHeight="1">
      <c r="C43" s="212" t="s">
        <v>109</v>
      </c>
      <c r="D43" s="108" t="s">
        <v>169</v>
      </c>
      <c r="E43" s="83"/>
      <c r="F43" s="107"/>
      <c r="G43" s="151"/>
      <c r="H43" s="178"/>
      <c r="I43" s="237"/>
      <c r="J43" s="151"/>
    </row>
    <row r="44" spans="3:15" ht="20.100000000000001" customHeight="1" thickBot="1">
      <c r="C44" s="212" t="s">
        <v>170</v>
      </c>
      <c r="D44" s="108" t="s">
        <v>171</v>
      </c>
      <c r="E44" s="83"/>
      <c r="F44" s="107"/>
      <c r="G44" s="184"/>
      <c r="H44" s="183"/>
      <c r="I44" s="239"/>
      <c r="J44" s="184"/>
      <c r="L44" s="81"/>
    </row>
    <row r="45" spans="3:15" ht="20.100000000000001" customHeight="1" thickTop="1">
      <c r="C45" s="212" t="s">
        <v>98</v>
      </c>
      <c r="D45" s="108" t="s">
        <v>172</v>
      </c>
      <c r="E45" s="83"/>
      <c r="F45" s="107"/>
      <c r="G45" s="151"/>
      <c r="H45" s="119"/>
      <c r="I45" s="11"/>
      <c r="J45" s="83"/>
      <c r="L45" s="81"/>
    </row>
    <row r="46" spans="3:15" ht="20.100000000000001" customHeight="1" thickBot="1">
      <c r="C46" s="210"/>
      <c r="D46" s="94"/>
      <c r="E46" s="83"/>
      <c r="F46" s="107"/>
      <c r="G46" s="184"/>
      <c r="H46" s="119"/>
      <c r="I46" s="105"/>
      <c r="J46" s="83"/>
      <c r="L46" s="81"/>
    </row>
    <row r="47" spans="3:15" ht="20.100000000000001" customHeight="1">
      <c r="C47" s="215" t="s">
        <v>136</v>
      </c>
      <c r="D47" s="155" t="s">
        <v>173</v>
      </c>
      <c r="E47" s="128"/>
      <c r="F47" s="206"/>
      <c r="G47" s="216"/>
      <c r="H47" s="217"/>
      <c r="I47" s="218"/>
      <c r="J47" s="219" t="s">
        <v>68</v>
      </c>
      <c r="L47" s="81"/>
    </row>
    <row r="48" spans="3:15" ht="20.100000000000001" customHeight="1">
      <c r="C48" s="212" t="s">
        <v>174</v>
      </c>
      <c r="D48" s="156" t="s">
        <v>175</v>
      </c>
      <c r="E48" s="83"/>
      <c r="F48" s="105"/>
      <c r="G48" s="184"/>
      <c r="H48" s="119"/>
      <c r="I48" s="120"/>
      <c r="J48" s="175" t="s">
        <v>71</v>
      </c>
      <c r="L48" s="81"/>
    </row>
    <row r="49" spans="3:10" ht="20.100000000000001" customHeight="1">
      <c r="C49" s="212" t="s">
        <v>43</v>
      </c>
      <c r="D49" s="156" t="s">
        <v>176</v>
      </c>
      <c r="E49" s="83"/>
      <c r="F49" s="106"/>
      <c r="G49" s="151"/>
      <c r="H49" s="119"/>
      <c r="I49" s="121"/>
      <c r="J49" s="122"/>
    </row>
    <row r="50" spans="3:10" ht="20.100000000000001" customHeight="1">
      <c r="C50" s="212" t="s">
        <v>63</v>
      </c>
      <c r="D50" s="156" t="s">
        <v>177</v>
      </c>
      <c r="E50" s="83"/>
      <c r="F50" s="107"/>
      <c r="G50" s="184"/>
      <c r="H50" s="123"/>
      <c r="I50" s="124"/>
      <c r="J50" s="125"/>
    </row>
    <row r="51" spans="3:10" ht="20.100000000000001" customHeight="1" thickBot="1">
      <c r="C51" s="212" t="s">
        <v>75</v>
      </c>
      <c r="D51" s="157" t="s">
        <v>178</v>
      </c>
      <c r="E51" s="83"/>
      <c r="H51" s="123"/>
      <c r="I51" s="124"/>
      <c r="J51" s="125"/>
    </row>
    <row r="52" spans="3:10" ht="20.100000000000001" customHeight="1">
      <c r="C52" s="210"/>
      <c r="D52" s="108" t="s">
        <v>179</v>
      </c>
      <c r="E52" s="113" t="s">
        <v>140</v>
      </c>
      <c r="F52" s="114" t="s">
        <v>140</v>
      </c>
      <c r="G52" s="184" t="s">
        <v>180</v>
      </c>
      <c r="H52" s="83"/>
      <c r="I52" s="120"/>
      <c r="J52" s="103"/>
    </row>
    <row r="53" spans="3:10" ht="20.100000000000001" customHeight="1">
      <c r="C53" s="135"/>
      <c r="D53" s="127"/>
      <c r="E53" s="127"/>
      <c r="F53" s="138" t="s">
        <v>52</v>
      </c>
      <c r="G53" s="339" t="s">
        <v>181</v>
      </c>
      <c r="H53" s="127"/>
      <c r="I53" s="338"/>
      <c r="J53" s="147"/>
    </row>
    <row r="54" spans="3:10" ht="20.100000000000001" customHeight="1">
      <c r="C54" s="220"/>
      <c r="D54" s="128"/>
      <c r="E54" s="221"/>
      <c r="F54" s="222" t="s">
        <v>12</v>
      </c>
      <c r="G54" s="223" t="s">
        <v>182</v>
      </c>
      <c r="H54" s="224"/>
      <c r="I54" s="187"/>
      <c r="J54" s="221"/>
    </row>
    <row r="55" spans="3:10" ht="20.100000000000001" customHeight="1">
      <c r="C55" s="105"/>
      <c r="D55" s="83"/>
      <c r="E55" s="103"/>
      <c r="F55" s="225"/>
      <c r="G55" s="226" t="s">
        <v>183</v>
      </c>
      <c r="H55" s="113" t="s">
        <v>140</v>
      </c>
      <c r="I55" s="120"/>
      <c r="J55" s="103"/>
    </row>
    <row r="56" spans="3:10" ht="20.100000000000001" customHeight="1">
      <c r="C56" s="105"/>
      <c r="D56" s="83"/>
      <c r="E56" s="103"/>
      <c r="F56" s="197" t="s">
        <v>184</v>
      </c>
      <c r="G56" s="198"/>
      <c r="H56" s="83"/>
      <c r="I56" s="120"/>
      <c r="J56" s="103"/>
    </row>
    <row r="57" spans="3:10" ht="20.100000000000001" customHeight="1">
      <c r="C57" s="135"/>
      <c r="D57" s="127"/>
      <c r="E57" s="275"/>
      <c r="F57" s="336"/>
      <c r="G57" s="337"/>
      <c r="H57" s="127"/>
      <c r="I57" s="338"/>
      <c r="J57" s="275"/>
    </row>
    <row r="58" spans="3:10" ht="20.100000000000001" customHeight="1">
      <c r="C58" s="220"/>
      <c r="D58" s="128"/>
      <c r="E58" s="128"/>
      <c r="F58" s="206" t="s">
        <v>12</v>
      </c>
      <c r="G58" s="227" t="s">
        <v>185</v>
      </c>
      <c r="H58" s="128"/>
      <c r="I58" s="228" t="s">
        <v>140</v>
      </c>
      <c r="J58" s="216" t="s">
        <v>186</v>
      </c>
    </row>
    <row r="59" spans="3:10" ht="20.100000000000001" customHeight="1">
      <c r="C59" s="105"/>
      <c r="D59" s="83"/>
      <c r="E59" s="83"/>
      <c r="F59" s="364" t="s">
        <v>187</v>
      </c>
      <c r="G59" s="365" t="s">
        <v>188</v>
      </c>
      <c r="H59" s="89"/>
      <c r="I59" s="114"/>
      <c r="J59" s="83"/>
    </row>
    <row r="60" spans="3:10" ht="20.100000000000001" customHeight="1">
      <c r="C60" s="135"/>
      <c r="D60" s="127"/>
      <c r="E60" s="127"/>
      <c r="F60" s="334"/>
      <c r="G60" s="152" t="s">
        <v>87</v>
      </c>
      <c r="H60" s="335"/>
      <c r="I60" s="135"/>
      <c r="J60" s="135"/>
    </row>
    <row r="61" spans="3:10" ht="20.100000000000001" customHeight="1">
      <c r="C61" s="220"/>
      <c r="D61" s="128"/>
      <c r="E61" s="128"/>
      <c r="F61" s="149"/>
      <c r="G61" s="150"/>
      <c r="H61" s="128"/>
      <c r="I61" s="220"/>
      <c r="J61" s="128"/>
    </row>
    <row r="62" spans="3:10" ht="20.100000000000001" customHeight="1">
      <c r="C62" s="135"/>
      <c r="D62" s="127"/>
      <c r="E62" s="127"/>
      <c r="F62" s="229"/>
      <c r="G62" s="152"/>
      <c r="H62" s="129"/>
      <c r="I62" s="135"/>
      <c r="J62" s="127"/>
    </row>
    <row r="63" spans="3:10" ht="20.100000000000001" customHeight="1">
      <c r="C63" s="220"/>
      <c r="D63" s="128"/>
      <c r="E63" s="128"/>
      <c r="F63" s="220"/>
      <c r="G63" s="128"/>
      <c r="H63" s="128"/>
      <c r="I63" s="220"/>
      <c r="J63" s="128"/>
    </row>
    <row r="64" spans="3:10" ht="20.100000000000001" customHeight="1">
      <c r="C64" s="105"/>
      <c r="D64" s="83"/>
      <c r="E64" s="83"/>
      <c r="F64" s="105"/>
      <c r="G64" s="83"/>
      <c r="H64" s="83"/>
      <c r="I64" s="105"/>
      <c r="J64" s="83"/>
    </row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</sheetData>
  <mergeCells count="3">
    <mergeCell ref="C1:D1"/>
    <mergeCell ref="F1:G1"/>
    <mergeCell ref="I1:J1"/>
  </mergeCells>
  <phoneticPr fontId="1"/>
  <printOptions horizontalCentered="1"/>
  <pageMargins left="0.31496062992125984" right="0.31496062992125984" top="1.1417322834645669" bottom="0.55118110236220474" header="0.51181102362204722" footer="0.11811023622047245"/>
  <pageSetup paperSize="8" scale="79" orientation="portrait" cellComments="asDisplayed" r:id="rId1"/>
  <headerFooter>
    <oddHeader>&amp;C&amp;"BIZ UDP明朝 Medium,太字"&amp;22 &amp;U7月19日（日） （本祭）　＜駒寄＞ 進行表&amp;RRev.G</oddHeader>
  </headerFooter>
  <ignoredErrors>
    <ignoredError sqref="C8:I11 D19:F19 C16:F16 H16:I16 C15:F15 H15:I15 C14:F14 H14:I14 C24:I31 D20:E20 H20 H19 C21:E21 H21 C22:E22 H22:I22 C41:F41 C38:F38 H38:I38 C37:F37 H37:I37 C39:F39 H39:I39 C40:F40 H40:I40 C43:E43 C42:E42 H42 H41:I41 C46:I61 C44:E44 H44 H43 C45:H45 C36:I36 E33:I34 E32:I32 C13:I13 C12:H12 C23 E23:I23 C35:H35" numberStoredAsText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A6A7-6B92-4384-8987-F80208E4DDC0}">
  <sheetPr>
    <pageSetUpPr fitToPage="1"/>
  </sheetPr>
  <dimension ref="B2:G34"/>
  <sheetViews>
    <sheetView workbookViewId="0">
      <selection activeCell="M12" sqref="M12"/>
    </sheetView>
  </sheetViews>
  <sheetFormatPr defaultRowHeight="18"/>
  <cols>
    <col min="1" max="1" width="5.09765625" customWidth="1"/>
    <col min="2" max="2" width="5.09765625" style="74" customWidth="1"/>
    <col min="3" max="3" width="15.09765625" bestFit="1" customWidth="1"/>
    <col min="4" max="4" width="10.59765625" style="64" bestFit="1" customWidth="1"/>
    <col min="5" max="5" width="31.59765625" bestFit="1" customWidth="1"/>
    <col min="6" max="6" width="10.59765625" bestFit="1" customWidth="1"/>
    <col min="7" max="7" width="20.19921875" bestFit="1" customWidth="1"/>
  </cols>
  <sheetData>
    <row r="2" spans="2:7">
      <c r="B2" s="71" t="s">
        <v>189</v>
      </c>
      <c r="C2" s="371" t="s">
        <v>190</v>
      </c>
      <c r="D2" s="372"/>
      <c r="E2" s="371" t="s">
        <v>191</v>
      </c>
      <c r="F2" s="372"/>
      <c r="G2" s="71" t="s">
        <v>192</v>
      </c>
    </row>
    <row r="3" spans="2:7">
      <c r="B3" s="72">
        <f>ROW()-2</f>
        <v>1</v>
      </c>
      <c r="C3" s="75" t="s">
        <v>193</v>
      </c>
      <c r="D3" s="65">
        <v>840585</v>
      </c>
      <c r="E3" s="75" t="s">
        <v>194</v>
      </c>
      <c r="F3" s="65">
        <f>D3</f>
        <v>840585</v>
      </c>
      <c r="G3" s="68" t="s">
        <v>195</v>
      </c>
    </row>
    <row r="4" spans="2:7">
      <c r="B4" s="72">
        <f t="shared" ref="B4:B32" si="0">ROW()-2</f>
        <v>2</v>
      </c>
      <c r="C4" s="76" t="s">
        <v>196</v>
      </c>
      <c r="D4" s="66">
        <v>504000</v>
      </c>
      <c r="E4" s="76" t="s">
        <v>197</v>
      </c>
      <c r="F4" s="79">
        <v>25000</v>
      </c>
      <c r="G4" s="69"/>
    </row>
    <row r="5" spans="2:7">
      <c r="B5" s="72">
        <f t="shared" si="0"/>
        <v>3</v>
      </c>
      <c r="C5" s="76" t="s">
        <v>198</v>
      </c>
      <c r="D5" s="66">
        <v>150000</v>
      </c>
      <c r="E5" s="76" t="s">
        <v>199</v>
      </c>
      <c r="F5" s="79">
        <v>25000</v>
      </c>
      <c r="G5" s="69"/>
    </row>
    <row r="6" spans="2:7">
      <c r="B6" s="72">
        <f t="shared" si="0"/>
        <v>4</v>
      </c>
      <c r="C6" s="76" t="s">
        <v>200</v>
      </c>
      <c r="D6" s="66">
        <v>200000</v>
      </c>
      <c r="E6" s="76" t="s">
        <v>201</v>
      </c>
      <c r="F6" s="66">
        <f>D6/2</f>
        <v>100000</v>
      </c>
      <c r="G6" s="69" t="s">
        <v>202</v>
      </c>
    </row>
    <row r="7" spans="2:7">
      <c r="B7" s="72">
        <f t="shared" si="0"/>
        <v>5</v>
      </c>
      <c r="C7" s="76" t="s">
        <v>203</v>
      </c>
      <c r="D7" s="66">
        <v>10000</v>
      </c>
      <c r="E7" s="76" t="s">
        <v>204</v>
      </c>
      <c r="F7" s="79">
        <v>2140</v>
      </c>
      <c r="G7" s="69"/>
    </row>
    <row r="8" spans="2:7">
      <c r="B8" s="72">
        <f t="shared" si="0"/>
        <v>6</v>
      </c>
      <c r="C8" s="76"/>
      <c r="D8" s="66"/>
      <c r="E8" s="76" t="s">
        <v>205</v>
      </c>
      <c r="F8" s="66">
        <v>10000</v>
      </c>
      <c r="G8" s="69"/>
    </row>
    <row r="9" spans="2:7">
      <c r="B9" s="72">
        <f t="shared" si="0"/>
        <v>7</v>
      </c>
      <c r="C9" s="76"/>
      <c r="D9" s="66"/>
      <c r="E9" s="76" t="s">
        <v>206</v>
      </c>
      <c r="F9" s="79">
        <v>2000</v>
      </c>
      <c r="G9" s="69" t="s">
        <v>207</v>
      </c>
    </row>
    <row r="10" spans="2:7">
      <c r="B10" s="72">
        <f t="shared" si="0"/>
        <v>8</v>
      </c>
      <c r="C10" s="76"/>
      <c r="D10" s="66"/>
      <c r="E10" s="76" t="s">
        <v>208</v>
      </c>
      <c r="F10" s="66">
        <v>0</v>
      </c>
      <c r="G10" s="69" t="s">
        <v>209</v>
      </c>
    </row>
    <row r="11" spans="2:7">
      <c r="B11" s="72">
        <f t="shared" si="0"/>
        <v>9</v>
      </c>
      <c r="C11" s="76"/>
      <c r="D11" s="66"/>
      <c r="E11" s="76" t="s">
        <v>210</v>
      </c>
      <c r="F11" s="79">
        <v>49513</v>
      </c>
      <c r="G11" s="69" t="s">
        <v>211</v>
      </c>
    </row>
    <row r="12" spans="2:7">
      <c r="B12" s="72">
        <f t="shared" si="0"/>
        <v>10</v>
      </c>
      <c r="C12" s="76"/>
      <c r="D12" s="66"/>
      <c r="E12" s="76" t="s">
        <v>212</v>
      </c>
      <c r="F12" s="66">
        <v>14000</v>
      </c>
      <c r="G12" s="69"/>
    </row>
    <row r="13" spans="2:7">
      <c r="B13" s="72">
        <f t="shared" si="0"/>
        <v>11</v>
      </c>
      <c r="C13" s="76"/>
      <c r="D13" s="66"/>
      <c r="E13" s="76" t="s">
        <v>213</v>
      </c>
      <c r="F13" s="66">
        <v>4000</v>
      </c>
      <c r="G13" s="69"/>
    </row>
    <row r="14" spans="2:7">
      <c r="B14" s="72">
        <f t="shared" si="0"/>
        <v>12</v>
      </c>
      <c r="C14" s="76"/>
      <c r="D14" s="66"/>
      <c r="E14" s="76" t="s">
        <v>214</v>
      </c>
      <c r="F14" s="66">
        <v>58000</v>
      </c>
      <c r="G14" s="69"/>
    </row>
    <row r="15" spans="2:7">
      <c r="B15" s="72">
        <f t="shared" si="0"/>
        <v>13</v>
      </c>
      <c r="C15" s="76"/>
      <c r="D15" s="66"/>
      <c r="E15" s="76" t="s">
        <v>215</v>
      </c>
      <c r="F15" s="66">
        <v>80000</v>
      </c>
      <c r="G15" s="69"/>
    </row>
    <row r="16" spans="2:7">
      <c r="B16" s="72">
        <f t="shared" si="0"/>
        <v>14</v>
      </c>
      <c r="C16" s="76"/>
      <c r="D16" s="66"/>
      <c r="E16" s="76" t="s">
        <v>216</v>
      </c>
      <c r="F16" s="66">
        <v>350000</v>
      </c>
      <c r="G16" s="69"/>
    </row>
    <row r="17" spans="2:7">
      <c r="B17" s="72">
        <f t="shared" si="0"/>
        <v>15</v>
      </c>
      <c r="C17" s="76"/>
      <c r="D17" s="66"/>
      <c r="E17" s="76" t="s">
        <v>217</v>
      </c>
      <c r="F17" s="66">
        <v>0</v>
      </c>
      <c r="G17" s="69"/>
    </row>
    <row r="18" spans="2:7">
      <c r="B18" s="72">
        <f t="shared" si="0"/>
        <v>16</v>
      </c>
      <c r="C18" s="76"/>
      <c r="D18" s="66"/>
      <c r="E18" s="76" t="s">
        <v>218</v>
      </c>
      <c r="F18" s="66">
        <v>0</v>
      </c>
      <c r="G18" s="69" t="s">
        <v>219</v>
      </c>
    </row>
    <row r="19" spans="2:7">
      <c r="B19" s="72">
        <f t="shared" si="0"/>
        <v>17</v>
      </c>
      <c r="C19" s="76"/>
      <c r="D19" s="66"/>
      <c r="E19" s="76" t="s">
        <v>220</v>
      </c>
      <c r="F19" s="66">
        <v>15000</v>
      </c>
      <c r="G19" s="69" t="s">
        <v>221</v>
      </c>
    </row>
    <row r="20" spans="2:7">
      <c r="B20" s="72">
        <f t="shared" si="0"/>
        <v>18</v>
      </c>
      <c r="C20" s="76"/>
      <c r="D20" s="66"/>
      <c r="E20" s="76" t="s">
        <v>222</v>
      </c>
      <c r="F20" s="66">
        <v>0</v>
      </c>
      <c r="G20" s="69" t="s">
        <v>223</v>
      </c>
    </row>
    <row r="21" spans="2:7">
      <c r="B21" s="72">
        <f t="shared" si="0"/>
        <v>19</v>
      </c>
      <c r="C21" s="76"/>
      <c r="D21" s="66"/>
      <c r="E21" s="76" t="s">
        <v>224</v>
      </c>
      <c r="F21" s="66">
        <v>0</v>
      </c>
      <c r="G21" s="69" t="s">
        <v>225</v>
      </c>
    </row>
    <row r="22" spans="2:7">
      <c r="B22" s="72">
        <f t="shared" si="0"/>
        <v>20</v>
      </c>
      <c r="C22" s="76"/>
      <c r="D22" s="66"/>
      <c r="E22" s="76" t="s">
        <v>226</v>
      </c>
      <c r="F22" s="66">
        <v>5500</v>
      </c>
      <c r="G22" s="69" t="s">
        <v>227</v>
      </c>
    </row>
    <row r="23" spans="2:7">
      <c r="B23" s="72">
        <f t="shared" si="0"/>
        <v>21</v>
      </c>
      <c r="C23" s="76"/>
      <c r="D23" s="66"/>
      <c r="E23" s="76" t="s">
        <v>228</v>
      </c>
      <c r="F23" s="66">
        <v>0</v>
      </c>
      <c r="G23" s="69"/>
    </row>
    <row r="24" spans="2:7">
      <c r="B24" s="72">
        <f t="shared" si="0"/>
        <v>22</v>
      </c>
      <c r="C24" s="76"/>
      <c r="D24" s="66"/>
      <c r="E24" s="76" t="s">
        <v>229</v>
      </c>
      <c r="F24" s="66">
        <v>35000</v>
      </c>
      <c r="G24" s="69" t="s">
        <v>230</v>
      </c>
    </row>
    <row r="25" spans="2:7">
      <c r="B25" s="72">
        <f t="shared" si="0"/>
        <v>23</v>
      </c>
      <c r="C25" s="76"/>
      <c r="D25" s="66"/>
      <c r="E25" s="76" t="s">
        <v>231</v>
      </c>
      <c r="F25" s="66">
        <v>6000</v>
      </c>
      <c r="G25" s="69" t="s">
        <v>232</v>
      </c>
    </row>
    <row r="26" spans="2:7">
      <c r="B26" s="72">
        <f t="shared" si="0"/>
        <v>24</v>
      </c>
      <c r="C26" s="76"/>
      <c r="D26" s="66"/>
      <c r="E26" s="76" t="s">
        <v>233</v>
      </c>
      <c r="F26" s="66">
        <v>10000</v>
      </c>
      <c r="G26" s="69"/>
    </row>
    <row r="27" spans="2:7">
      <c r="B27" s="72">
        <f t="shared" si="0"/>
        <v>25</v>
      </c>
      <c r="C27" s="76"/>
      <c r="D27" s="66"/>
      <c r="E27" s="76" t="s">
        <v>234</v>
      </c>
      <c r="F27" s="66">
        <v>8000</v>
      </c>
      <c r="G27" s="69"/>
    </row>
    <row r="28" spans="2:7">
      <c r="B28" s="72">
        <f t="shared" si="0"/>
        <v>26</v>
      </c>
      <c r="C28" s="76"/>
      <c r="D28" s="66"/>
      <c r="E28" s="76" t="s">
        <v>235</v>
      </c>
      <c r="F28" s="66">
        <v>30000</v>
      </c>
      <c r="G28" s="69"/>
    </row>
    <row r="29" spans="2:7">
      <c r="B29" s="72">
        <f t="shared" si="0"/>
        <v>27</v>
      </c>
      <c r="C29" s="76"/>
      <c r="D29" s="66"/>
      <c r="E29" s="76"/>
      <c r="F29" s="66"/>
      <c r="G29" s="69"/>
    </row>
    <row r="30" spans="2:7">
      <c r="B30" s="72">
        <f t="shared" si="0"/>
        <v>28</v>
      </c>
      <c r="C30" s="76" t="s">
        <v>236</v>
      </c>
      <c r="D30" s="66">
        <f>SUM(D3:D29)</f>
        <v>1704585</v>
      </c>
      <c r="E30" s="76"/>
      <c r="F30" s="66">
        <f>SUM(F3:F29)</f>
        <v>1669738</v>
      </c>
      <c r="G30" s="69"/>
    </row>
    <row r="31" spans="2:7">
      <c r="B31" s="73">
        <f t="shared" si="0"/>
        <v>29</v>
      </c>
      <c r="C31" s="77" t="s">
        <v>237</v>
      </c>
      <c r="D31" s="67">
        <f>D30-D3</f>
        <v>864000</v>
      </c>
      <c r="E31" s="77" t="s">
        <v>238</v>
      </c>
      <c r="F31" s="67">
        <f>F30-F3</f>
        <v>829153</v>
      </c>
      <c r="G31" s="70"/>
    </row>
    <row r="32" spans="2:7">
      <c r="B32" s="73">
        <f t="shared" si="0"/>
        <v>30</v>
      </c>
      <c r="C32" s="77"/>
      <c r="D32" s="67"/>
      <c r="E32" s="77" t="s">
        <v>239</v>
      </c>
      <c r="F32" s="78">
        <f>D31-F31</f>
        <v>34847</v>
      </c>
      <c r="G32" s="70"/>
    </row>
    <row r="33" spans="6:6">
      <c r="F33" s="64"/>
    </row>
    <row r="34" spans="6:6">
      <c r="F34" s="64"/>
    </row>
  </sheetData>
  <mergeCells count="2">
    <mergeCell ref="C2:D2"/>
    <mergeCell ref="E2:F2"/>
  </mergeCells>
  <phoneticPr fontId="1"/>
  <pageMargins left="0.70866141732283472" right="0.70866141732283472" top="0.74803149606299213" bottom="0.74803149606299213" header="0.31496062992125984" footer="0.31496062992125984"/>
  <pageSetup paperSize="9" scale="81" orientation="portrait" r:id="rId1"/>
  <headerFooter>
    <oddHeader>&amp;C&amp;A&amp;R&amp;D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96"/>
  <sheetViews>
    <sheetView zoomScale="70" zoomScaleNormal="70" workbookViewId="0">
      <selection activeCell="S29" sqref="S29"/>
    </sheetView>
  </sheetViews>
  <sheetFormatPr defaultColWidth="9" defaultRowHeight="35.1" customHeight="1"/>
  <cols>
    <col min="1" max="1" width="8" style="13" customWidth="1"/>
    <col min="2" max="2" width="10.59765625" style="14" customWidth="1"/>
    <col min="3" max="3" width="20.59765625" style="13" customWidth="1"/>
    <col min="4" max="5" width="5.59765625" style="13" customWidth="1"/>
    <col min="6" max="6" width="30.59765625" style="14" customWidth="1"/>
    <col min="7" max="8" width="5.59765625" style="13" customWidth="1"/>
    <col min="9" max="9" width="30.59765625" style="14" customWidth="1"/>
    <col min="10" max="11" width="5.59765625" style="13" customWidth="1"/>
    <col min="12" max="12" width="30.59765625" style="14" customWidth="1"/>
    <col min="13" max="14" width="5.59765625" style="13" customWidth="1"/>
    <col min="15" max="15" width="30.59765625" style="14" customWidth="1"/>
    <col min="16" max="17" width="5.59765625" style="13" customWidth="1"/>
    <col min="18" max="18" width="30.59765625" style="14" customWidth="1"/>
    <col min="19" max="19" width="5.59765625" style="13" customWidth="1"/>
    <col min="20" max="16384" width="9" style="13"/>
  </cols>
  <sheetData>
    <row r="2" spans="1:19" ht="35.1" customHeight="1">
      <c r="F2" s="15" t="s">
        <v>240</v>
      </c>
      <c r="I2" s="15" t="s">
        <v>241</v>
      </c>
      <c r="L2" s="15" t="s">
        <v>242</v>
      </c>
      <c r="O2" s="15" t="s">
        <v>243</v>
      </c>
    </row>
    <row r="3" spans="1:19" ht="35.1" customHeight="1">
      <c r="B3" s="373" t="s">
        <v>190</v>
      </c>
      <c r="C3" s="374">
        <f>SUM(F4:R4)</f>
        <v>1648821</v>
      </c>
      <c r="E3" s="17"/>
      <c r="F3" s="367" t="s">
        <v>193</v>
      </c>
      <c r="I3" s="367" t="s">
        <v>244</v>
      </c>
      <c r="L3" s="367" t="s">
        <v>245</v>
      </c>
      <c r="O3" s="367" t="s">
        <v>200</v>
      </c>
      <c r="R3" s="367" t="s">
        <v>246</v>
      </c>
    </row>
    <row r="4" spans="1:19" s="18" customFormat="1" ht="35.1" customHeight="1">
      <c r="B4" s="373"/>
      <c r="C4" s="374"/>
      <c r="F4" s="19">
        <v>856821</v>
      </c>
      <c r="I4" s="16">
        <v>475000</v>
      </c>
      <c r="L4" s="16">
        <v>176000</v>
      </c>
      <c r="O4" s="19">
        <v>141000</v>
      </c>
      <c r="R4" s="19">
        <v>0</v>
      </c>
    </row>
    <row r="5" spans="1:19" ht="35.1" customHeight="1">
      <c r="B5" s="59" t="s">
        <v>247</v>
      </c>
      <c r="C5" s="60">
        <f>C3-F4</f>
        <v>792000</v>
      </c>
      <c r="I5" s="20"/>
      <c r="L5" s="20"/>
      <c r="O5" s="20"/>
    </row>
    <row r="6" spans="1:19" ht="35.1" customHeight="1">
      <c r="B6" s="375" t="s">
        <v>191</v>
      </c>
      <c r="C6" s="374">
        <f>SUM(F7:R7)</f>
        <v>1841452</v>
      </c>
      <c r="F6" s="21" t="s">
        <v>248</v>
      </c>
      <c r="H6" s="22"/>
      <c r="I6" s="368" t="s">
        <v>249</v>
      </c>
      <c r="K6" s="23"/>
      <c r="L6" s="368" t="s">
        <v>250</v>
      </c>
      <c r="M6" s="23"/>
      <c r="O6" s="46" t="s">
        <v>251</v>
      </c>
      <c r="R6" s="21" t="s">
        <v>252</v>
      </c>
    </row>
    <row r="7" spans="1:19" ht="35.1" customHeight="1">
      <c r="A7" s="18"/>
      <c r="B7" s="375"/>
      <c r="C7" s="374"/>
      <c r="D7" s="18"/>
      <c r="F7" s="19">
        <f>F4</f>
        <v>856821</v>
      </c>
      <c r="H7" s="22"/>
      <c r="I7" s="16">
        <f>SUM(I10:I17)</f>
        <v>30000</v>
      </c>
      <c r="K7" s="23"/>
      <c r="L7" s="16">
        <f>SUM(L10:L85)+SUM(R13:R29)</f>
        <v>813631</v>
      </c>
      <c r="M7" s="23"/>
      <c r="O7" s="47">
        <f>O4</f>
        <v>141000</v>
      </c>
      <c r="R7" s="19">
        <v>0</v>
      </c>
    </row>
    <row r="8" spans="1:19" ht="40.5" customHeight="1">
      <c r="B8" s="59" t="s">
        <v>247</v>
      </c>
      <c r="C8" s="60">
        <f>C6-F7</f>
        <v>984631</v>
      </c>
      <c r="F8" s="13"/>
    </row>
    <row r="9" spans="1:19" ht="9.9" customHeight="1">
      <c r="F9" s="13"/>
      <c r="H9" s="22"/>
      <c r="I9" s="24"/>
      <c r="K9" s="23"/>
      <c r="L9" s="25"/>
      <c r="M9" s="23"/>
      <c r="N9" s="23"/>
      <c r="O9" s="25"/>
      <c r="P9" s="23"/>
    </row>
    <row r="10" spans="1:19" ht="35.1" customHeight="1">
      <c r="F10" s="13"/>
      <c r="H10" s="22"/>
      <c r="I10" s="21" t="s">
        <v>253</v>
      </c>
      <c r="K10" s="23"/>
      <c r="L10" s="368" t="s">
        <v>199</v>
      </c>
      <c r="M10" s="26"/>
      <c r="N10" s="27"/>
      <c r="O10" s="368" t="s">
        <v>254</v>
      </c>
      <c r="P10" s="23"/>
    </row>
    <row r="11" spans="1:19" ht="35.1" customHeight="1">
      <c r="B11" s="12" t="s">
        <v>255</v>
      </c>
      <c r="C11" s="62">
        <f>C3-C6</f>
        <v>-192631</v>
      </c>
      <c r="F11" s="13"/>
      <c r="H11" s="22"/>
      <c r="I11" s="16">
        <v>2000</v>
      </c>
      <c r="K11" s="23"/>
      <c r="L11" s="44">
        <f>SUM(O10:O14)</f>
        <v>19500</v>
      </c>
      <c r="M11" s="28"/>
      <c r="N11" s="28"/>
      <c r="O11" s="29">
        <v>11000</v>
      </c>
      <c r="P11" s="23"/>
    </row>
    <row r="12" spans="1:19" ht="9.9" customHeight="1">
      <c r="F12" s="13"/>
      <c r="H12" s="22"/>
      <c r="I12" s="24"/>
      <c r="K12" s="23"/>
      <c r="L12" s="25"/>
      <c r="M12" s="23"/>
      <c r="N12" s="30"/>
      <c r="O12" s="25"/>
      <c r="P12" s="23"/>
      <c r="Q12" s="23"/>
      <c r="R12" s="25"/>
      <c r="S12" s="23"/>
    </row>
    <row r="13" spans="1:19" ht="35.1" customHeight="1">
      <c r="F13" s="13"/>
      <c r="H13" s="22"/>
      <c r="I13" s="21" t="s">
        <v>256</v>
      </c>
      <c r="K13" s="23"/>
      <c r="L13" s="25"/>
      <c r="M13" s="23"/>
      <c r="N13" s="31"/>
      <c r="O13" s="368" t="s">
        <v>257</v>
      </c>
      <c r="P13" s="23"/>
      <c r="Q13" s="23"/>
      <c r="R13" s="61" t="s">
        <v>258</v>
      </c>
      <c r="S13" s="23"/>
    </row>
    <row r="14" spans="1:19" ht="35.1" customHeight="1">
      <c r="F14" s="13"/>
      <c r="H14" s="22"/>
      <c r="I14" s="16">
        <v>25000</v>
      </c>
      <c r="K14" s="23"/>
      <c r="L14" s="25"/>
      <c r="M14" s="23"/>
      <c r="N14" s="23"/>
      <c r="O14" s="29">
        <v>8500</v>
      </c>
      <c r="P14" s="23"/>
      <c r="Q14" s="23"/>
      <c r="R14" s="44">
        <v>60000</v>
      </c>
      <c r="S14" s="23"/>
    </row>
    <row r="15" spans="1:19" ht="9.9" customHeight="1">
      <c r="F15" s="13"/>
      <c r="H15" s="22"/>
      <c r="I15" s="24"/>
      <c r="K15" s="23"/>
      <c r="L15" s="25"/>
      <c r="M15" s="23"/>
      <c r="N15" s="23"/>
      <c r="O15" s="25"/>
      <c r="P15" s="23"/>
      <c r="Q15" s="23"/>
      <c r="R15" s="25"/>
      <c r="S15" s="23"/>
    </row>
    <row r="16" spans="1:19" ht="35.1" customHeight="1">
      <c r="F16" s="13"/>
      <c r="H16" s="22"/>
      <c r="I16" s="368" t="s">
        <v>259</v>
      </c>
      <c r="K16" s="23"/>
      <c r="L16" s="368" t="s">
        <v>260</v>
      </c>
      <c r="M16" s="32"/>
      <c r="N16" s="27"/>
      <c r="O16" s="21" t="s">
        <v>261</v>
      </c>
      <c r="P16" s="23"/>
      <c r="Q16" s="23"/>
      <c r="R16" s="368" t="s">
        <v>262</v>
      </c>
      <c r="S16" s="23"/>
    </row>
    <row r="17" spans="8:19" ht="35.1" customHeight="1">
      <c r="H17" s="22"/>
      <c r="I17" s="16">
        <v>3000</v>
      </c>
      <c r="K17" s="23"/>
      <c r="L17" s="16">
        <f>SUM(O16:O34)</f>
        <v>62113</v>
      </c>
      <c r="M17" s="23"/>
      <c r="N17" s="33"/>
      <c r="O17" s="29">
        <v>8000</v>
      </c>
      <c r="P17" s="34"/>
      <c r="Q17" s="23"/>
      <c r="R17" s="35">
        <v>10340</v>
      </c>
      <c r="S17" s="23"/>
    </row>
    <row r="18" spans="8:19" ht="9.9" customHeight="1">
      <c r="H18" s="22"/>
      <c r="I18" s="36"/>
      <c r="K18" s="23"/>
      <c r="L18" s="37"/>
      <c r="M18" s="23"/>
      <c r="N18" s="30"/>
      <c r="O18" s="25"/>
      <c r="P18" s="23"/>
      <c r="Q18" s="23"/>
      <c r="R18" s="38"/>
      <c r="S18" s="23"/>
    </row>
    <row r="19" spans="8:19" ht="35.1" customHeight="1">
      <c r="K19" s="34"/>
      <c r="L19" s="25"/>
      <c r="M19" s="23"/>
      <c r="N19" s="31"/>
      <c r="O19" s="21" t="s">
        <v>263</v>
      </c>
      <c r="P19" s="23"/>
      <c r="Q19" s="23"/>
      <c r="R19" s="21" t="s">
        <v>264</v>
      </c>
      <c r="S19" s="23"/>
    </row>
    <row r="20" spans="8:19" ht="35.1" customHeight="1">
      <c r="K20" s="23"/>
      <c r="L20" s="25"/>
      <c r="M20" s="23"/>
      <c r="N20" s="30"/>
      <c r="O20" s="29">
        <v>9256</v>
      </c>
      <c r="P20" s="23"/>
      <c r="Q20" s="23"/>
      <c r="R20" s="16">
        <v>5000</v>
      </c>
      <c r="S20" s="39"/>
    </row>
    <row r="21" spans="8:19" ht="9.9" customHeight="1">
      <c r="K21" s="23"/>
      <c r="L21" s="25"/>
      <c r="M21" s="23"/>
      <c r="N21" s="30"/>
      <c r="O21" s="25"/>
      <c r="P21" s="23"/>
      <c r="Q21" s="23"/>
      <c r="R21" s="38"/>
      <c r="S21" s="23"/>
    </row>
    <row r="22" spans="8:19" ht="35.1" customHeight="1">
      <c r="K22" s="23"/>
      <c r="L22" s="25"/>
      <c r="M22" s="23"/>
      <c r="N22" s="31"/>
      <c r="O22" s="21" t="s">
        <v>265</v>
      </c>
      <c r="P22" s="23"/>
      <c r="Q22" s="23"/>
      <c r="R22" s="21" t="s">
        <v>266</v>
      </c>
      <c r="S22" s="23"/>
    </row>
    <row r="23" spans="8:19" ht="35.1" customHeight="1">
      <c r="K23" s="23"/>
      <c r="L23" s="25"/>
      <c r="M23" s="23"/>
      <c r="N23" s="30"/>
      <c r="O23" s="29">
        <f>5978+419+2016+12257</f>
        <v>20670</v>
      </c>
      <c r="P23" s="23"/>
      <c r="Q23" s="23"/>
      <c r="R23" s="16">
        <v>10000</v>
      </c>
      <c r="S23" s="39"/>
    </row>
    <row r="24" spans="8:19" ht="9.9" customHeight="1">
      <c r="K24" s="23"/>
      <c r="L24" s="25"/>
      <c r="M24" s="23"/>
      <c r="N24" s="30"/>
      <c r="O24" s="25"/>
      <c r="P24" s="23"/>
      <c r="Q24" s="23"/>
      <c r="R24" s="38"/>
      <c r="S24" s="23"/>
    </row>
    <row r="25" spans="8:19" ht="35.1" customHeight="1">
      <c r="K25" s="23"/>
      <c r="L25" s="25"/>
      <c r="M25" s="23"/>
      <c r="N25" s="31"/>
      <c r="O25" s="21" t="s">
        <v>267</v>
      </c>
      <c r="P25" s="23"/>
      <c r="Q25" s="23"/>
      <c r="R25" s="21" t="s">
        <v>268</v>
      </c>
      <c r="S25" s="23"/>
    </row>
    <row r="26" spans="8:19" ht="35.1" customHeight="1">
      <c r="K26" s="23"/>
      <c r="L26" s="25"/>
      <c r="M26" s="23"/>
      <c r="N26" s="30"/>
      <c r="O26" s="29">
        <v>12912</v>
      </c>
      <c r="P26" s="23"/>
      <c r="Q26" s="23"/>
      <c r="R26" s="16">
        <f>1451+740</f>
        <v>2191</v>
      </c>
      <c r="S26" s="39"/>
    </row>
    <row r="27" spans="8:19" ht="9.9" customHeight="1">
      <c r="K27" s="23"/>
      <c r="L27" s="25"/>
      <c r="M27" s="23"/>
      <c r="N27" s="30"/>
      <c r="O27" s="25"/>
      <c r="P27" s="23"/>
      <c r="Q27" s="23"/>
      <c r="R27" s="25"/>
      <c r="S27" s="23"/>
    </row>
    <row r="28" spans="8:19" ht="35.1" customHeight="1">
      <c r="K28" s="23"/>
      <c r="L28" s="25"/>
      <c r="M28" s="23"/>
      <c r="N28" s="31"/>
      <c r="O28" s="21" t="s">
        <v>269</v>
      </c>
      <c r="P28" s="23"/>
      <c r="Q28" s="23"/>
      <c r="R28" s="21" t="s">
        <v>270</v>
      </c>
      <c r="S28" s="23"/>
    </row>
    <row r="29" spans="8:19" ht="35.1" customHeight="1">
      <c r="K29" s="23"/>
      <c r="L29" s="25"/>
      <c r="M29" s="23"/>
      <c r="N29" s="30"/>
      <c r="O29" s="29"/>
      <c r="P29" s="23"/>
      <c r="Q29" s="23"/>
      <c r="R29" s="16">
        <v>11520</v>
      </c>
      <c r="S29" s="39" t="s">
        <v>271</v>
      </c>
    </row>
    <row r="30" spans="8:19" ht="9.9" customHeight="1">
      <c r="K30" s="23"/>
      <c r="L30" s="25"/>
      <c r="M30" s="23"/>
      <c r="N30" s="30"/>
      <c r="O30" s="25"/>
      <c r="P30" s="23"/>
      <c r="Q30" s="23"/>
      <c r="R30" s="25"/>
      <c r="S30" s="23"/>
    </row>
    <row r="31" spans="8:19" ht="35.1" customHeight="1">
      <c r="K31" s="23"/>
      <c r="L31" s="25"/>
      <c r="M31" s="23"/>
      <c r="N31" s="31"/>
      <c r="O31" s="21" t="s">
        <v>272</v>
      </c>
      <c r="P31" s="23"/>
    </row>
    <row r="32" spans="8:19" ht="35.1" customHeight="1">
      <c r="K32" s="23"/>
      <c r="L32" s="25"/>
      <c r="M32" s="23"/>
      <c r="N32" s="40"/>
      <c r="O32" s="29">
        <v>8100</v>
      </c>
      <c r="P32" s="39" t="s">
        <v>273</v>
      </c>
    </row>
    <row r="33" spans="11:16" ht="35.1" customHeight="1">
      <c r="K33" s="23"/>
      <c r="L33" s="25"/>
      <c r="M33" s="23"/>
      <c r="N33" s="41"/>
      <c r="O33" s="29">
        <v>2095</v>
      </c>
      <c r="P33" s="39" t="s">
        <v>274</v>
      </c>
    </row>
    <row r="34" spans="11:16" ht="35.1" customHeight="1">
      <c r="K34" s="23"/>
      <c r="L34" s="25"/>
      <c r="M34" s="23"/>
      <c r="N34" s="41"/>
      <c r="O34" s="29">
        <v>1080</v>
      </c>
      <c r="P34" s="39" t="s">
        <v>275</v>
      </c>
    </row>
    <row r="35" spans="11:16" ht="9.9" customHeight="1">
      <c r="K35" s="23"/>
      <c r="L35" s="25"/>
      <c r="M35" s="23"/>
      <c r="N35" s="23"/>
      <c r="O35" s="25"/>
      <c r="P35" s="23"/>
    </row>
    <row r="36" spans="11:16" ht="35.1" customHeight="1">
      <c r="K36" s="23"/>
      <c r="L36" s="368" t="s">
        <v>276</v>
      </c>
      <c r="M36" s="26"/>
      <c r="N36" s="27"/>
      <c r="O36" s="21" t="s">
        <v>277</v>
      </c>
      <c r="P36" s="23"/>
    </row>
    <row r="37" spans="11:16" ht="35.1" customHeight="1">
      <c r="K37" s="23"/>
      <c r="L37" s="16">
        <f>SUM(O36:O40)</f>
        <v>19000</v>
      </c>
      <c r="M37" s="28"/>
      <c r="N37" s="28"/>
      <c r="O37" s="45">
        <v>9500</v>
      </c>
      <c r="P37" s="23"/>
    </row>
    <row r="38" spans="11:16" ht="9.9" customHeight="1">
      <c r="K38" s="23"/>
      <c r="L38" s="25"/>
      <c r="M38" s="23"/>
      <c r="N38" s="30"/>
      <c r="O38" s="25"/>
      <c r="P38" s="23"/>
    </row>
    <row r="39" spans="11:16" ht="35.1" customHeight="1">
      <c r="K39" s="23"/>
      <c r="L39" s="25"/>
      <c r="M39" s="23"/>
      <c r="N39" s="31"/>
      <c r="O39" s="21" t="s">
        <v>278</v>
      </c>
      <c r="P39" s="39"/>
    </row>
    <row r="40" spans="11:16" ht="35.1" customHeight="1">
      <c r="K40" s="23"/>
      <c r="L40" s="25"/>
      <c r="M40" s="23"/>
      <c r="N40" s="23"/>
      <c r="O40" s="45">
        <v>9500</v>
      </c>
      <c r="P40" s="39" t="s">
        <v>279</v>
      </c>
    </row>
    <row r="41" spans="11:16" ht="9.9" customHeight="1">
      <c r="K41" s="23"/>
      <c r="L41" s="25"/>
      <c r="M41" s="23"/>
      <c r="N41" s="23"/>
      <c r="O41" s="25"/>
      <c r="P41" s="23"/>
    </row>
    <row r="42" spans="11:16" ht="35.1" customHeight="1">
      <c r="K42" s="23"/>
      <c r="L42" s="368" t="s">
        <v>229</v>
      </c>
      <c r="M42" s="23"/>
      <c r="N42" s="23"/>
      <c r="O42" s="368" t="s">
        <v>280</v>
      </c>
      <c r="P42" s="23"/>
    </row>
    <row r="43" spans="11:16" ht="35.1" customHeight="1">
      <c r="K43" s="23"/>
      <c r="L43" s="16">
        <f>SUM(O43)</f>
        <v>3500</v>
      </c>
      <c r="M43" s="28"/>
      <c r="N43" s="40"/>
      <c r="O43" s="29">
        <v>3500</v>
      </c>
      <c r="P43" s="23"/>
    </row>
    <row r="44" spans="11:16" ht="9.9" customHeight="1">
      <c r="K44" s="23"/>
      <c r="L44" s="25"/>
      <c r="M44" s="23"/>
      <c r="N44" s="23"/>
      <c r="O44" s="25"/>
      <c r="P44" s="23"/>
    </row>
    <row r="45" spans="11:16" ht="35.1" customHeight="1">
      <c r="K45" s="23"/>
      <c r="L45" s="46" t="s">
        <v>281</v>
      </c>
      <c r="M45" s="26"/>
      <c r="N45" s="27"/>
      <c r="O45" s="46" t="s">
        <v>282</v>
      </c>
      <c r="P45" s="23"/>
    </row>
    <row r="46" spans="11:16" ht="35.1" customHeight="1">
      <c r="K46" s="23"/>
      <c r="L46" s="54">
        <f>SUM(O45:O49)</f>
        <v>45363</v>
      </c>
      <c r="M46" s="28"/>
      <c r="N46" s="28"/>
      <c r="O46" s="53">
        <f>(84348+45540)/900*300</f>
        <v>43296</v>
      </c>
      <c r="P46" s="23"/>
    </row>
    <row r="47" spans="11:16" ht="9.9" customHeight="1">
      <c r="K47" s="23"/>
      <c r="L47" s="25"/>
      <c r="M47" s="23"/>
      <c r="N47" s="30"/>
      <c r="O47" s="25"/>
      <c r="P47" s="23"/>
    </row>
    <row r="48" spans="11:16" ht="35.1" customHeight="1">
      <c r="K48" s="23"/>
      <c r="L48" s="25"/>
      <c r="M48" s="23"/>
      <c r="N48" s="31"/>
      <c r="O48" s="52" t="s">
        <v>283</v>
      </c>
      <c r="P48" s="23"/>
    </row>
    <row r="49" spans="11:16" ht="35.1" customHeight="1">
      <c r="K49" s="23"/>
      <c r="L49" s="25"/>
      <c r="M49" s="23"/>
      <c r="N49" s="23"/>
      <c r="O49" s="53">
        <v>2067</v>
      </c>
      <c r="P49" s="23"/>
    </row>
    <row r="50" spans="11:16" ht="9.9" customHeight="1">
      <c r="K50" s="23"/>
      <c r="L50" s="25"/>
      <c r="M50" s="23"/>
      <c r="N50" s="23"/>
      <c r="O50" s="25"/>
      <c r="P50" s="23"/>
    </row>
    <row r="51" spans="11:16" ht="35.1" customHeight="1">
      <c r="K51" s="23"/>
      <c r="L51" s="50" t="s">
        <v>284</v>
      </c>
      <c r="M51" s="32"/>
      <c r="N51" s="55" t="s">
        <v>285</v>
      </c>
      <c r="O51" s="21" t="s">
        <v>286</v>
      </c>
      <c r="P51" s="23"/>
    </row>
    <row r="52" spans="11:16" ht="35.1" customHeight="1">
      <c r="K52" s="23"/>
      <c r="L52" s="51">
        <v>353900</v>
      </c>
      <c r="M52" s="23"/>
      <c r="N52" s="56"/>
      <c r="O52" s="29"/>
      <c r="P52" s="23"/>
    </row>
    <row r="53" spans="11:16" ht="9.9" customHeight="1">
      <c r="K53" s="23"/>
      <c r="L53" s="25"/>
      <c r="M53" s="23"/>
      <c r="N53" s="57"/>
      <c r="O53" s="25"/>
      <c r="P53" s="23"/>
    </row>
    <row r="54" spans="11:16" ht="35.1" customHeight="1">
      <c r="K54" s="23"/>
      <c r="L54" s="25"/>
      <c r="M54" s="23"/>
      <c r="N54" s="58" t="s">
        <v>285</v>
      </c>
      <c r="O54" s="21" t="s">
        <v>287</v>
      </c>
      <c r="P54" s="23"/>
    </row>
    <row r="55" spans="11:16" ht="35.1" customHeight="1">
      <c r="K55" s="23"/>
      <c r="L55" s="25"/>
      <c r="M55" s="23"/>
      <c r="N55" s="57"/>
      <c r="O55" s="29"/>
      <c r="P55" s="23"/>
    </row>
    <row r="56" spans="11:16" ht="9.9" customHeight="1">
      <c r="K56" s="23"/>
      <c r="L56" s="25"/>
      <c r="M56" s="23"/>
      <c r="N56" s="57"/>
      <c r="O56" s="25"/>
      <c r="P56" s="23"/>
    </row>
    <row r="57" spans="11:16" ht="35.1" customHeight="1">
      <c r="K57" s="23"/>
      <c r="L57" s="25"/>
      <c r="M57" s="23"/>
      <c r="N57" s="58" t="s">
        <v>285</v>
      </c>
      <c r="O57" s="21" t="s">
        <v>288</v>
      </c>
      <c r="P57" s="23"/>
    </row>
    <row r="58" spans="11:16" ht="35.1" customHeight="1">
      <c r="K58" s="23"/>
      <c r="L58" s="25"/>
      <c r="M58" s="23"/>
      <c r="N58" s="57"/>
      <c r="O58" s="29"/>
      <c r="P58" s="23"/>
    </row>
    <row r="59" spans="11:16" ht="9.9" customHeight="1">
      <c r="K59" s="23"/>
      <c r="L59" s="25"/>
      <c r="M59" s="23"/>
      <c r="N59" s="57"/>
      <c r="O59" s="25"/>
      <c r="P59" s="23"/>
    </row>
    <row r="60" spans="11:16" ht="35.1" customHeight="1">
      <c r="K60" s="23"/>
      <c r="L60" s="25"/>
      <c r="M60" s="23"/>
      <c r="N60" s="58" t="s">
        <v>289</v>
      </c>
      <c r="O60" s="21" t="s">
        <v>290</v>
      </c>
      <c r="P60" s="23"/>
    </row>
    <row r="61" spans="11:16" ht="35.1" customHeight="1">
      <c r="K61" s="23"/>
      <c r="L61" s="25"/>
      <c r="M61" s="23"/>
      <c r="N61" s="57"/>
      <c r="O61" s="29"/>
      <c r="P61" s="23"/>
    </row>
    <row r="62" spans="11:16" ht="9.9" customHeight="1">
      <c r="K62" s="23"/>
      <c r="L62" s="25"/>
      <c r="M62" s="23"/>
      <c r="N62" s="57"/>
      <c r="O62" s="25"/>
      <c r="P62" s="23"/>
    </row>
    <row r="63" spans="11:16" ht="35.1" customHeight="1">
      <c r="K63" s="23"/>
      <c r="L63" s="25"/>
      <c r="M63" s="23"/>
      <c r="N63" s="58" t="s">
        <v>289</v>
      </c>
      <c r="O63" s="21" t="s">
        <v>291</v>
      </c>
      <c r="P63" s="23"/>
    </row>
    <row r="64" spans="11:16" ht="35.1" customHeight="1">
      <c r="K64" s="23"/>
      <c r="L64" s="25"/>
      <c r="M64" s="23"/>
      <c r="N64" s="57"/>
      <c r="O64" s="29"/>
      <c r="P64" s="23"/>
    </row>
    <row r="65" spans="11:16" ht="9.9" customHeight="1">
      <c r="K65" s="23"/>
      <c r="L65" s="25"/>
      <c r="M65" s="23"/>
      <c r="N65" s="57"/>
      <c r="O65" s="25"/>
      <c r="P65" s="23"/>
    </row>
    <row r="66" spans="11:16" ht="35.1" customHeight="1">
      <c r="K66" s="23"/>
      <c r="L66" s="25"/>
      <c r="M66" s="23"/>
      <c r="N66" s="58" t="s">
        <v>289</v>
      </c>
      <c r="O66" s="21" t="s">
        <v>292</v>
      </c>
      <c r="P66" s="23"/>
    </row>
    <row r="67" spans="11:16" ht="35.1" customHeight="1">
      <c r="K67" s="23"/>
      <c r="L67" s="25"/>
      <c r="M67" s="23"/>
      <c r="N67" s="57"/>
      <c r="O67" s="29"/>
      <c r="P67" s="23"/>
    </row>
    <row r="68" spans="11:16" ht="9.9" customHeight="1">
      <c r="K68" s="23"/>
      <c r="L68" s="25"/>
      <c r="M68" s="23"/>
      <c r="N68" s="57"/>
      <c r="O68" s="25"/>
      <c r="P68" s="23"/>
    </row>
    <row r="69" spans="11:16" ht="35.1" customHeight="1">
      <c r="K69" s="23"/>
      <c r="L69" s="25"/>
      <c r="M69" s="23"/>
      <c r="N69" s="58" t="s">
        <v>289</v>
      </c>
      <c r="O69" s="21" t="s">
        <v>293</v>
      </c>
      <c r="P69" s="23"/>
    </row>
    <row r="70" spans="11:16" ht="35.1" customHeight="1">
      <c r="K70" s="23"/>
      <c r="L70" s="25"/>
      <c r="M70" s="23"/>
      <c r="N70" s="57"/>
      <c r="O70" s="29"/>
      <c r="P70" s="39" t="s">
        <v>294</v>
      </c>
    </row>
    <row r="71" spans="11:16" ht="9.9" customHeight="1">
      <c r="K71" s="23"/>
      <c r="L71" s="25"/>
      <c r="M71" s="23"/>
      <c r="N71" s="57"/>
      <c r="O71" s="25"/>
      <c r="P71" s="23"/>
    </row>
    <row r="72" spans="11:16" ht="35.1" customHeight="1">
      <c r="K72" s="23"/>
      <c r="L72" s="25"/>
      <c r="M72" s="23"/>
      <c r="N72" s="58" t="s">
        <v>289</v>
      </c>
      <c r="O72" s="21" t="s">
        <v>288</v>
      </c>
      <c r="P72" s="30"/>
    </row>
    <row r="73" spans="11:16" ht="35.1" customHeight="1">
      <c r="K73" s="23"/>
      <c r="L73" s="25"/>
      <c r="M73" s="23"/>
      <c r="N73" s="23"/>
      <c r="O73" s="29"/>
      <c r="P73" s="30"/>
    </row>
    <row r="74" spans="11:16" ht="9.9" customHeight="1">
      <c r="K74" s="23"/>
      <c r="L74" s="25"/>
      <c r="M74" s="23"/>
      <c r="N74" s="23"/>
      <c r="O74" s="25"/>
      <c r="P74" s="23"/>
    </row>
    <row r="75" spans="11:16" ht="35.1" customHeight="1">
      <c r="K75" s="23"/>
      <c r="L75" s="21" t="s">
        <v>295</v>
      </c>
      <c r="M75" s="32"/>
      <c r="N75" s="27"/>
      <c r="O75" s="21" t="s">
        <v>296</v>
      </c>
      <c r="P75" s="23"/>
    </row>
    <row r="76" spans="11:16" ht="35.1" customHeight="1">
      <c r="K76" s="23"/>
      <c r="L76" s="16">
        <f>SUM(O75:O82)</f>
        <v>100715</v>
      </c>
      <c r="M76" s="30"/>
      <c r="N76" s="42"/>
      <c r="O76" s="29">
        <f>47895+4200</f>
        <v>52095</v>
      </c>
      <c r="P76" s="23"/>
    </row>
    <row r="77" spans="11:16" ht="9.9" customHeight="1">
      <c r="K77" s="23"/>
      <c r="L77" s="25"/>
      <c r="M77" s="23"/>
      <c r="N77" s="30"/>
      <c r="O77" s="25"/>
      <c r="P77" s="23"/>
    </row>
    <row r="78" spans="11:16" ht="35.1" customHeight="1">
      <c r="K78" s="23"/>
      <c r="L78" s="25"/>
      <c r="M78" s="23"/>
      <c r="N78" s="31"/>
      <c r="O78" s="21" t="s">
        <v>297</v>
      </c>
      <c r="P78" s="23"/>
    </row>
    <row r="79" spans="11:16" ht="35.1" customHeight="1">
      <c r="K79" s="23"/>
      <c r="L79" s="25"/>
      <c r="M79" s="23"/>
      <c r="N79" s="30"/>
      <c r="O79" s="29">
        <f>45056</f>
        <v>45056</v>
      </c>
      <c r="P79" s="23"/>
    </row>
    <row r="80" spans="11:16" ht="9.9" customHeight="1">
      <c r="K80" s="23"/>
      <c r="L80" s="25"/>
      <c r="M80" s="23"/>
      <c r="N80" s="30"/>
      <c r="O80" s="25"/>
      <c r="P80" s="23"/>
    </row>
    <row r="81" spans="11:16" ht="35.1" customHeight="1">
      <c r="K81" s="23"/>
      <c r="L81" s="25"/>
      <c r="M81" s="23"/>
      <c r="N81" s="31"/>
      <c r="O81" s="21" t="s">
        <v>298</v>
      </c>
      <c r="P81" s="23"/>
    </row>
    <row r="82" spans="11:16" ht="35.1" customHeight="1">
      <c r="K82" s="23"/>
      <c r="L82" s="25"/>
      <c r="M82" s="23"/>
      <c r="N82" s="23"/>
      <c r="O82" s="29">
        <f>1404+2160</f>
        <v>3564</v>
      </c>
      <c r="P82" s="23"/>
    </row>
    <row r="83" spans="11:16" ht="9.9" customHeight="1">
      <c r="K83" s="23"/>
      <c r="L83" s="25"/>
      <c r="M83" s="23"/>
      <c r="N83" s="23"/>
      <c r="O83" s="25"/>
      <c r="P83" s="23"/>
    </row>
    <row r="84" spans="11:16" ht="35.1" customHeight="1">
      <c r="K84" s="23"/>
      <c r="L84" s="21" t="s">
        <v>299</v>
      </c>
      <c r="M84" s="26"/>
      <c r="N84" s="27"/>
      <c r="O84" s="46" t="s">
        <v>300</v>
      </c>
      <c r="P84" s="23"/>
    </row>
    <row r="85" spans="11:16" ht="34.5" customHeight="1">
      <c r="K85" s="23"/>
      <c r="L85" s="16">
        <f>SUM(O84:O96)</f>
        <v>110489</v>
      </c>
      <c r="M85" s="28"/>
      <c r="N85" s="28"/>
      <c r="O85" s="53">
        <f>(84348+45540)/900*600</f>
        <v>86592</v>
      </c>
      <c r="P85" s="23"/>
    </row>
    <row r="86" spans="11:16" ht="9.9" customHeight="1">
      <c r="K86" s="23"/>
      <c r="L86" s="25"/>
      <c r="M86" s="23"/>
      <c r="N86" s="30"/>
      <c r="O86" s="25"/>
      <c r="P86" s="23"/>
    </row>
    <row r="87" spans="11:16" ht="35.1" customHeight="1">
      <c r="K87" s="23"/>
      <c r="L87" s="25"/>
      <c r="M87" s="23"/>
      <c r="N87" s="31"/>
      <c r="O87" s="21" t="s">
        <v>301</v>
      </c>
      <c r="P87" s="23"/>
    </row>
    <row r="88" spans="11:16" ht="35.1" customHeight="1">
      <c r="K88" s="23"/>
      <c r="L88" s="25"/>
      <c r="M88" s="23"/>
      <c r="N88" s="42"/>
      <c r="O88" s="29">
        <f>214+6264+1698+4956+358</f>
        <v>13490</v>
      </c>
      <c r="P88" s="23"/>
    </row>
    <row r="89" spans="11:16" ht="9.9" customHeight="1">
      <c r="K89" s="23"/>
      <c r="L89" s="25"/>
      <c r="M89" s="23"/>
      <c r="N89" s="30"/>
      <c r="O89" s="25"/>
      <c r="P89" s="23"/>
    </row>
    <row r="90" spans="11:16" ht="35.1" customHeight="1">
      <c r="K90" s="23"/>
      <c r="L90" s="25"/>
      <c r="M90" s="23"/>
      <c r="N90" s="31"/>
      <c r="O90" s="21" t="s">
        <v>302</v>
      </c>
      <c r="P90" s="23"/>
    </row>
    <row r="91" spans="11:16" ht="35.1" customHeight="1">
      <c r="K91" s="23"/>
      <c r="L91" s="25"/>
      <c r="M91" s="23"/>
      <c r="N91" s="28"/>
      <c r="O91" s="29">
        <f>2306+1557</f>
        <v>3863</v>
      </c>
      <c r="P91" s="23"/>
    </row>
    <row r="92" spans="11:16" ht="9.9" customHeight="1">
      <c r="K92" s="23"/>
      <c r="L92" s="25"/>
      <c r="M92" s="23"/>
      <c r="N92" s="30"/>
      <c r="O92" s="25"/>
      <c r="P92" s="23"/>
    </row>
    <row r="93" spans="11:16" ht="35.1" customHeight="1">
      <c r="K93" s="23"/>
      <c r="L93" s="25"/>
      <c r="M93" s="23"/>
      <c r="N93" s="31"/>
      <c r="O93" s="21" t="s">
        <v>303</v>
      </c>
      <c r="P93" s="23"/>
    </row>
    <row r="94" spans="11:16" ht="35.1" customHeight="1">
      <c r="K94" s="23"/>
      <c r="L94" s="25"/>
      <c r="M94" s="23"/>
      <c r="N94" s="40"/>
      <c r="O94" s="29">
        <v>2000</v>
      </c>
      <c r="P94" s="43" t="s">
        <v>304</v>
      </c>
    </row>
    <row r="95" spans="11:16" ht="35.1" customHeight="1">
      <c r="K95" s="23"/>
      <c r="L95" s="25"/>
      <c r="M95" s="23"/>
      <c r="N95" s="41"/>
      <c r="O95" s="29">
        <v>2700</v>
      </c>
      <c r="P95" s="39" t="s">
        <v>305</v>
      </c>
    </row>
    <row r="96" spans="11:16" ht="35.1" customHeight="1">
      <c r="K96" s="23"/>
      <c r="L96" s="25"/>
      <c r="M96" s="23"/>
      <c r="N96" s="41"/>
      <c r="O96" s="29">
        <v>1844</v>
      </c>
      <c r="P96" s="39" t="s">
        <v>306</v>
      </c>
    </row>
  </sheetData>
  <mergeCells count="4">
    <mergeCell ref="B3:B4"/>
    <mergeCell ref="C3:C4"/>
    <mergeCell ref="B6:B7"/>
    <mergeCell ref="C6:C7"/>
  </mergeCells>
  <phoneticPr fontId="1"/>
  <printOptions horizontalCentered="1" verticalCentered="1" headings="1"/>
  <pageMargins left="0.70866141732283472" right="0.70866141732283472" top="0.74803149606299213" bottom="0.35433070866141736" header="0.31496062992125984" footer="0.11811023622047245"/>
  <pageSetup paperSize="8" scale="41" orientation="portrait" r:id="rId1"/>
  <headerFooter>
    <oddHeader>&amp;C&amp;20Ｒ５年度　祭礼　予算シミュレーション&amp;R&amp;20&amp;D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3416-9D5D-445F-846B-8D58477D07DE}">
  <dimension ref="A2:D27"/>
  <sheetViews>
    <sheetView workbookViewId="0">
      <selection activeCell="J33" sqref="J33"/>
    </sheetView>
  </sheetViews>
  <sheetFormatPr defaultRowHeight="18"/>
  <cols>
    <col min="1" max="1" width="3.5" customWidth="1"/>
    <col min="2" max="2" width="29.3984375" bestFit="1" customWidth="1"/>
    <col min="3" max="3" width="17.19921875" bestFit="1" customWidth="1"/>
  </cols>
  <sheetData>
    <row r="2" spans="1:4">
      <c r="A2" s="8" t="s">
        <v>307</v>
      </c>
      <c r="D2" s="9" t="s">
        <v>308</v>
      </c>
    </row>
    <row r="3" spans="1:4">
      <c r="B3" s="1" t="s">
        <v>309</v>
      </c>
      <c r="C3" s="1" t="s">
        <v>310</v>
      </c>
      <c r="D3" s="3">
        <v>1565</v>
      </c>
    </row>
    <row r="4" spans="1:4">
      <c r="B4" s="5" t="s">
        <v>311</v>
      </c>
      <c r="C4" s="4" t="s">
        <v>312</v>
      </c>
      <c r="D4" s="3">
        <v>26000</v>
      </c>
    </row>
    <row r="5" spans="1:4">
      <c r="B5" s="1" t="s">
        <v>313</v>
      </c>
      <c r="C5" s="1" t="s">
        <v>310</v>
      </c>
      <c r="D5" s="3">
        <v>4020</v>
      </c>
    </row>
    <row r="6" spans="1:4">
      <c r="B6" s="5" t="s">
        <v>314</v>
      </c>
      <c r="C6" s="4" t="s">
        <v>315</v>
      </c>
      <c r="D6" s="3">
        <v>6238</v>
      </c>
    </row>
    <row r="7" spans="1:4">
      <c r="B7" s="5" t="s">
        <v>316</v>
      </c>
      <c r="C7" s="4" t="s">
        <v>317</v>
      </c>
      <c r="D7" s="3">
        <v>20200</v>
      </c>
    </row>
    <row r="8" spans="1:4">
      <c r="B8" s="5" t="s">
        <v>318</v>
      </c>
      <c r="C8" s="4" t="s">
        <v>317</v>
      </c>
      <c r="D8" s="3">
        <v>400</v>
      </c>
    </row>
    <row r="9" spans="1:4">
      <c r="B9" s="5" t="s">
        <v>319</v>
      </c>
      <c r="C9" s="4" t="s">
        <v>320</v>
      </c>
      <c r="D9" s="3">
        <v>3675</v>
      </c>
    </row>
    <row r="10" spans="1:4">
      <c r="B10" s="5" t="s">
        <v>321</v>
      </c>
      <c r="C10" s="4" t="s">
        <v>322</v>
      </c>
      <c r="D10" s="3">
        <v>103122</v>
      </c>
    </row>
    <row r="11" spans="1:4">
      <c r="B11" s="5" t="s">
        <v>323</v>
      </c>
      <c r="C11" s="4" t="s">
        <v>324</v>
      </c>
      <c r="D11" s="3">
        <v>33760</v>
      </c>
    </row>
    <row r="12" spans="1:4">
      <c r="C12" s="10" t="s">
        <v>325</v>
      </c>
      <c r="D12" s="3">
        <f>SUM(D3:D11)</f>
        <v>198980</v>
      </c>
    </row>
    <row r="13" spans="1:4">
      <c r="A13" s="8"/>
    </row>
    <row r="14" spans="1:4">
      <c r="A14" s="8" t="s">
        <v>326</v>
      </c>
      <c r="D14" s="9" t="s">
        <v>308</v>
      </c>
    </row>
    <row r="15" spans="1:4">
      <c r="B15" s="1" t="s">
        <v>327</v>
      </c>
      <c r="C15" s="2" t="s">
        <v>328</v>
      </c>
      <c r="D15" s="3">
        <v>13696</v>
      </c>
    </row>
    <row r="16" spans="1:4">
      <c r="B16" s="1" t="s">
        <v>329</v>
      </c>
      <c r="C16" s="2" t="s">
        <v>315</v>
      </c>
      <c r="D16" s="3">
        <v>13405</v>
      </c>
    </row>
    <row r="17" spans="2:4">
      <c r="B17" s="1" t="s">
        <v>330</v>
      </c>
      <c r="C17" s="2" t="s">
        <v>331</v>
      </c>
      <c r="D17" s="3">
        <v>10300</v>
      </c>
    </row>
    <row r="18" spans="2:4">
      <c r="B18" s="1" t="s">
        <v>332</v>
      </c>
      <c r="C18" s="4" t="s">
        <v>315</v>
      </c>
      <c r="D18" s="3">
        <v>952</v>
      </c>
    </row>
    <row r="19" spans="2:4">
      <c r="B19" s="1" t="s">
        <v>333</v>
      </c>
      <c r="C19" s="2" t="s">
        <v>312</v>
      </c>
      <c r="D19" s="3">
        <v>24000</v>
      </c>
    </row>
    <row r="20" spans="2:4">
      <c r="B20" s="1" t="s">
        <v>334</v>
      </c>
      <c r="C20" s="2" t="s">
        <v>335</v>
      </c>
      <c r="D20" s="3">
        <v>57240</v>
      </c>
    </row>
    <row r="21" spans="2:4" ht="32.4">
      <c r="B21" s="7" t="s">
        <v>336</v>
      </c>
      <c r="C21" s="2" t="s">
        <v>320</v>
      </c>
      <c r="D21" s="3">
        <v>13150</v>
      </c>
    </row>
    <row r="22" spans="2:4">
      <c r="B22" s="1" t="s">
        <v>337</v>
      </c>
      <c r="C22" s="2" t="s">
        <v>338</v>
      </c>
      <c r="D22" s="3">
        <v>4320</v>
      </c>
    </row>
    <row r="23" spans="2:4">
      <c r="B23" s="1" t="s">
        <v>339</v>
      </c>
      <c r="C23" s="2" t="s">
        <v>335</v>
      </c>
      <c r="D23" s="3">
        <v>4500</v>
      </c>
    </row>
    <row r="24" spans="2:4">
      <c r="C24" s="10" t="s">
        <v>325</v>
      </c>
      <c r="D24" s="3">
        <f>SUM(D15:D23)</f>
        <v>141563</v>
      </c>
    </row>
    <row r="26" spans="2:4">
      <c r="B26" s="6" t="s">
        <v>340</v>
      </c>
    </row>
    <row r="27" spans="2:4">
      <c r="B27" s="6" t="s">
        <v>341</v>
      </c>
    </row>
  </sheetData>
  <phoneticPr fontId="1"/>
  <pageMargins left="0.7" right="0.7" top="0.75" bottom="0.75" header="0.3" footer="0.3"/>
  <pageSetup paperSize="9" orientation="portrait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</vt:i4>
      </vt:variant>
    </vt:vector>
  </HeadingPairs>
  <TitlesOfParts>
    <vt:vector size="11" baseType="lpstr">
      <vt:lpstr>①宵宮祭rev.H</vt:lpstr>
      <vt:lpstr>②本祭rev.H</vt:lpstr>
      <vt:lpstr>①宵宮祭rev.G</vt:lpstr>
      <vt:lpstr>②本祭rev.G</vt:lpstr>
      <vt:lpstr>R6 収支計画</vt:lpstr>
      <vt:lpstr>R5年度祭礼予算計画シミュレーション</vt:lpstr>
      <vt:lpstr>実績メモ</vt:lpstr>
      <vt:lpstr>①宵宮祭rev.G!Print_Area</vt:lpstr>
      <vt:lpstr>①宵宮祭rev.H!Print_Area</vt:lpstr>
      <vt:lpstr>②本祭rev.G!Print_Area</vt:lpstr>
      <vt:lpstr>②本祭rev.H!Print_Area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橋本岳</dc:creator>
  <cp:keywords/>
  <dc:description/>
  <cp:lastModifiedBy>hashimoto takeshi(橋本 岳 ＴＥＴＣ ○シス本□ＳＷ技○ＳＷ１)</cp:lastModifiedBy>
  <cp:revision/>
  <cp:lastPrinted>2026-07-17T08:01:19Z</cp:lastPrinted>
  <dcterms:created xsi:type="dcterms:W3CDTF">2015-06-05T18:19:34Z</dcterms:created>
  <dcterms:modified xsi:type="dcterms:W3CDTF">2026-07-17T08:13:11Z</dcterms:modified>
  <cp:category/>
  <cp:contentStatus/>
</cp:coreProperties>
</file>