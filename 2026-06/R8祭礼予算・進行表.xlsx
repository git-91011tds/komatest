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d.docs.live.net/951bde4d8205714a/ドキュメント/komatest/2026-06/"/>
    </mc:Choice>
  </mc:AlternateContent>
  <xr:revisionPtr revIDLastSave="409" documentId="13_ncr:1_{EB2810D8-5F57-42E7-B973-900053979827}" xr6:coauthVersionLast="47" xr6:coauthVersionMax="47" xr10:uidLastSave="{93F4EF44-F6E5-4B0A-B241-E622A2013E53}"/>
  <bookViews>
    <workbookView xWindow="3675" yWindow="210" windowWidth="20085" windowHeight="14730" tabRatio="807" activeTab="1" xr2:uid="{00000000-000D-0000-FFFF-FFFF00000000}"/>
  </bookViews>
  <sheets>
    <sheet name="①宵宮祭rev.D" sheetId="29" r:id="rId1"/>
    <sheet name="②本祭rev.D" sheetId="30" r:id="rId2"/>
    <sheet name="R6 収支計画" sheetId="26" r:id="rId3"/>
    <sheet name="R5年度祭礼予算計画シミュレーション" sheetId="1" r:id="rId4"/>
    <sheet name="実績メモ" sheetId="2" r:id="rId5"/>
  </sheets>
  <definedNames>
    <definedName name="_xlnm.Print_Area" localSheetId="0">'①宵宮祭rev.D'!$A$1:$K$62</definedName>
    <definedName name="_xlnm.Print_Area" localSheetId="1">'②本祭rev.D'!$A$1:$K$62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26" l="1"/>
  <c r="B19" i="26"/>
  <c r="B18" i="26"/>
  <c r="B17" i="26"/>
  <c r="B32" i="26"/>
  <c r="B10" i="26"/>
  <c r="B21" i="26"/>
  <c r="B13" i="26"/>
  <c r="B8" i="26"/>
  <c r="B31" i="26"/>
  <c r="B30" i="26"/>
  <c r="B29" i="26"/>
  <c r="B28" i="26"/>
  <c r="B27" i="26"/>
  <c r="B26" i="26"/>
  <c r="B25" i="26"/>
  <c r="B24" i="26"/>
  <c r="B23" i="26"/>
  <c r="B14" i="26"/>
  <c r="B9" i="26"/>
  <c r="B11" i="26"/>
  <c r="B22" i="26"/>
  <c r="B12" i="26"/>
  <c r="B15" i="26"/>
  <c r="B16" i="26"/>
  <c r="B7" i="26"/>
  <c r="B6" i="26"/>
  <c r="B5" i="26"/>
  <c r="B4" i="26"/>
  <c r="B3" i="26"/>
  <c r="D30" i="26"/>
  <c r="D31" i="26" s="1"/>
  <c r="F6" i="26" l="1"/>
  <c r="F3" i="26"/>
  <c r="F30" i="26" l="1"/>
  <c r="F31" i="26" s="1"/>
  <c r="F32" i="26" s="1"/>
  <c r="C8" i="1" l="1"/>
  <c r="C5" i="1"/>
  <c r="L46" i="1"/>
  <c r="O85" i="1" l="1"/>
  <c r="O46" i="1"/>
  <c r="L11" i="1" l="1"/>
  <c r="L17" i="1"/>
  <c r="L37" i="1"/>
  <c r="L43" i="1"/>
  <c r="L76" i="1"/>
  <c r="L85" i="1"/>
  <c r="R26" i="1"/>
  <c r="O82" i="1"/>
  <c r="O76" i="1"/>
  <c r="O79" i="1"/>
  <c r="O88" i="1"/>
  <c r="O91" i="1"/>
  <c r="O23" i="1"/>
  <c r="I7" i="1"/>
  <c r="C3" i="1"/>
  <c r="O7" i="1"/>
  <c r="D24" i="2"/>
  <c r="D12" i="2"/>
  <c r="F7" i="1" l="1"/>
  <c r="L7" i="1" l="1"/>
  <c r="C6" i="1" l="1"/>
  <c r="C11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橋本岳</author>
    <author>橋本　岳</author>
  </authors>
  <commentList>
    <comment ref="C6" authorId="0" shapeId="0" xr:uid="{FD5F95F8-9B16-4BF7-9C96-748946F6DEE7}">
      <text>
        <r>
          <rPr>
            <b/>
            <sz val="10"/>
            <color indexed="81"/>
            <rFont val="BIZ UDPゴシック"/>
            <family val="3"/>
            <charset val="128"/>
          </rPr>
          <t>・伊藤大樹（代表）
・佐野竜斗
・佐野翔斗
・橋本雲千代 ※土曜不在
・稲橋完久朗　（交通）</t>
        </r>
      </text>
    </comment>
    <comment ref="G6" authorId="1" shapeId="0" xr:uid="{4D8BDFDA-1344-47F4-B570-E10DF7B11A8D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タオルの持ち帰り
　※配布は翌日です。
</t>
        </r>
      </text>
    </comment>
    <comment ref="C10" authorId="1" shapeId="0" xr:uid="{066576C3-10B4-4953-9D2C-91C2502372F7}">
      <text>
        <r>
          <rPr>
            <b/>
            <sz val="10"/>
            <color indexed="81"/>
            <rFont val="BIZ UDPゴシック"/>
            <family val="3"/>
            <charset val="128"/>
          </rPr>
          <t>②御仮屋設営、飾りつけ
　　駒寄、南郷、二丁目　（各２名）</t>
        </r>
      </text>
    </comment>
    <comment ref="F14" authorId="0" shapeId="0" xr:uid="{D70BFC1C-14D4-49E7-B972-46D3754A3AA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10時までに
・山車の移動（行政センター➡駒寄会館）
・神輿／山車の最終点検
　（電飾：大野）</t>
        </r>
      </text>
    </comment>
    <comment ref="F15" authorId="0" shapeId="0" xr:uid="{63A5E411-0CB8-4EE7-A16F-EDC487C4F401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 連合３町内の接待
10:30～11:00
【駒寄神輿長ほか２名】
　　皆ヶ作、南郷、一丁目への挨拶まわり</t>
        </r>
      </text>
    </comment>
    <comment ref="F21" authorId="1" shapeId="0" xr:uid="{4EF34D89-EAAB-49CF-96EB-9E909FF20DC8}">
      <text>
        <r>
          <rPr>
            <b/>
            <sz val="10"/>
            <color indexed="81"/>
            <rFont val="BIZ UDPゴシック"/>
            <family val="3"/>
            <charset val="128"/>
          </rPr>
          <t>宮司が各町内に出向き
御神輿修祓、安全祈願</t>
        </r>
      </text>
    </comment>
    <comment ref="I23" authorId="0" shapeId="0" xr:uid="{89B2D0CD-4E40-4778-8337-2D0C41DF1318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【大野】山車の配置
　：会館脇に
【少年部】ジャグほか準備</t>
        </r>
      </text>
    </comment>
    <comment ref="E26" authorId="1" shapeId="0" xr:uid="{07B65722-CB06-47A2-B1AE-54A89B9B6854}">
      <text>
        <r>
          <rPr>
            <b/>
            <sz val="10"/>
            <color indexed="81"/>
            <rFont val="BIZ UDPゴシック"/>
            <family val="3"/>
            <charset val="128"/>
          </rPr>
          <t xml:space="preserve">15:45
【神社神輿担ぎ手】駒寄会館に集合
</t>
        </r>
      </text>
    </comment>
    <comment ref="C30" authorId="1" shapeId="0" xr:uid="{1412EF6F-90AB-4F50-8A41-F08D8444D974}">
      <text>
        <r>
          <rPr>
            <b/>
            <sz val="10"/>
            <color indexed="81"/>
            <rFont val="BIZ UDPゴシック"/>
            <family val="3"/>
            <charset val="128"/>
          </rPr>
          <t>【青壮年部】
神社神輿　宮出しお手伝い（神社～）</t>
        </r>
      </text>
    </comment>
    <comment ref="F36" authorId="0" shapeId="0" xr:uid="{E83B52B1-624A-4C48-B377-5F6BD66CF2CB}">
      <text>
        <r>
          <rPr>
            <b/>
            <sz val="10"/>
            <color indexed="81"/>
            <rFont val="BIZ UDPゴシック"/>
            <family val="3"/>
            <charset val="128"/>
          </rPr>
          <t>神輿長：武藤親弘</t>
        </r>
        <r>
          <rPr>
            <b/>
            <sz val="9"/>
            <color indexed="81"/>
            <rFont val="BIZ UDPゴシック"/>
            <family val="3"/>
            <charset val="128"/>
          </rPr>
          <t>、（副）伊藤大樹、松村英治</t>
        </r>
        <r>
          <rPr>
            <b/>
            <sz val="10"/>
            <color indexed="81"/>
            <rFont val="BIZ UDPゴシック"/>
            <family val="3"/>
            <charset val="128"/>
          </rPr>
          <t xml:space="preserve">
子供神輿長：杉山（少年部部長）
山車長：大野、（担当）井岡、ほか少年部
警護長：青山、</t>
        </r>
        <r>
          <rPr>
            <b/>
            <sz val="9"/>
            <color indexed="81"/>
            <rFont val="BIZ UDPゴシック"/>
            <family val="3"/>
            <charset val="128"/>
          </rPr>
          <t>（副）松川、高橋則篤、佐久間明</t>
        </r>
      </text>
    </comment>
    <comment ref="I36" authorId="0" shapeId="0" xr:uid="{CAB2AC08-EF1D-4148-BA17-6B2C726520F2}">
      <text>
        <r>
          <rPr>
            <b/>
            <sz val="10"/>
            <color indexed="81"/>
            <rFont val="BIZ UDPゴシック"/>
            <family val="3"/>
            <charset val="128"/>
          </rPr>
          <t>【少年部】お菓子配布</t>
        </r>
      </text>
    </comment>
    <comment ref="F40" authorId="0" shapeId="0" xr:uid="{89A54C4B-8EF5-445C-B3DE-5E5F4E4E1636}">
      <text>
        <r>
          <rPr>
            <b/>
            <sz val="10"/>
            <color indexed="81"/>
            <rFont val="BIZ UDPゴシック"/>
            <family val="3"/>
            <charset val="128"/>
          </rPr>
          <t>Ｒ８年の担当は
【駒寄】です</t>
        </r>
      </text>
    </comment>
    <comment ref="I42" authorId="0" shapeId="0" xr:uid="{206E7DA7-F629-4130-AA3F-423723BA5EB4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49" authorId="0" shapeId="0" xr:uid="{6B5E31D6-60CF-43C2-B08A-1C0E5F59B87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  <comment ref="F52" authorId="0" shapeId="0" xr:uid="{504A3EFF-1746-406E-9478-8698E4146735}">
      <text>
        <r>
          <rPr>
            <b/>
            <sz val="10"/>
            <color indexed="81"/>
            <rFont val="BIZ UDPゴシック"/>
            <family val="3"/>
            <charset val="128"/>
          </rPr>
          <t>【祭礼役員】リヤカー
・ジャグ（小）×１, 
紙コップ、ゴミ袋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橋本　岳</author>
    <author>橋本岳</author>
  </authors>
  <commentList>
    <comment ref="C9" authorId="0" shapeId="0" xr:uid="{FCB0B204-D09A-4BBE-86F7-3B0BC962C516}">
      <text>
        <r>
          <rPr>
            <b/>
            <sz val="10"/>
            <color indexed="81"/>
            <rFont val="BIZ UDPゴシック"/>
            <family val="3"/>
            <charset val="128"/>
          </rPr>
          <t>出御後、御仮屋撤去作業
（駒寄、南郷、二丁目）各２名</t>
        </r>
      </text>
    </comment>
    <comment ref="I12" authorId="1" shapeId="0" xr:uid="{53ABE54E-8C74-4CBF-900D-8D9943610A87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【少年部】ジャグほか準備</t>
        </r>
      </text>
    </comment>
    <comment ref="C18" authorId="0" shapeId="0" xr:uid="{802055E0-072A-4F98-B338-3470F8848E2E}">
      <text>
        <r>
          <rPr>
            <b/>
            <sz val="10"/>
            <color indexed="81"/>
            <rFont val="BIZ UDPゴシック"/>
            <family val="3"/>
            <charset val="128"/>
          </rPr>
          <t>神輿台持ち：駒寄⑦～⑨</t>
        </r>
      </text>
    </comment>
    <comment ref="D21" authorId="0" shapeId="0" xr:uid="{DF317ADA-B287-453D-ADE8-53BFAC05CB31}">
      <text>
        <r>
          <rPr>
            <b/>
            <sz val="12"/>
            <color indexed="81"/>
            <rFont val="BIZ UDPゴシック"/>
            <family val="3"/>
            <charset val="128"/>
          </rPr>
          <t>11:40 集合　遅刻厳禁</t>
        </r>
      </text>
    </comment>
    <comment ref="D22" authorId="1" shapeId="0" xr:uid="{74CD0C19-446E-4DCA-B1F0-07C2091872F4}">
      <text>
        <r>
          <rPr>
            <b/>
            <sz val="10"/>
            <color indexed="81"/>
            <rFont val="BIZ UDPゴシック"/>
            <family val="3"/>
            <charset val="128"/>
          </rPr>
          <t>11:50頃
　 駒寄会館前にて
　「神輿くぐり」　受付</t>
        </r>
      </text>
    </comment>
    <comment ref="I32" authorId="1" shapeId="0" xr:uid="{A2B55912-5DFC-4009-8B23-CEB36DFDB615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【大野】山車の運航
【少年部】山車の準備
 ・ジャグほか準備</t>
        </r>
      </text>
    </comment>
    <comment ref="I43" authorId="1" shapeId="0" xr:uid="{15518343-3925-4C8D-9CA1-5AB624FCF572}">
      <text>
        <r>
          <rPr>
            <b/>
            <sz val="10"/>
            <color indexed="81"/>
            <rFont val="BIZ UDPゴシック"/>
            <family val="3"/>
            <charset val="128"/>
          </rPr>
          <t>　【少年部】お菓子配布</t>
        </r>
      </text>
    </comment>
    <comment ref="D47" authorId="0" shapeId="0" xr:uid="{EB24DAC1-8223-4C2C-872F-EBF943E485FE}">
      <text>
        <r>
          <rPr>
            <b/>
            <sz val="10"/>
            <color indexed="81"/>
            <rFont val="BIZ UDPゴシック"/>
            <family val="3"/>
            <charset val="128"/>
          </rPr>
          <t>16:00～16:30
【青壮年部】
　神社神輿　宮入りのお手伝い
　（ごはん亭～神社）　</t>
        </r>
      </text>
    </comment>
    <comment ref="I57" authorId="1" shapeId="0" xr:uid="{6A814242-2443-4C8A-A2F7-7081844B6E7E}">
      <text>
        <r>
          <rPr>
            <b/>
            <sz val="10"/>
            <color indexed="81"/>
            <rFont val="BIZ UDPゴシック"/>
            <family val="3"/>
            <charset val="128"/>
          </rPr>
          <t>【大野】山車の移動</t>
        </r>
      </text>
    </comment>
    <comment ref="F59" authorId="1" shapeId="0" xr:uid="{05B5169B-CC65-48D9-A149-C587126FD790}">
      <text>
        <r>
          <rPr>
            <b/>
            <sz val="10"/>
            <color indexed="81"/>
            <rFont val="BIZ UDPゴシック"/>
            <family val="3"/>
            <charset val="128"/>
          </rPr>
          <t>お風呂券の配布</t>
        </r>
      </text>
    </comment>
  </commentList>
</comments>
</file>

<file path=xl/sharedStrings.xml><?xml version="1.0" encoding="utf-8"?>
<sst xmlns="http://schemas.openxmlformats.org/spreadsheetml/2006/main" count="443" uniqueCount="334">
  <si>
    <t>収入</t>
    <rPh sb="0" eb="2">
      <t>シュウニュウ</t>
    </rPh>
    <phoneticPr fontId="1"/>
  </si>
  <si>
    <t>支出</t>
    <rPh sb="0" eb="2">
      <t>シシュツ</t>
    </rPh>
    <phoneticPr fontId="1"/>
  </si>
  <si>
    <t>前年度繰越金</t>
    <rPh sb="0" eb="3">
      <t>ゼンネンド</t>
    </rPh>
    <rPh sb="3" eb="6">
      <t>クリコシキン</t>
    </rPh>
    <phoneticPr fontId="1"/>
  </si>
  <si>
    <t>会員寄付金</t>
    <rPh sb="0" eb="2">
      <t>カイイン</t>
    </rPh>
    <rPh sb="2" eb="5">
      <t>キフキン</t>
    </rPh>
    <phoneticPr fontId="1"/>
  </si>
  <si>
    <t>奉納金</t>
    <rPh sb="0" eb="3">
      <t>ホウノウキン</t>
    </rPh>
    <phoneticPr fontId="1"/>
  </si>
  <si>
    <t>門付け</t>
    <rPh sb="0" eb="2">
      <t>カドヅ</t>
    </rPh>
    <phoneticPr fontId="1"/>
  </si>
  <si>
    <t>保存会支援</t>
    <rPh sb="0" eb="3">
      <t>ホゾンカイ</t>
    </rPh>
    <rPh sb="3" eb="5">
      <t>シエン</t>
    </rPh>
    <phoneticPr fontId="1"/>
  </si>
  <si>
    <t>祭礼用具</t>
    <rPh sb="0" eb="2">
      <t>サイレイ</t>
    </rPh>
    <rPh sb="2" eb="4">
      <t>ヨウグ</t>
    </rPh>
    <phoneticPr fontId="1"/>
  </si>
  <si>
    <t>少年部諸費用</t>
    <rPh sb="0" eb="2">
      <t>ショウネン</t>
    </rPh>
    <rPh sb="2" eb="3">
      <t>ブ</t>
    </rPh>
    <rPh sb="3" eb="4">
      <t>ショ</t>
    </rPh>
    <rPh sb="4" eb="6">
      <t>ヒヨウ</t>
    </rPh>
    <phoneticPr fontId="1"/>
  </si>
  <si>
    <t>次年度繰越金</t>
    <rPh sb="0" eb="3">
      <t>ジネンド</t>
    </rPh>
    <rPh sb="3" eb="5">
      <t>クリコシ</t>
    </rPh>
    <rPh sb="5" eb="6">
      <t>キン</t>
    </rPh>
    <phoneticPr fontId="1"/>
  </si>
  <si>
    <t>門付け分配金</t>
    <rPh sb="0" eb="2">
      <t>カドヅ</t>
    </rPh>
    <rPh sb="3" eb="5">
      <t>ブンパイ</t>
    </rPh>
    <rPh sb="5" eb="6">
      <t>キン</t>
    </rPh>
    <phoneticPr fontId="1"/>
  </si>
  <si>
    <t>お供物</t>
    <phoneticPr fontId="1"/>
  </si>
  <si>
    <t>ビール券 10</t>
    <rPh sb="3" eb="4">
      <t>ケン</t>
    </rPh>
    <phoneticPr fontId="1"/>
  </si>
  <si>
    <t>その他</t>
    <rPh sb="2" eb="3">
      <t>タ</t>
    </rPh>
    <phoneticPr fontId="1"/>
  </si>
  <si>
    <t>消耗品</t>
    <rPh sb="0" eb="3">
      <t>ショウモウヒン</t>
    </rPh>
    <phoneticPr fontId="1"/>
  </si>
  <si>
    <t>乾電池</t>
    <rPh sb="0" eb="3">
      <t>カンデンチ</t>
    </rPh>
    <phoneticPr fontId="1"/>
  </si>
  <si>
    <t>緒綬(おぶさ)</t>
    <rPh sb="0" eb="1">
      <t>オ</t>
    </rPh>
    <rPh sb="1" eb="2">
      <t>ジュ</t>
    </rPh>
    <phoneticPr fontId="1"/>
  </si>
  <si>
    <t>祭礼準備／片付</t>
    <rPh sb="0" eb="2">
      <t>サイレイ</t>
    </rPh>
    <rPh sb="2" eb="4">
      <t>ジュンビ</t>
    </rPh>
    <rPh sb="5" eb="7">
      <t>カタヅ</t>
    </rPh>
    <phoneticPr fontId="1"/>
  </si>
  <si>
    <t>祭礼役員昼食　30</t>
    <phoneticPr fontId="1"/>
  </si>
  <si>
    <t>駒寄反省会</t>
    <phoneticPr fontId="1"/>
  </si>
  <si>
    <t>食材費他</t>
    <rPh sb="0" eb="2">
      <t>ショクザイ</t>
    </rPh>
    <rPh sb="2" eb="3">
      <t>ヒ</t>
    </rPh>
    <rPh sb="3" eb="4">
      <t>タ</t>
    </rPh>
    <phoneticPr fontId="4"/>
  </si>
  <si>
    <t>イオン</t>
    <phoneticPr fontId="4"/>
  </si>
  <si>
    <t>米、豆腐他</t>
    <rPh sb="0" eb="1">
      <t>コメ</t>
    </rPh>
    <rPh sb="2" eb="4">
      <t>トウフ</t>
    </rPh>
    <rPh sb="4" eb="5">
      <t>タ</t>
    </rPh>
    <phoneticPr fontId="4"/>
  </si>
  <si>
    <t>セブンイレブン</t>
    <phoneticPr fontId="4"/>
  </si>
  <si>
    <t>食材各種</t>
    <rPh sb="0" eb="2">
      <t>ショクザイ</t>
    </rPh>
    <rPh sb="2" eb="4">
      <t>カクシュ</t>
    </rPh>
    <phoneticPr fontId="4"/>
  </si>
  <si>
    <t>京急ストア追浜店</t>
    <rPh sb="0" eb="2">
      <t>ケイキュウ</t>
    </rPh>
    <rPh sb="5" eb="8">
      <t>オッパマテン</t>
    </rPh>
    <phoneticPr fontId="4"/>
  </si>
  <si>
    <t>たまご</t>
    <phoneticPr fontId="4"/>
  </si>
  <si>
    <t>巻き物　12</t>
    <rPh sb="0" eb="1">
      <t>マ</t>
    </rPh>
    <rPh sb="2" eb="3">
      <t>モノ</t>
    </rPh>
    <phoneticPr fontId="4"/>
  </si>
  <si>
    <t>いさみ鮨</t>
    <rPh sb="3" eb="4">
      <t>スシ</t>
    </rPh>
    <phoneticPr fontId="4"/>
  </si>
  <si>
    <t>岡本肉店</t>
    <rPh sb="0" eb="2">
      <t>オカモト</t>
    </rPh>
    <rPh sb="2" eb="4">
      <t>ニクテン</t>
    </rPh>
    <phoneticPr fontId="4"/>
  </si>
  <si>
    <t>オードブル他</t>
    <rPh sb="5" eb="6">
      <t>タ</t>
    </rPh>
    <phoneticPr fontId="4"/>
  </si>
  <si>
    <t>魚広</t>
    <rPh sb="0" eb="1">
      <t>ウオ</t>
    </rPh>
    <rPh sb="1" eb="2">
      <t>ヒロ</t>
    </rPh>
    <phoneticPr fontId="4"/>
  </si>
  <si>
    <t>たくあん</t>
    <phoneticPr fontId="4"/>
  </si>
  <si>
    <t>八百武</t>
    <rPh sb="0" eb="3">
      <t>ヤオタケ</t>
    </rPh>
    <phoneticPr fontId="4"/>
  </si>
  <si>
    <t>令和元年度（2019年度）</t>
    <rPh sb="0" eb="2">
      <t>レイワ</t>
    </rPh>
    <rPh sb="2" eb="4">
      <t>ガンネン</t>
    </rPh>
    <rPh sb="3" eb="4">
      <t>ネン</t>
    </rPh>
    <rPh sb="4" eb="5">
      <t>ド</t>
    </rPh>
    <rPh sb="10" eb="12">
      <t>ネンド</t>
    </rPh>
    <phoneticPr fontId="1"/>
  </si>
  <si>
    <t>平成25年度（2013年度）</t>
    <rPh sb="0" eb="2">
      <t>ヘイセイ</t>
    </rPh>
    <rPh sb="4" eb="5">
      <t>ネン</t>
    </rPh>
    <rPh sb="5" eb="6">
      <t>ド</t>
    </rPh>
    <rPh sb="11" eb="13">
      <t>ネンド</t>
    </rPh>
    <phoneticPr fontId="1"/>
  </si>
  <si>
    <t>宵宮用　乾き物</t>
    <rPh sb="0" eb="2">
      <t>ヨイミヤ</t>
    </rPh>
    <rPh sb="2" eb="3">
      <t>ヨウ</t>
    </rPh>
    <rPh sb="4" eb="5">
      <t>カワ</t>
    </rPh>
    <rPh sb="6" eb="7">
      <t>モノ</t>
    </rPh>
    <phoneticPr fontId="4"/>
  </si>
  <si>
    <t>京急ストア船越店</t>
    <rPh sb="0" eb="2">
      <t>ケイキュウ</t>
    </rPh>
    <rPh sb="5" eb="8">
      <t>フナコシテン</t>
    </rPh>
    <phoneticPr fontId="4"/>
  </si>
  <si>
    <t>宵宮用　巻物寿司　13</t>
    <rPh sb="0" eb="2">
      <t>ヨイミヤ</t>
    </rPh>
    <rPh sb="2" eb="3">
      <t>ヨウ</t>
    </rPh>
    <rPh sb="4" eb="6">
      <t>マキモノ</t>
    </rPh>
    <rPh sb="6" eb="8">
      <t>スシ</t>
    </rPh>
    <phoneticPr fontId="4"/>
  </si>
  <si>
    <t>ほんだし、味噌、茶菓子</t>
    <rPh sb="5" eb="7">
      <t>ミソ</t>
    </rPh>
    <rPh sb="8" eb="11">
      <t>チャガシ</t>
    </rPh>
    <phoneticPr fontId="4"/>
  </si>
  <si>
    <t>評議員さん作業時のお茶菓子</t>
    <rPh sb="0" eb="3">
      <t>ヒョウギイン</t>
    </rPh>
    <rPh sb="5" eb="7">
      <t>サギョウ</t>
    </rPh>
    <rPh sb="7" eb="8">
      <t>ジ</t>
    </rPh>
    <rPh sb="10" eb="13">
      <t>チャガシ</t>
    </rPh>
    <phoneticPr fontId="4"/>
  </si>
  <si>
    <t>野菜各種</t>
    <rPh sb="0" eb="2">
      <t>ヤサイ</t>
    </rPh>
    <rPh sb="2" eb="4">
      <t>カクシュ</t>
    </rPh>
    <phoneticPr fontId="4"/>
  </si>
  <si>
    <t>やおぎん</t>
    <phoneticPr fontId="4"/>
  </si>
  <si>
    <t>タクアン追加分</t>
    <rPh sb="4" eb="7">
      <t>ツイカブン</t>
    </rPh>
    <phoneticPr fontId="4"/>
  </si>
  <si>
    <t>ちくわ、さつま揚げ、こんにゃく</t>
    <rPh sb="7" eb="8">
      <t>ア</t>
    </rPh>
    <phoneticPr fontId="4"/>
  </si>
  <si>
    <t>食品各種</t>
    <rPh sb="0" eb="2">
      <t>ショクヒン</t>
    </rPh>
    <rPh sb="2" eb="4">
      <t>カクシュ</t>
    </rPh>
    <phoneticPr fontId="4"/>
  </si>
  <si>
    <t>やました</t>
    <phoneticPr fontId="4"/>
  </si>
  <si>
    <t>コロッケ他つまみ</t>
    <rPh sb="4" eb="5">
      <t>タ</t>
    </rPh>
    <phoneticPr fontId="4"/>
  </si>
  <si>
    <t>岡本肉店</t>
    <rPh sb="0" eb="2">
      <t>オカモト</t>
    </rPh>
    <rPh sb="2" eb="3">
      <t>ニク</t>
    </rPh>
    <rPh sb="3" eb="4">
      <t>テン</t>
    </rPh>
    <phoneticPr fontId="4"/>
  </si>
  <si>
    <t>コロッケ75個</t>
    <rPh sb="6" eb="7">
      <t>コ</t>
    </rPh>
    <phoneticPr fontId="4"/>
  </si>
  <si>
    <t>はんぺん、ちくわ、こんにゃく
氷</t>
    <rPh sb="15" eb="16">
      <t>コオリ</t>
    </rPh>
    <phoneticPr fontId="4"/>
  </si>
  <si>
    <t>(円)</t>
    <rPh sb="1" eb="2">
      <t>エン</t>
    </rPh>
    <phoneticPr fontId="1"/>
  </si>
  <si>
    <t>合計：</t>
    <rPh sb="0" eb="2">
      <t>ゴウケイ</t>
    </rPh>
    <phoneticPr fontId="1"/>
  </si>
  <si>
    <t>H25年度の町内寄付金=518,000円。令和元年度の町内寄付金=475,000円。</t>
    <rPh sb="3" eb="5">
      <t>ネンド</t>
    </rPh>
    <rPh sb="6" eb="8">
      <t>チョウナイ</t>
    </rPh>
    <rPh sb="8" eb="10">
      <t>キフ</t>
    </rPh>
    <rPh sb="10" eb="11">
      <t>キン</t>
    </rPh>
    <rPh sb="19" eb="20">
      <t>エン</t>
    </rPh>
    <rPh sb="21" eb="23">
      <t>レイワ</t>
    </rPh>
    <rPh sb="23" eb="25">
      <t>ガンネン</t>
    </rPh>
    <rPh sb="25" eb="26">
      <t>ド</t>
    </rPh>
    <phoneticPr fontId="1"/>
  </si>
  <si>
    <r>
      <t>（H25</t>
    </r>
    <r>
      <rPr>
        <sz val="10"/>
        <color theme="1"/>
        <rFont val="Segoe UI Symbol"/>
        <family val="2"/>
        <charset val="1"/>
      </rPr>
      <t>→</t>
    </r>
    <r>
      <rPr>
        <sz val="10"/>
        <color theme="1"/>
        <rFont val="Yu Gothic"/>
        <family val="2"/>
        <charset val="128"/>
        <scheme val="minor"/>
      </rPr>
      <t>R1で）収入は、47,000円ほど落ち込んでいます。</t>
    </r>
    <rPh sb="9" eb="11">
      <t>シュウニュウ</t>
    </rPh>
    <rPh sb="19" eb="20">
      <t>エン</t>
    </rPh>
    <rPh sb="22" eb="23">
      <t>オ</t>
    </rPh>
    <rPh sb="24" eb="25">
      <t>コ</t>
    </rPh>
    <phoneticPr fontId="1"/>
  </si>
  <si>
    <t>連合渡御・当番</t>
    <rPh sb="0" eb="2">
      <t>レンゴウ</t>
    </rPh>
    <rPh sb="5" eb="7">
      <t>トウバン</t>
    </rPh>
    <phoneticPr fontId="1"/>
  </si>
  <si>
    <t>収支差</t>
    <rPh sb="0" eb="2">
      <t>シュウシ</t>
    </rPh>
    <rPh sb="2" eb="3">
      <t>サ</t>
    </rPh>
    <phoneticPr fontId="1"/>
  </si>
  <si>
    <t>お菓子（少年部）</t>
    <rPh sb="1" eb="3">
      <t>カシ</t>
    </rPh>
    <rPh sb="4" eb="7">
      <t>ショウネンブ</t>
    </rPh>
    <phoneticPr fontId="1"/>
  </si>
  <si>
    <t>土曜</t>
    <rPh sb="0" eb="2">
      <t>ドヨウ</t>
    </rPh>
    <phoneticPr fontId="1"/>
  </si>
  <si>
    <t>日曜</t>
    <rPh sb="0" eb="2">
      <t>ニチヨウ</t>
    </rPh>
    <phoneticPr fontId="1"/>
  </si>
  <si>
    <t>直会</t>
    <rPh sb="0" eb="2">
      <t>ナオライ</t>
    </rPh>
    <phoneticPr fontId="1"/>
  </si>
  <si>
    <t>昼食（少年部）</t>
    <rPh sb="0" eb="2">
      <t>チュウショク</t>
    </rPh>
    <rPh sb="3" eb="5">
      <t>ショウネン</t>
    </rPh>
    <rPh sb="5" eb="6">
      <t>ブ</t>
    </rPh>
    <phoneticPr fontId="1"/>
  </si>
  <si>
    <t>昼食</t>
    <rPh sb="0" eb="2">
      <t>チュウショク</t>
    </rPh>
    <phoneticPr fontId="1"/>
  </si>
  <si>
    <t>渉外費</t>
    <rPh sb="0" eb="2">
      <t>ショウガイ</t>
    </rPh>
    <rPh sb="2" eb="3">
      <t>ヒ</t>
    </rPh>
    <phoneticPr fontId="1"/>
  </si>
  <si>
    <t>変動費</t>
    <rPh sb="0" eb="2">
      <t>ヘンドウ</t>
    </rPh>
    <rPh sb="2" eb="3">
      <t>ヒ</t>
    </rPh>
    <phoneticPr fontId="1"/>
  </si>
  <si>
    <t>道路使用許可（雑費）</t>
    <rPh sb="0" eb="2">
      <t>ドウロ</t>
    </rPh>
    <rPh sb="2" eb="6">
      <t>シヨウキョカ</t>
    </rPh>
    <rPh sb="7" eb="9">
      <t>ザッピ</t>
    </rPh>
    <phoneticPr fontId="1"/>
  </si>
  <si>
    <t>飲食①</t>
    <rPh sb="0" eb="2">
      <t>インショク</t>
    </rPh>
    <phoneticPr fontId="1"/>
  </si>
  <si>
    <t>寄付返礼費</t>
    <rPh sb="0" eb="2">
      <t>キフ</t>
    </rPh>
    <rPh sb="2" eb="4">
      <t>ヘンレイ</t>
    </rPh>
    <rPh sb="4" eb="5">
      <t>ヒ</t>
    </rPh>
    <phoneticPr fontId="1"/>
  </si>
  <si>
    <t>焼酎6・日本酒 1</t>
    <rPh sb="0" eb="2">
      <t>ショウチュウ</t>
    </rPh>
    <rPh sb="4" eb="7">
      <t>ニホンシュ</t>
    </rPh>
    <phoneticPr fontId="1"/>
  </si>
  <si>
    <t>連合渡御・反省会</t>
    <rPh sb="0" eb="2">
      <t>レンゴウ</t>
    </rPh>
    <rPh sb="2" eb="4">
      <t>トギョ</t>
    </rPh>
    <rPh sb="5" eb="7">
      <t>ハンセイ</t>
    </rPh>
    <rPh sb="7" eb="8">
      <t>カイ</t>
    </rPh>
    <phoneticPr fontId="1"/>
  </si>
  <si>
    <t>クリーニング 雑費</t>
    <rPh sb="7" eb="9">
      <t>ザッピ</t>
    </rPh>
    <phoneticPr fontId="1"/>
  </si>
  <si>
    <t>鏡餅・赤飯</t>
    <rPh sb="0" eb="2">
      <t>カガミモチ</t>
    </rPh>
    <rPh sb="3" eb="5">
      <t>セキハン</t>
    </rPh>
    <phoneticPr fontId="1"/>
  </si>
  <si>
    <t>焼酎・日本酒・お茶</t>
    <rPh sb="0" eb="2">
      <t>ショウチュウ</t>
    </rPh>
    <rPh sb="3" eb="6">
      <t>ニホンシュ</t>
    </rPh>
    <rPh sb="8" eb="9">
      <t>チャ</t>
    </rPh>
    <phoneticPr fontId="1"/>
  </si>
  <si>
    <t>飲食②（お酒）</t>
    <rPh sb="0" eb="2">
      <t>インショク</t>
    </rPh>
    <rPh sb="5" eb="6">
      <t>サケ</t>
    </rPh>
    <phoneticPr fontId="1"/>
  </si>
  <si>
    <t>かりがね寿司：中セット×5</t>
    <rPh sb="4" eb="6">
      <t>スシ</t>
    </rPh>
    <rPh sb="7" eb="8">
      <t>チュウ</t>
    </rPh>
    <phoneticPr fontId="1"/>
  </si>
  <si>
    <t>業務スーパ：つまみ類</t>
    <rPh sb="0" eb="2">
      <t>ギョウム</t>
    </rPh>
    <rPh sb="9" eb="10">
      <t>ルイ</t>
    </rPh>
    <phoneticPr fontId="1"/>
  </si>
  <si>
    <t>ローソン：ロックアイス</t>
    <phoneticPr fontId="1"/>
  </si>
  <si>
    <t>三宝（野菜・果物）</t>
    <rPh sb="0" eb="2">
      <t>サンボウ</t>
    </rPh>
    <rPh sb="3" eb="5">
      <t>ヤサイ</t>
    </rPh>
    <rPh sb="6" eb="8">
      <t>クダモノ</t>
    </rPh>
    <phoneticPr fontId="1"/>
  </si>
  <si>
    <t xml:space="preserve">八百武 </t>
    <phoneticPr fontId="1"/>
  </si>
  <si>
    <t>その他 雑費</t>
    <rPh sb="2" eb="3">
      <t>タ</t>
    </rPh>
    <rPh sb="4" eb="6">
      <t>ザッピ</t>
    </rPh>
    <phoneticPr fontId="1"/>
  </si>
  <si>
    <t>はりてる：さらし２反</t>
    <rPh sb="9" eb="10">
      <t>タン</t>
    </rPh>
    <phoneticPr fontId="1"/>
  </si>
  <si>
    <t>すずき金物：平麻６束</t>
    <rPh sb="3" eb="5">
      <t>カナモノ</t>
    </rPh>
    <phoneticPr fontId="1"/>
  </si>
  <si>
    <t>ホームズ：藁縄大巻３分</t>
    <phoneticPr fontId="1"/>
  </si>
  <si>
    <t>田浦と祭礼打合せ会費</t>
    <rPh sb="8" eb="10">
      <t>カイヒ</t>
    </rPh>
    <phoneticPr fontId="1"/>
  </si>
  <si>
    <t>分担金（神社、連合）</t>
    <rPh sb="0" eb="3">
      <t>ブンタンキン</t>
    </rPh>
    <rPh sb="4" eb="6">
      <t>ジンジャ</t>
    </rPh>
    <rPh sb="7" eb="9">
      <t>レンゴウ</t>
    </rPh>
    <phoneticPr fontId="1"/>
  </si>
  <si>
    <t>準備③ 祭礼前日</t>
    <rPh sb="0" eb="2">
      <t>ジュンビ</t>
    </rPh>
    <rPh sb="4" eb="6">
      <t>サイレイ</t>
    </rPh>
    <rPh sb="6" eb="8">
      <t>ゼンジツ</t>
    </rPh>
    <phoneticPr fontId="1"/>
  </si>
  <si>
    <t>６月後半打合せ</t>
    <rPh sb="1" eb="2">
      <t>ガツ</t>
    </rPh>
    <rPh sb="2" eb="4">
      <t>コウハン</t>
    </rPh>
    <phoneticPr fontId="1"/>
  </si>
  <si>
    <t>筆ペンほか</t>
    <rPh sb="0" eb="1">
      <t>フデ</t>
    </rPh>
    <phoneticPr fontId="1"/>
  </si>
  <si>
    <t>ビール 14ケース</t>
    <phoneticPr fontId="1"/>
  </si>
  <si>
    <t>ロックアイス</t>
    <phoneticPr fontId="1"/>
  </si>
  <si>
    <t>蚊取り、ネオパラ 雑費</t>
    <rPh sb="0" eb="2">
      <t>カト</t>
    </rPh>
    <rPh sb="9" eb="11">
      <t>ザッピ</t>
    </rPh>
    <phoneticPr fontId="1"/>
  </si>
  <si>
    <t>（R1）175世帯</t>
    <rPh sb="7" eb="9">
      <t>セタイ</t>
    </rPh>
    <phoneticPr fontId="1"/>
  </si>
  <si>
    <t>準備①（半纏準備時）</t>
    <rPh sb="0" eb="2">
      <t>ジュンビ</t>
    </rPh>
    <rPh sb="4" eb="6">
      <t>ハンテン</t>
    </rPh>
    <rPh sb="6" eb="8">
      <t>ジュンビ</t>
    </rPh>
    <rPh sb="8" eb="9">
      <t>ジ</t>
    </rPh>
    <phoneticPr fontId="1"/>
  </si>
  <si>
    <t>準備② ７月９日</t>
    <rPh sb="0" eb="2">
      <t>ジュンビ</t>
    </rPh>
    <rPh sb="5" eb="6">
      <t>ガツ</t>
    </rPh>
    <rPh sb="7" eb="8">
      <t>ニチ</t>
    </rPh>
    <phoneticPr fontId="1"/>
  </si>
  <si>
    <t>足袋：南郷ヘルプ担ぎ手用</t>
    <rPh sb="3" eb="5">
      <t>ナンゴウ</t>
    </rPh>
    <phoneticPr fontId="1"/>
  </si>
  <si>
    <t>固定費？</t>
    <rPh sb="0" eb="3">
      <t>コテイヒ</t>
    </rPh>
    <phoneticPr fontId="1"/>
  </si>
  <si>
    <t>入浴料 22人分</t>
    <rPh sb="0" eb="2">
      <t>ニュウヨク</t>
    </rPh>
    <rPh sb="6" eb="7">
      <t>ニン</t>
    </rPh>
    <rPh sb="7" eb="8">
      <t>ブン</t>
    </rPh>
    <phoneticPr fontId="1"/>
  </si>
  <si>
    <t>（H25）芳志者28</t>
    <rPh sb="5" eb="7">
      <t>ホウシ</t>
    </rPh>
    <rPh sb="7" eb="8">
      <t>シャ</t>
    </rPh>
    <phoneticPr fontId="1"/>
  </si>
  <si>
    <t>（H25）芳志者32</t>
    <phoneticPr fontId="1"/>
  </si>
  <si>
    <t>（R4）決算書</t>
    <rPh sb="4" eb="7">
      <t>ケッサンショ</t>
    </rPh>
    <phoneticPr fontId="1"/>
  </si>
  <si>
    <t>宵宮・神輿休憩時？</t>
    <rPh sb="3" eb="5">
      <t>ミコシ</t>
    </rPh>
    <rPh sb="5" eb="7">
      <t>キュウケイ</t>
    </rPh>
    <rPh sb="7" eb="8">
      <t>ジ</t>
    </rPh>
    <phoneticPr fontId="1"/>
  </si>
  <si>
    <t>本祭・神輿休憩時？</t>
    <rPh sb="0" eb="1">
      <t>ホン</t>
    </rPh>
    <rPh sb="1" eb="2">
      <t>マツ</t>
    </rPh>
    <rPh sb="3" eb="5">
      <t>ミコシ</t>
    </rPh>
    <rPh sb="5" eb="7">
      <t>キュウケイ</t>
    </rPh>
    <rPh sb="7" eb="8">
      <t>ジ</t>
    </rPh>
    <phoneticPr fontId="1"/>
  </si>
  <si>
    <t xml:space="preserve"> 岡本のコロッケは・・・</t>
    <rPh sb="1" eb="3">
      <t>オカモト</t>
    </rPh>
    <phoneticPr fontId="1"/>
  </si>
  <si>
    <t>片付け・解散</t>
    <phoneticPr fontId="1"/>
  </si>
  <si>
    <t>神社（神輿・山車）</t>
    <rPh sb="6" eb="8">
      <t>ダシ</t>
    </rPh>
    <phoneticPr fontId="1"/>
  </si>
  <si>
    <t>タオル300枚</t>
    <rPh sb="6" eb="7">
      <t>マイ</t>
    </rPh>
    <phoneticPr fontId="1"/>
  </si>
  <si>
    <t>タオル(配布用) 600</t>
    <phoneticPr fontId="1"/>
  </si>
  <si>
    <t>のし、白封筒ほか</t>
    <rPh sb="3" eb="4">
      <t>シロ</t>
    </rPh>
    <rPh sb="4" eb="6">
      <t>フウトウ</t>
    </rPh>
    <phoneticPr fontId="1"/>
  </si>
  <si>
    <t>直会場所提供謝礼</t>
    <rPh sb="0" eb="2">
      <t>ナオライ</t>
    </rPh>
    <rPh sb="2" eb="4">
      <t>バショ</t>
    </rPh>
    <rPh sb="4" eb="6">
      <t>テイキョウ</t>
    </rPh>
    <rPh sb="6" eb="8">
      <t>シャレイ</t>
    </rPh>
    <phoneticPr fontId="1"/>
  </si>
  <si>
    <t>繰越金を除く：</t>
    <rPh sb="0" eb="3">
      <t>クリコシキン</t>
    </rPh>
    <rPh sb="4" eb="5">
      <t>ノゾ</t>
    </rPh>
    <phoneticPr fontId="1"/>
  </si>
  <si>
    <t>祭礼役員　会館集合</t>
    <phoneticPr fontId="1"/>
  </si>
  <si>
    <t>➡</t>
    <phoneticPr fontId="1"/>
  </si>
  <si>
    <t>〓〓〓〓　駒寄 渡御区間　〓〓〓〓</t>
    <rPh sb="5" eb="7">
      <t>コマヨセ</t>
    </rPh>
    <rPh sb="8" eb="10">
      <t>トギョウ</t>
    </rPh>
    <rPh sb="10" eb="12">
      <t>クカン</t>
    </rPh>
    <phoneticPr fontId="1"/>
  </si>
  <si>
    <t>⑤会館到着 （弁当配布・解散）</t>
    <rPh sb="7" eb="9">
      <t>ベントウ</t>
    </rPh>
    <rPh sb="9" eb="11">
      <t>ハイフ</t>
    </rPh>
    <phoneticPr fontId="1"/>
  </si>
  <si>
    <t>大人神輿・中神輿</t>
    <rPh sb="5" eb="6">
      <t>チュウ</t>
    </rPh>
    <rPh sb="6" eb="8">
      <t>ミコシ</t>
    </rPh>
    <phoneticPr fontId="1"/>
  </si>
  <si>
    <t>山車・子供神輿</t>
    <phoneticPr fontId="1"/>
  </si>
  <si>
    <t>役員：ゴザ天日干し</t>
    <rPh sb="0" eb="2">
      <t>ヤクイン</t>
    </rPh>
    <rPh sb="5" eb="8">
      <t>テンピボ</t>
    </rPh>
    <phoneticPr fontId="1"/>
  </si>
  <si>
    <t>会員寄付</t>
    <rPh sb="0" eb="2">
      <t>カイイン</t>
    </rPh>
    <rPh sb="2" eb="4">
      <t>キフ</t>
    </rPh>
    <phoneticPr fontId="1"/>
  </si>
  <si>
    <t>その他寄付</t>
    <rPh sb="2" eb="3">
      <t>タ</t>
    </rPh>
    <rPh sb="3" eb="5">
      <t>キフ</t>
    </rPh>
    <phoneticPr fontId="1"/>
  </si>
  <si>
    <t>次年度繰越金</t>
    <rPh sb="0" eb="3">
      <t>ジネンド</t>
    </rPh>
    <rPh sb="3" eb="6">
      <t>クリコシキン</t>
    </rPh>
    <phoneticPr fontId="1"/>
  </si>
  <si>
    <t>備考</t>
    <rPh sb="0" eb="2">
      <t>ビコウ</t>
    </rPh>
    <phoneticPr fontId="1"/>
  </si>
  <si>
    <t>門付け分配</t>
    <rPh sb="0" eb="2">
      <t>カドヅ</t>
    </rPh>
    <rPh sb="3" eb="5">
      <t>ブンパイ</t>
    </rPh>
    <phoneticPr fontId="1"/>
  </si>
  <si>
    <t>雑収入</t>
    <rPh sb="0" eb="1">
      <t>ザツ</t>
    </rPh>
    <rPh sb="1" eb="3">
      <t>シュウニュウ</t>
    </rPh>
    <phoneticPr fontId="1"/>
  </si>
  <si>
    <t>飲食②（酒）</t>
    <rPh sb="0" eb="2">
      <t>インショク</t>
    </rPh>
    <rPh sb="4" eb="5">
      <t>サケ</t>
    </rPh>
    <phoneticPr fontId="1"/>
  </si>
  <si>
    <t>道路使用許可</t>
    <rPh sb="0" eb="2">
      <t>ドウロ</t>
    </rPh>
    <rPh sb="2" eb="6">
      <t>シヨウキョカ</t>
    </rPh>
    <phoneticPr fontId="1"/>
  </si>
  <si>
    <t>入浴費</t>
    <rPh sb="0" eb="3">
      <t>ニュウヨクヒ</t>
    </rPh>
    <phoneticPr fontId="1"/>
  </si>
  <si>
    <t>お囃子保存会支援費</t>
    <rPh sb="1" eb="3">
      <t>ハヤシ</t>
    </rPh>
    <rPh sb="3" eb="6">
      <t>ホゾンカイ</t>
    </rPh>
    <rPh sb="6" eb="8">
      <t>シエン</t>
    </rPh>
    <rPh sb="8" eb="9">
      <t>ヒ</t>
    </rPh>
    <phoneticPr fontId="1"/>
  </si>
  <si>
    <t>クリーニング</t>
    <phoneticPr fontId="1"/>
  </si>
  <si>
    <t>謝礼</t>
    <rPh sb="0" eb="2">
      <t>シャレイ</t>
    </rPh>
    <phoneticPr fontId="1"/>
  </si>
  <si>
    <t>少年部諸経費</t>
    <rPh sb="0" eb="3">
      <t>ショウネンブ</t>
    </rPh>
    <rPh sb="3" eb="6">
      <t>ショケイヒ</t>
    </rPh>
    <phoneticPr fontId="1"/>
  </si>
  <si>
    <t>合計</t>
    <rPh sb="0" eb="2">
      <t>ゴウケイ</t>
    </rPh>
    <phoneticPr fontId="1"/>
  </si>
  <si>
    <t>ひとまず同額</t>
    <rPh sb="4" eb="6">
      <t>ドウガク</t>
    </rPh>
    <phoneticPr fontId="1"/>
  </si>
  <si>
    <t>中国製</t>
    <rPh sb="0" eb="3">
      <t>チュウゴクセイ</t>
    </rPh>
    <phoneticPr fontId="1"/>
  </si>
  <si>
    <t>No.</t>
    <phoneticPr fontId="1"/>
  </si>
  <si>
    <t>神社分担金・連合渡御反省会</t>
    <rPh sb="0" eb="2">
      <t>ジンジャ</t>
    </rPh>
    <rPh sb="6" eb="8">
      <t>レンゴウ</t>
    </rPh>
    <rPh sb="8" eb="10">
      <t>トギョウ</t>
    </rPh>
    <rPh sb="10" eb="13">
      <t>ハンセイカイ</t>
    </rPh>
    <phoneticPr fontId="1"/>
  </si>
  <si>
    <t>平麻、さらし、わら縄</t>
    <rPh sb="9" eb="10">
      <t>ナワ</t>
    </rPh>
    <phoneticPr fontId="1"/>
  </si>
  <si>
    <t>LEDライト、乾電池、結束バンド</t>
    <rPh sb="7" eb="10">
      <t>カンデンチ</t>
    </rPh>
    <rPh sb="11" eb="13">
      <t>ケッソク</t>
    </rPh>
    <phoneticPr fontId="1"/>
  </si>
  <si>
    <t>三宝（野菜・果物）,お供え餅,赤飯</t>
    <rPh sb="0" eb="2">
      <t>サンポウ</t>
    </rPh>
    <rPh sb="3" eb="5">
      <t>ヤサイ</t>
    </rPh>
    <rPh sb="6" eb="8">
      <t>クダモノ</t>
    </rPh>
    <rPh sb="15" eb="17">
      <t>セキハン</t>
    </rPh>
    <phoneticPr fontId="1"/>
  </si>
  <si>
    <t>11枚</t>
    <rPh sb="2" eb="3">
      <t>マイ</t>
    </rPh>
    <phoneticPr fontId="1"/>
  </si>
  <si>
    <t>氷、プラカップ等</t>
    <rPh sb="0" eb="1">
      <t>コオリ</t>
    </rPh>
    <rPh sb="7" eb="8">
      <t>トウ</t>
    </rPh>
    <phoneticPr fontId="1"/>
  </si>
  <si>
    <t>日本製</t>
    <rPh sb="0" eb="3">
      <t>ニホンセイ</t>
    </rPh>
    <phoneticPr fontId="1"/>
  </si>
  <si>
    <t>のし、白封筒、お礼状用紙</t>
    <rPh sb="3" eb="4">
      <t>シロ</t>
    </rPh>
    <rPh sb="4" eb="6">
      <t>フウトウ</t>
    </rPh>
    <rPh sb="8" eb="10">
      <t>レイジョウ</t>
    </rPh>
    <rPh sb="10" eb="12">
      <t>ヨウシ</t>
    </rPh>
    <phoneticPr fontId="1"/>
  </si>
  <si>
    <t>配布用タオル600枚</t>
    <rPh sb="0" eb="3">
      <t>ハイフヨウ</t>
    </rPh>
    <rPh sb="9" eb="10">
      <t>マイ</t>
    </rPh>
    <phoneticPr fontId="1"/>
  </si>
  <si>
    <t>返礼用タオル300枚</t>
    <rPh sb="0" eb="2">
      <t>ヘンレイ</t>
    </rPh>
    <rPh sb="2" eb="3">
      <t>ヨウ</t>
    </rPh>
    <rPh sb="9" eb="10">
      <t>マイ</t>
    </rPh>
    <phoneticPr fontId="1"/>
  </si>
  <si>
    <t>昨年余りあり</t>
    <rPh sb="0" eb="2">
      <t>サクネン</t>
    </rPh>
    <rPh sb="2" eb="3">
      <t>アマ</t>
    </rPh>
    <phoneticPr fontId="1"/>
  </si>
  <si>
    <t>交通費（買い出しほか）</t>
    <rPh sb="0" eb="3">
      <t>コウツウヒ</t>
    </rPh>
    <phoneticPr fontId="1"/>
  </si>
  <si>
    <t>タスキ、半纏</t>
    <rPh sb="4" eb="6">
      <t>ハンテン</t>
    </rPh>
    <phoneticPr fontId="1"/>
  </si>
  <si>
    <t>Ｒ６年度収入</t>
    <rPh sb="2" eb="4">
      <t>ネンド</t>
    </rPh>
    <rPh sb="4" eb="6">
      <t>シュウニュウ</t>
    </rPh>
    <phoneticPr fontId="1"/>
  </si>
  <si>
    <t>Ｒ６年度支出</t>
    <rPh sb="2" eb="4">
      <t>ネンド</t>
    </rPh>
    <rPh sb="4" eb="6">
      <t>シシュツ</t>
    </rPh>
    <phoneticPr fontId="1"/>
  </si>
  <si>
    <t>差額</t>
    <rPh sb="0" eb="2">
      <t>サガク</t>
    </rPh>
    <phoneticPr fontId="1"/>
  </si>
  <si>
    <t>子供、評議員</t>
    <rPh sb="0" eb="2">
      <t>コドモ</t>
    </rPh>
    <rPh sb="3" eb="6">
      <t>ヒョウギイン</t>
    </rPh>
    <phoneticPr fontId="1"/>
  </si>
  <si>
    <t>飲食①（準備・片付け飲食）</t>
    <rPh sb="0" eb="2">
      <t>インショク</t>
    </rPh>
    <rPh sb="4" eb="6">
      <t>ジュンビ</t>
    </rPh>
    <rPh sb="7" eb="9">
      <t>カタヅ</t>
    </rPh>
    <rPh sb="10" eb="12">
      <t>インショク</t>
    </rPh>
    <phoneticPr fontId="1"/>
  </si>
  <si>
    <t>飲食③（酒以外）</t>
    <rPh sb="0" eb="2">
      <t>インショク</t>
    </rPh>
    <rPh sb="4" eb="5">
      <t>サケ</t>
    </rPh>
    <rPh sb="5" eb="7">
      <t>イガイ</t>
    </rPh>
    <phoneticPr fontId="1"/>
  </si>
  <si>
    <t>飲食④（調味料）</t>
    <rPh sb="0" eb="2">
      <t>インショク</t>
    </rPh>
    <rPh sb="4" eb="7">
      <t>チョウミリョウ</t>
    </rPh>
    <phoneticPr fontId="1"/>
  </si>
  <si>
    <t>飲食⑤（お菓子）</t>
    <rPh sb="0" eb="2">
      <t>インショク</t>
    </rPh>
    <rPh sb="5" eb="7">
      <t>カシ</t>
    </rPh>
    <phoneticPr fontId="1"/>
  </si>
  <si>
    <t>文房具</t>
    <rPh sb="0" eb="3">
      <t>ブンボウグ</t>
    </rPh>
    <phoneticPr fontId="1"/>
  </si>
  <si>
    <t>一般会計で</t>
    <rPh sb="0" eb="4">
      <t>イッパンカイケイ</t>
    </rPh>
    <phoneticPr fontId="1"/>
  </si>
  <si>
    <t>会館会計で</t>
    <rPh sb="0" eb="2">
      <t>カイカン</t>
    </rPh>
    <rPh sb="2" eb="4">
      <t>カイケイ</t>
    </rPh>
    <phoneticPr fontId="1"/>
  </si>
  <si>
    <t>ふきん、ゴミ袋ほか</t>
    <rPh sb="6" eb="7">
      <t>フクロ</t>
    </rPh>
    <phoneticPr fontId="1"/>
  </si>
  <si>
    <t>カップ1000個12千円</t>
    <rPh sb="7" eb="8">
      <t>コ</t>
    </rPh>
    <rPh sb="10" eb="11">
      <t>チ</t>
    </rPh>
    <rPh sb="11" eb="12">
      <t>エン</t>
    </rPh>
    <phoneticPr fontId="1"/>
  </si>
  <si>
    <t>紅白ひも、山車タイヤ</t>
    <rPh sb="0" eb="2">
      <t>コウハク</t>
    </rPh>
    <rPh sb="5" eb="7">
      <t>ダシ</t>
    </rPh>
    <phoneticPr fontId="1"/>
  </si>
  <si>
    <t>町内に５割残す</t>
    <rPh sb="0" eb="2">
      <t>チョウナイ</t>
    </rPh>
    <rPh sb="5" eb="6">
      <t>ノコ</t>
    </rPh>
    <phoneticPr fontId="1"/>
  </si>
  <si>
    <t>寄付・門付の受付 会館１階</t>
    <rPh sb="12" eb="13">
      <t>カイ</t>
    </rPh>
    <phoneticPr fontId="1"/>
  </si>
  <si>
    <t>※【世話人】駒寄会館にて昼食</t>
    <rPh sb="12" eb="14">
      <t>チュウショク</t>
    </rPh>
    <phoneticPr fontId="1"/>
  </si>
  <si>
    <t>②セブンイレブン脇</t>
    <rPh sb="8" eb="9">
      <t>ワキ</t>
    </rPh>
    <phoneticPr fontId="1"/>
  </si>
  <si>
    <t>③サクマ時計店</t>
    <rPh sb="4" eb="7">
      <t>トケイテン</t>
    </rPh>
    <phoneticPr fontId="1"/>
  </si>
  <si>
    <t>【世話人】 昼食（会館２階）</t>
    <rPh sb="0" eb="3">
      <t>セワニン</t>
    </rPh>
    <rPh sb="7" eb="9">
      <t>カイカン</t>
    </rPh>
    <rPh sb="9" eb="10">
      <t>カイ</t>
    </rPh>
    <phoneticPr fontId="1"/>
  </si>
  <si>
    <t>【神輿担ぎ手】お弁当受け取り</t>
    <rPh sb="0" eb="2">
      <t>ミコシ</t>
    </rPh>
    <rPh sb="2" eb="3">
      <t>カツ</t>
    </rPh>
    <rPh sb="4" eb="5">
      <t>テ</t>
    </rPh>
    <rPh sb="10" eb="11">
      <t>ウ</t>
    </rPh>
    <rPh sb="12" eb="13">
      <t>ト</t>
    </rPh>
    <phoneticPr fontId="1"/>
  </si>
  <si>
    <t>②しまうま公園</t>
    <phoneticPr fontId="1"/>
  </si>
  <si>
    <t>（駒寄）世話人の合流</t>
    <rPh sb="1" eb="3">
      <t>コマヨセ</t>
    </rPh>
    <rPh sb="8" eb="10">
      <t>ゴウリュウ</t>
    </rPh>
    <phoneticPr fontId="1"/>
  </si>
  <si>
    <t>評議員（各班にて）返礼タオル配布</t>
    <rPh sb="4" eb="5">
      <t>カク</t>
    </rPh>
    <rPh sb="5" eb="6">
      <t>ハン</t>
    </rPh>
    <phoneticPr fontId="1"/>
  </si>
  <si>
    <t>（福寿さん駐車場にて）</t>
    <phoneticPr fontId="1"/>
  </si>
  <si>
    <t>世話人集合　神輿組み立て</t>
    <rPh sb="0" eb="2">
      <t>セワ</t>
    </rPh>
    <rPh sb="2" eb="3">
      <t>ニン</t>
    </rPh>
    <rPh sb="3" eb="5">
      <t>シュウゴウ</t>
    </rPh>
    <rPh sb="6" eb="8">
      <t>ミコシ</t>
    </rPh>
    <rPh sb="8" eb="9">
      <t>ク</t>
    </rPh>
    <rPh sb="10" eb="11">
      <t>タ</t>
    </rPh>
    <phoneticPr fontId="1"/>
  </si>
  <si>
    <t>各町内担ぎ手集合</t>
    <rPh sb="0" eb="1">
      <t>カク</t>
    </rPh>
    <rPh sb="1" eb="3">
      <t>チョウナイ</t>
    </rPh>
    <rPh sb="3" eb="4">
      <t>カツ</t>
    </rPh>
    <rPh sb="5" eb="6">
      <t>テ</t>
    </rPh>
    <rPh sb="6" eb="8">
      <t>シュウゴウ</t>
    </rPh>
    <phoneticPr fontId="1"/>
  </si>
  <si>
    <t>神社出発</t>
    <rPh sb="0" eb="2">
      <t>ジンジャ</t>
    </rPh>
    <rPh sb="2" eb="4">
      <t>シュッパツ</t>
    </rPh>
    <phoneticPr fontId="1"/>
  </si>
  <si>
    <t>～15:05 ガーデン船越</t>
    <rPh sb="11" eb="13">
      <t>フナコシ</t>
    </rPh>
    <phoneticPr fontId="1"/>
  </si>
  <si>
    <t>～15:20 梅田</t>
    <rPh sb="7" eb="9">
      <t>ウメダ</t>
    </rPh>
    <phoneticPr fontId="1"/>
  </si>
  <si>
    <t>～15:35 八丁目</t>
    <rPh sb="7" eb="8">
      <t>ハッ</t>
    </rPh>
    <rPh sb="8" eb="10">
      <t>チョウメ</t>
    </rPh>
    <phoneticPr fontId="1"/>
  </si>
  <si>
    <t>神社帰還</t>
    <rPh sb="0" eb="2">
      <t>ジンジャ</t>
    </rPh>
    <rPh sb="2" eb="4">
      <t>キカン</t>
    </rPh>
    <phoneticPr fontId="1"/>
  </si>
  <si>
    <t>ご寄付・門付の受付開始</t>
    <phoneticPr fontId="1"/>
  </si>
  <si>
    <t>駒寄担ぎ手　会館前集合</t>
    <rPh sb="0" eb="2">
      <t>コマヨセ</t>
    </rPh>
    <rPh sb="2" eb="3">
      <t>カツ</t>
    </rPh>
    <rPh sb="4" eb="5">
      <t>テ</t>
    </rPh>
    <phoneticPr fontId="1"/>
  </si>
  <si>
    <t>④（逆順で戻る）</t>
    <rPh sb="2" eb="4">
      <t>ギャクジュン</t>
    </rPh>
    <rPh sb="5" eb="6">
      <t>モド</t>
    </rPh>
    <phoneticPr fontId="1"/>
  </si>
  <si>
    <t>⑥岩垂邸前</t>
    <phoneticPr fontId="1"/>
  </si>
  <si>
    <t>※駒寄前道路（セブン手前～ピザーラ）</t>
    <rPh sb="1" eb="3">
      <t>コマヨセ</t>
    </rPh>
    <rPh sb="3" eb="4">
      <t>マエ</t>
    </rPh>
    <rPh sb="4" eb="6">
      <t>ドウロ</t>
    </rPh>
    <rPh sb="10" eb="12">
      <t>テマエ</t>
    </rPh>
    <phoneticPr fontId="1"/>
  </si>
  <si>
    <t>⑥会館到着（解散）</t>
    <phoneticPr fontId="1"/>
  </si>
  <si>
    <t>00</t>
    <phoneticPr fontId="1"/>
  </si>
  <si>
    <t>30</t>
    <phoneticPr fontId="1"/>
  </si>
  <si>
    <t>45</t>
    <phoneticPr fontId="1"/>
  </si>
  <si>
    <t>50</t>
    <phoneticPr fontId="1"/>
  </si>
  <si>
    <t>04</t>
    <phoneticPr fontId="1"/>
  </si>
  <si>
    <t>46</t>
    <phoneticPr fontId="1"/>
  </si>
  <si>
    <t>05</t>
    <phoneticPr fontId="1"/>
  </si>
  <si>
    <t>15</t>
    <phoneticPr fontId="1"/>
  </si>
  <si>
    <t>神社大神輿・山車　渡御</t>
    <rPh sb="0" eb="2">
      <t>ジンジャ</t>
    </rPh>
    <rPh sb="2" eb="3">
      <t>オオ</t>
    </rPh>
    <rPh sb="3" eb="5">
      <t>ミコシ</t>
    </rPh>
    <rPh sb="6" eb="8">
      <t>ダシ</t>
    </rPh>
    <rPh sb="9" eb="11">
      <t>トギョウ</t>
    </rPh>
    <phoneticPr fontId="1"/>
  </si>
  <si>
    <t>20</t>
    <phoneticPr fontId="1"/>
  </si>
  <si>
    <t>40</t>
    <phoneticPr fontId="1"/>
  </si>
  <si>
    <t>25</t>
    <phoneticPr fontId="1"/>
  </si>
  <si>
    <t>35</t>
    <phoneticPr fontId="1"/>
  </si>
  <si>
    <t>44</t>
    <phoneticPr fontId="1"/>
  </si>
  <si>
    <t>19</t>
    <phoneticPr fontId="1"/>
  </si>
  <si>
    <t>36</t>
    <phoneticPr fontId="1"/>
  </si>
  <si>
    <t>48</t>
    <phoneticPr fontId="1"/>
  </si>
  <si>
    <t>09</t>
    <phoneticPr fontId="1"/>
  </si>
  <si>
    <t>34</t>
    <phoneticPr fontId="1"/>
  </si>
  <si>
    <t>43</t>
    <phoneticPr fontId="1"/>
  </si>
  <si>
    <t>18</t>
    <phoneticPr fontId="1"/>
  </si>
  <si>
    <t>53</t>
    <phoneticPr fontId="1"/>
  </si>
  <si>
    <t>33</t>
    <phoneticPr fontId="1"/>
  </si>
  <si>
    <t>07</t>
    <phoneticPr fontId="1"/>
  </si>
  <si>
    <t>16</t>
    <phoneticPr fontId="1"/>
  </si>
  <si>
    <t>会館集合</t>
    <phoneticPr fontId="1"/>
  </si>
  <si>
    <t>渡御終了～直会 準備</t>
    <phoneticPr fontId="1"/>
  </si>
  <si>
    <t xml:space="preserve"> 神輿担ぎ手集合</t>
    <phoneticPr fontId="1"/>
  </si>
  <si>
    <t>①会館出発</t>
    <phoneticPr fontId="1"/>
  </si>
  <si>
    <t>～16:05 駒寄＜入魂式＞</t>
    <rPh sb="7" eb="9">
      <t>コマヨセ</t>
    </rPh>
    <rPh sb="10" eb="12">
      <t>ニュウコン</t>
    </rPh>
    <rPh sb="12" eb="13">
      <t>シキ</t>
    </rPh>
    <phoneticPr fontId="1"/>
  </si>
  <si>
    <t>（会計：会館１階で 終日受付）</t>
    <rPh sb="1" eb="3">
      <t>カイケイ</t>
    </rPh>
    <rPh sb="12" eb="14">
      <t>ウケツケ</t>
    </rPh>
    <phoneticPr fontId="1"/>
  </si>
  <si>
    <t>29</t>
    <phoneticPr fontId="1"/>
  </si>
  <si>
    <t>57</t>
    <phoneticPr fontId="1"/>
  </si>
  <si>
    <t>22</t>
    <phoneticPr fontId="1"/>
  </si>
  <si>
    <t>大人神輿／中神輿</t>
    <rPh sb="5" eb="6">
      <t>チュウ</t>
    </rPh>
    <rPh sb="6" eb="8">
      <t>ミコシ</t>
    </rPh>
    <phoneticPr fontId="1"/>
  </si>
  <si>
    <t>返礼タオル準備</t>
    <phoneticPr fontId="1"/>
  </si>
  <si>
    <t>お囃子開始～</t>
    <phoneticPr fontId="1"/>
  </si>
  <si>
    <t>～駒寄 御霊入れまで</t>
    <rPh sb="1" eb="3">
      <t>コマヨセ</t>
    </rPh>
    <rPh sb="4" eb="6">
      <t>ミタマ</t>
    </rPh>
    <rPh sb="6" eb="7">
      <t>イ</t>
    </rPh>
    <phoneticPr fontId="1"/>
  </si>
  <si>
    <t>③松村邸前</t>
    <rPh sb="1" eb="3">
      <t>マツムラ</t>
    </rPh>
    <phoneticPr fontId="1"/>
  </si>
  <si>
    <r>
      <t>①会館出発</t>
    </r>
    <r>
      <rPr>
        <b/>
        <sz val="14"/>
        <rFont val="BIZ UDP明朝 Medium"/>
        <family val="1"/>
        <charset val="128"/>
      </rPr>
      <t>　（２区内巡行）</t>
    </r>
    <rPh sb="8" eb="9">
      <t>ク</t>
    </rPh>
    <rPh sb="9" eb="10">
      <t>ナイ</t>
    </rPh>
    <rPh sb="10" eb="12">
      <t>ジュンコウ</t>
    </rPh>
    <phoneticPr fontId="1"/>
  </si>
  <si>
    <r>
      <t xml:space="preserve">①会館出発 </t>
    </r>
    <r>
      <rPr>
        <b/>
        <sz val="14"/>
        <color theme="1"/>
        <rFont val="BIZ UDP明朝 Medium"/>
        <family val="1"/>
        <charset val="128"/>
      </rPr>
      <t>午前</t>
    </r>
    <r>
      <rPr>
        <b/>
        <sz val="14"/>
        <rFont val="BIZ UDP明朝 Medium"/>
        <family val="1"/>
        <charset val="128"/>
      </rPr>
      <t>（２区内巡行）</t>
    </r>
    <phoneticPr fontId="1"/>
  </si>
  <si>
    <t>45</t>
  </si>
  <si>
    <t>【駒寄世話人】駒寄会館集合</t>
    <phoneticPr fontId="1"/>
  </si>
  <si>
    <t>【駒寄世話人】駒寄会館に集合</t>
    <phoneticPr fontId="1"/>
  </si>
  <si>
    <t>お囃子【少年部お囃子担当】</t>
    <phoneticPr fontId="1"/>
  </si>
  <si>
    <t>会館 集合</t>
    <rPh sb="0" eb="2">
      <t>カイカン</t>
    </rPh>
    <phoneticPr fontId="1"/>
  </si>
  <si>
    <r>
      <t>～15:50 皆ヶ作</t>
    </r>
    <r>
      <rPr>
        <b/>
        <sz val="12"/>
        <rFont val="BIZ UDP明朝 Medium"/>
        <family val="1"/>
        <charset val="128"/>
      </rPr>
      <t>　駒寄は会館集合</t>
    </r>
    <rPh sb="7" eb="8">
      <t>ミナ</t>
    </rPh>
    <rPh sb="9" eb="10">
      <t>サク</t>
    </rPh>
    <rPh sb="11" eb="13">
      <t>コマヨセ</t>
    </rPh>
    <rPh sb="14" eb="16">
      <t>カイカン</t>
    </rPh>
    <rPh sb="16" eb="18">
      <t>シュウゴウ</t>
    </rPh>
    <phoneticPr fontId="1"/>
  </si>
  <si>
    <r>
      <t>山車・子供神輿渡御の手伝い</t>
    </r>
    <r>
      <rPr>
        <sz val="14"/>
        <color rgb="FF00B050"/>
        <rFont val="BIZ UDP明朝 Medium"/>
        <family val="1"/>
        <charset val="128"/>
      </rPr>
      <t>➡</t>
    </r>
    <phoneticPr fontId="1"/>
  </si>
  <si>
    <t>【町内神輿担ぎ手・警護担当】</t>
    <phoneticPr fontId="1"/>
  </si>
  <si>
    <t>少年部役員・評議員　会館集合</t>
    <rPh sb="0" eb="2">
      <t>ショウネン</t>
    </rPh>
    <rPh sb="2" eb="3">
      <t>ブ</t>
    </rPh>
    <phoneticPr fontId="1"/>
  </si>
  <si>
    <t>評議員：会館２階、トイレ清掃</t>
    <rPh sb="0" eb="3">
      <t>ヒョウギイン</t>
    </rPh>
    <rPh sb="4" eb="6">
      <t>カイカン</t>
    </rPh>
    <rPh sb="7" eb="8">
      <t>カイ</t>
    </rPh>
    <rPh sb="12" eb="14">
      <t>セイソウ</t>
    </rPh>
    <phoneticPr fontId="1"/>
  </si>
  <si>
    <t>町内会長出席（半纏・ネクタイ）</t>
    <rPh sb="0" eb="2">
      <t>チョウナイ</t>
    </rPh>
    <rPh sb="2" eb="4">
      <t>カイチョウ</t>
    </rPh>
    <rPh sb="4" eb="6">
      <t>シュッセキ</t>
    </rPh>
    <rPh sb="7" eb="9">
      <t>ハンテン</t>
    </rPh>
    <phoneticPr fontId="1"/>
  </si>
  <si>
    <t>⑤青山木工所⇒やおぎん</t>
    <rPh sb="1" eb="3">
      <t>アオヤマ</t>
    </rPh>
    <rPh sb="3" eb="5">
      <t>モッコウ</t>
    </rPh>
    <rPh sb="5" eb="6">
      <t>ジョ</t>
    </rPh>
    <phoneticPr fontId="1"/>
  </si>
  <si>
    <t>③軍司邸前</t>
    <phoneticPr fontId="1"/>
  </si>
  <si>
    <t>④赤荻邸前</t>
    <phoneticPr fontId="1"/>
  </si>
  <si>
    <r>
      <t>⑤松村邸前</t>
    </r>
    <r>
      <rPr>
        <sz val="14"/>
        <color rgb="FFEE0000"/>
        <rFont val="BIZ UDP明朝 Medium"/>
        <family val="1"/>
        <charset val="128"/>
      </rPr>
      <t>（休憩）</t>
    </r>
    <phoneticPr fontId="1"/>
  </si>
  <si>
    <t>54</t>
    <phoneticPr fontId="1"/>
  </si>
  <si>
    <t>※神社9:00集合</t>
    <rPh sb="1" eb="3">
      <t>ジンジャ</t>
    </rPh>
    <rPh sb="7" eb="9">
      <t>シュウゴウ</t>
    </rPh>
    <phoneticPr fontId="1"/>
  </si>
  <si>
    <t>式典挙行（神殿）</t>
    <rPh sb="5" eb="7">
      <t>シンデン</t>
    </rPh>
    <phoneticPr fontId="1"/>
  </si>
  <si>
    <t>式典準備（神社）</t>
    <rPh sb="0" eb="2">
      <t>シキテン</t>
    </rPh>
    <rPh sb="2" eb="4">
      <t>ジュンビ</t>
    </rPh>
    <rPh sb="5" eb="7">
      <t>ジンジャ</t>
    </rPh>
    <phoneticPr fontId="1"/>
  </si>
  <si>
    <t>①神社（出御）</t>
    <rPh sb="5" eb="6">
      <t>ギョ</t>
    </rPh>
    <phoneticPr fontId="1"/>
  </si>
  <si>
    <t>世話人　御仮屋集合</t>
    <rPh sb="0" eb="3">
      <t>セワニン</t>
    </rPh>
    <rPh sb="4" eb="7">
      <t>オカリヤ</t>
    </rPh>
    <rPh sb="7" eb="9">
      <t>シュウゴウ</t>
    </rPh>
    <phoneticPr fontId="1"/>
  </si>
  <si>
    <t>ガーデン船越神酒所 発</t>
    <rPh sb="4" eb="6">
      <t>フナコシ</t>
    </rPh>
    <rPh sb="6" eb="9">
      <t>ミキショ</t>
    </rPh>
    <rPh sb="8" eb="9">
      <t>ショ</t>
    </rPh>
    <rPh sb="10" eb="11">
      <t>ハツ</t>
    </rPh>
    <phoneticPr fontId="1"/>
  </si>
  <si>
    <t>駒寄神酒所 出発</t>
    <rPh sb="6" eb="8">
      <t>シュッパツ</t>
    </rPh>
    <phoneticPr fontId="1"/>
  </si>
  <si>
    <t>南郷神酒所　出発</t>
    <rPh sb="0" eb="2">
      <t>ナンゴウ</t>
    </rPh>
    <rPh sb="6" eb="8">
      <t>シュッパツ</t>
    </rPh>
    <phoneticPr fontId="1"/>
  </si>
  <si>
    <t>※神輿／山車解体</t>
    <rPh sb="1" eb="3">
      <t>ミコシ</t>
    </rPh>
    <rPh sb="4" eb="6">
      <t>ダシ</t>
    </rPh>
    <rPh sb="6" eb="8">
      <t>カイタイ</t>
    </rPh>
    <phoneticPr fontId="1"/>
  </si>
  <si>
    <t>①四町内 駒寄会館前集合</t>
    <rPh sb="1" eb="2">
      <t>ヨン</t>
    </rPh>
    <rPh sb="2" eb="4">
      <t>チョウナイ</t>
    </rPh>
    <rPh sb="5" eb="7">
      <t>コマヨセ</t>
    </rPh>
    <rPh sb="9" eb="10">
      <t>マエ</t>
    </rPh>
    <rPh sb="10" eb="12">
      <t>シュウゴウ</t>
    </rPh>
    <phoneticPr fontId="1"/>
  </si>
  <si>
    <t>＜四辻合わせ＞</t>
    <rPh sb="3" eb="4">
      <t>ア</t>
    </rPh>
    <phoneticPr fontId="1"/>
  </si>
  <si>
    <t>⑦駒寄会館 着</t>
    <rPh sb="1" eb="3">
      <t>コマヨセ</t>
    </rPh>
    <rPh sb="3" eb="5">
      <t>カイカン</t>
    </rPh>
    <rPh sb="6" eb="7">
      <t>チャク</t>
    </rPh>
    <phoneticPr fontId="1"/>
  </si>
  <si>
    <t>皆ヶ作 神輿合わせ</t>
    <phoneticPr fontId="1"/>
  </si>
  <si>
    <t>⑥川島菓子店（通過）</t>
    <phoneticPr fontId="1"/>
  </si>
  <si>
    <t>⑧御仮屋（椎野畳店）到着</t>
    <rPh sb="5" eb="7">
      <t>シイノ</t>
    </rPh>
    <rPh sb="7" eb="8">
      <t>タタミ</t>
    </rPh>
    <rPh sb="8" eb="9">
      <t>ミセ</t>
    </rPh>
    <phoneticPr fontId="1"/>
  </si>
  <si>
    <t>神輿・御仮屋　格納</t>
    <rPh sb="7" eb="9">
      <t>カクノウ</t>
    </rPh>
    <phoneticPr fontId="1"/>
  </si>
  <si>
    <t>④行政センター（折り返し）</t>
    <rPh sb="1" eb="3">
      <t>ギョウセイ</t>
    </rPh>
    <rPh sb="8" eb="9">
      <t>オ</t>
    </rPh>
    <rPh sb="10" eb="11">
      <t>カエ</t>
    </rPh>
    <phoneticPr fontId="1"/>
  </si>
  <si>
    <t>⑥前田邸脇</t>
    <rPh sb="1" eb="3">
      <t>マエダ</t>
    </rPh>
    <rPh sb="3" eb="4">
      <t>テイ</t>
    </rPh>
    <rPh sb="4" eb="5">
      <t>ワキ</t>
    </rPh>
    <phoneticPr fontId="1"/>
  </si>
  <si>
    <t>⑦会館到着</t>
    <phoneticPr fontId="1"/>
  </si>
  <si>
    <t xml:space="preserve">①会館出発 </t>
    <phoneticPr fontId="1"/>
  </si>
  <si>
    <t>【駒寄担ぎ手】旧旭建材 集合</t>
    <rPh sb="3" eb="4">
      <t>カツ</t>
    </rPh>
    <rPh sb="5" eb="6">
      <t>テ</t>
    </rPh>
    <phoneticPr fontId="1"/>
  </si>
  <si>
    <r>
      <t>③行政</t>
    </r>
    <r>
      <rPr>
        <sz val="12"/>
        <color theme="1"/>
        <rFont val="BIZ UDP明朝 Medium"/>
        <family val="1"/>
        <charset val="128"/>
      </rPr>
      <t>センター</t>
    </r>
    <r>
      <rPr>
        <sz val="14"/>
        <color theme="1"/>
        <rFont val="BIZ UDP明朝 Medium"/>
        <family val="1"/>
        <charset val="128"/>
      </rPr>
      <t>着 （16:55発）</t>
    </r>
    <rPh sb="1" eb="3">
      <t>ギョウセイ</t>
    </rPh>
    <rPh sb="7" eb="8">
      <t>キ</t>
    </rPh>
    <phoneticPr fontId="1"/>
  </si>
  <si>
    <t>②ほかほか亭前着（通過）</t>
    <rPh sb="5" eb="6">
      <t>テイ</t>
    </rPh>
    <rPh sb="6" eb="7">
      <t>マエ</t>
    </rPh>
    <rPh sb="7" eb="8">
      <t>キ</t>
    </rPh>
    <phoneticPr fontId="1"/>
  </si>
  <si>
    <r>
      <t>④東芝ライテック</t>
    </r>
    <r>
      <rPr>
        <sz val="14"/>
        <color rgb="FFFF0000"/>
        <rFont val="BIZ UDP明朝 Medium"/>
        <family val="1"/>
        <charset val="128"/>
      </rPr>
      <t xml:space="preserve"> </t>
    </r>
    <r>
      <rPr>
        <sz val="14"/>
        <rFont val="BIZ UDP明朝 Medium"/>
        <family val="1"/>
        <charset val="128"/>
      </rPr>
      <t>（通過）</t>
    </r>
    <phoneticPr fontId="1"/>
  </si>
  <si>
    <t>⑤セブンイレブン前（通過）</t>
    <phoneticPr fontId="1"/>
  </si>
  <si>
    <t>　仲通り商店街（通過）</t>
    <rPh sb="1" eb="3">
      <t>ナカドオリ</t>
    </rPh>
    <rPh sb="4" eb="7">
      <t>ショウテンガイ</t>
    </rPh>
    <phoneticPr fontId="1"/>
  </si>
  <si>
    <t xml:space="preserve">⑦船越タクシー前 </t>
    <phoneticPr fontId="1"/>
  </si>
  <si>
    <t>御仮屋（椎野畳店）➡船タク</t>
    <rPh sb="10" eb="11">
      <t>フナ</t>
    </rPh>
    <phoneticPr fontId="1"/>
  </si>
  <si>
    <t>①船越タクシー前出御⇒セブン経由</t>
    <rPh sb="9" eb="10">
      <t>オ</t>
    </rPh>
    <rPh sb="14" eb="16">
      <t>ケイユ</t>
    </rPh>
    <phoneticPr fontId="1"/>
  </si>
  <si>
    <t>37</t>
    <phoneticPr fontId="1"/>
  </si>
  <si>
    <r>
      <t>②ガーデン船越先鋒（9:38発）</t>
    </r>
    <r>
      <rPr>
        <sz val="12"/>
        <rFont val="BIZ UDP明朝 Medium"/>
        <family val="1"/>
        <charset val="128"/>
      </rPr>
      <t>サクマ</t>
    </r>
    <rPh sb="5" eb="7">
      <t>フナコシ</t>
    </rPh>
    <rPh sb="7" eb="9">
      <t>センポウ</t>
    </rPh>
    <phoneticPr fontId="1"/>
  </si>
  <si>
    <t>③ガーデン船越神酒所 着</t>
    <rPh sb="5" eb="7">
      <t>フナコシ</t>
    </rPh>
    <rPh sb="7" eb="10">
      <t>ミキショ</t>
    </rPh>
    <rPh sb="9" eb="10">
      <t>ショ</t>
    </rPh>
    <rPh sb="11" eb="12">
      <t>チャク</t>
    </rPh>
    <phoneticPr fontId="1"/>
  </si>
  <si>
    <t>④梅田先鋒（10:06発）</t>
    <rPh sb="1" eb="3">
      <t>ウメダ</t>
    </rPh>
    <rPh sb="3" eb="5">
      <t>センポウ</t>
    </rPh>
    <phoneticPr fontId="1"/>
  </si>
  <si>
    <t>⑤梅田神酒所（10:29発）</t>
    <rPh sb="1" eb="3">
      <t>ウメダ</t>
    </rPh>
    <rPh sb="3" eb="6">
      <t>ミキショ</t>
    </rPh>
    <rPh sb="5" eb="6">
      <t>ショ</t>
    </rPh>
    <rPh sb="12" eb="13">
      <t>ハツ</t>
    </rPh>
    <phoneticPr fontId="1"/>
  </si>
  <si>
    <t>⑥八丁目先鋒（10:37発）</t>
    <rPh sb="1" eb="4">
      <t>ハッチョウメ</t>
    </rPh>
    <rPh sb="4" eb="6">
      <t>センポウ</t>
    </rPh>
    <rPh sb="12" eb="13">
      <t>ハツ</t>
    </rPh>
    <phoneticPr fontId="1"/>
  </si>
  <si>
    <t>⑦八丁目神酒所（10:58発）</t>
    <rPh sb="1" eb="4">
      <t>ハッチョウメ</t>
    </rPh>
    <rPh sb="4" eb="7">
      <t>ミキショ</t>
    </rPh>
    <rPh sb="6" eb="7">
      <t>ショ</t>
    </rPh>
    <rPh sb="13" eb="14">
      <t>ハツ</t>
    </rPh>
    <phoneticPr fontId="1"/>
  </si>
  <si>
    <t>⑧皆ヶ作先鋒（11:10発）</t>
    <rPh sb="1" eb="4">
      <t>カイガサク</t>
    </rPh>
    <rPh sb="4" eb="6">
      <t>センポウ</t>
    </rPh>
    <phoneticPr fontId="1"/>
  </si>
  <si>
    <t>⑨皆ヶ作神酒所 到着（11:39発）</t>
    <rPh sb="1" eb="4">
      <t>カイガサク</t>
    </rPh>
    <rPh sb="4" eb="7">
      <t>ミキショ</t>
    </rPh>
    <rPh sb="6" eb="7">
      <t>ショ</t>
    </rPh>
    <rPh sb="8" eb="10">
      <t>トウチャク</t>
    </rPh>
    <phoneticPr fontId="1"/>
  </si>
  <si>
    <t>⑩駒寄先鋒（11:51発）旧旭建材</t>
    <rPh sb="1" eb="3">
      <t>コマヨセ</t>
    </rPh>
    <rPh sb="3" eb="5">
      <t>センポウ</t>
    </rPh>
    <rPh sb="13" eb="14">
      <t>キュウ</t>
    </rPh>
    <rPh sb="14" eb="15">
      <t>アサヒ</t>
    </rPh>
    <rPh sb="15" eb="17">
      <t>ケンザイ</t>
    </rPh>
    <phoneticPr fontId="1"/>
  </si>
  <si>
    <t>⑪駒寄神酒所 到着（神輿くぐり）</t>
    <rPh sb="1" eb="3">
      <t>コマヨセ</t>
    </rPh>
    <rPh sb="3" eb="6">
      <t>ミキショ</t>
    </rPh>
    <rPh sb="5" eb="6">
      <t>ショ</t>
    </rPh>
    <rPh sb="7" eb="9">
      <t>トウチャク</t>
    </rPh>
    <rPh sb="10" eb="12">
      <t>ミコシ</t>
    </rPh>
    <phoneticPr fontId="1"/>
  </si>
  <si>
    <t>⑫南郷先鋒（12:23発）船小の下</t>
    <rPh sb="1" eb="3">
      <t>ナンゴウ</t>
    </rPh>
    <rPh sb="3" eb="5">
      <t>センポウ</t>
    </rPh>
    <rPh sb="11" eb="12">
      <t>ハツ</t>
    </rPh>
    <rPh sb="13" eb="14">
      <t>フネ</t>
    </rPh>
    <rPh sb="14" eb="15">
      <t>ショウ</t>
    </rPh>
    <rPh sb="16" eb="17">
      <t>シタ</t>
    </rPh>
    <phoneticPr fontId="1"/>
  </si>
  <si>
    <t>⑬根倉商店（12:39発）</t>
    <rPh sb="1" eb="2">
      <t>ネ</t>
    </rPh>
    <rPh sb="2" eb="3">
      <t>クラ</t>
    </rPh>
    <rPh sb="3" eb="5">
      <t>ショウテン</t>
    </rPh>
    <rPh sb="11" eb="12">
      <t>ハツ</t>
    </rPh>
    <phoneticPr fontId="1"/>
  </si>
  <si>
    <t>（昼食）48分間</t>
    <rPh sb="1" eb="3">
      <t>チュウショク</t>
    </rPh>
    <rPh sb="6" eb="8">
      <t>フンカン</t>
    </rPh>
    <phoneticPr fontId="1"/>
  </si>
  <si>
    <t>⑭南郷神酒所　到着</t>
    <rPh sb="1" eb="3">
      <t>ナンゴウ</t>
    </rPh>
    <phoneticPr fontId="1"/>
  </si>
  <si>
    <t>⑮防災トンネル前　到着（13:48発）</t>
    <rPh sb="7" eb="8">
      <t>マエ</t>
    </rPh>
    <rPh sb="9" eb="11">
      <t>トウチャク</t>
    </rPh>
    <phoneticPr fontId="1"/>
  </si>
  <si>
    <r>
      <rPr>
        <sz val="12"/>
        <color theme="1"/>
        <rFont val="BIZ UDP明朝 Medium"/>
        <family val="1"/>
        <charset val="128"/>
      </rPr>
      <t>⑯トンネル</t>
    </r>
    <r>
      <rPr>
        <sz val="14"/>
        <color theme="1"/>
        <rFont val="BIZ UDP明朝 Medium"/>
        <family val="1"/>
        <charset val="128"/>
      </rPr>
      <t>中央:三丁目先鋒（14:06発）</t>
    </r>
    <rPh sb="5" eb="7">
      <t>チュウオウ</t>
    </rPh>
    <rPh sb="8" eb="11">
      <t>サンチョウメ</t>
    </rPh>
    <rPh sb="11" eb="13">
      <t>センポウ</t>
    </rPh>
    <phoneticPr fontId="1"/>
  </si>
  <si>
    <t>⑰三丁目神酒所（14:28発）</t>
    <phoneticPr fontId="1"/>
  </si>
  <si>
    <r>
      <t>⑱大木</t>
    </r>
    <r>
      <rPr>
        <sz val="12"/>
        <color theme="1"/>
        <rFont val="BIZ UDP明朝 Medium"/>
        <family val="1"/>
        <charset val="128"/>
      </rPr>
      <t>タバコ</t>
    </r>
    <r>
      <rPr>
        <sz val="14"/>
        <color theme="1"/>
        <rFont val="BIZ UDP明朝 Medium"/>
        <family val="1"/>
        <charset val="128"/>
      </rPr>
      <t>：二丁目先鋒（14:41発）</t>
    </r>
    <rPh sb="1" eb="3">
      <t>オオキ</t>
    </rPh>
    <rPh sb="7" eb="8">
      <t>ニ</t>
    </rPh>
    <phoneticPr fontId="1"/>
  </si>
  <si>
    <t>⑲二丁目奥駐車場（15:03発）</t>
    <rPh sb="1" eb="4">
      <t>ニチョウメ</t>
    </rPh>
    <rPh sb="4" eb="5">
      <t>オク</t>
    </rPh>
    <rPh sb="5" eb="8">
      <t>チュウシャジョウ</t>
    </rPh>
    <phoneticPr fontId="1"/>
  </si>
  <si>
    <t>⑳二丁目神酒所（15:29発）</t>
    <phoneticPr fontId="1"/>
  </si>
  <si>
    <t>㉑一丁目先鋒（15:34発）</t>
    <rPh sb="1" eb="2">
      <t>イチ</t>
    </rPh>
    <phoneticPr fontId="1"/>
  </si>
  <si>
    <t>㉒一丁目神酒所（15:54発）</t>
    <phoneticPr fontId="1"/>
  </si>
  <si>
    <t>㉓仲通り商店街（16:09発）</t>
    <rPh sb="1" eb="2">
      <t>ナカ</t>
    </rPh>
    <rPh sb="2" eb="3">
      <t>ドオ</t>
    </rPh>
    <rPh sb="4" eb="7">
      <t>ショウテンガイ</t>
    </rPh>
    <phoneticPr fontId="1"/>
  </si>
  <si>
    <t>㉔北消防署（16:18発）</t>
    <rPh sb="1" eb="2">
      <t>キタ</t>
    </rPh>
    <rPh sb="2" eb="5">
      <t>ショウボウショ</t>
    </rPh>
    <phoneticPr fontId="1"/>
  </si>
  <si>
    <t>㉕船越神社鳥居下（通過）</t>
    <phoneticPr fontId="1"/>
  </si>
  <si>
    <t>㉖船越神社 還御</t>
    <rPh sb="3" eb="5">
      <t>ジンジャ</t>
    </rPh>
    <rPh sb="6" eb="8">
      <t>カンギョ</t>
    </rPh>
    <phoneticPr fontId="1"/>
  </si>
  <si>
    <t>㉗船越神社納め</t>
    <phoneticPr fontId="1"/>
  </si>
  <si>
    <t>宮司・安全祈祷　（Ｂ班）</t>
    <rPh sb="0" eb="2">
      <t>グウジ</t>
    </rPh>
    <rPh sb="3" eb="5">
      <t>アンゼン</t>
    </rPh>
    <rPh sb="5" eb="7">
      <t>キトウ</t>
    </rPh>
    <rPh sb="10" eb="11">
      <t>ハン</t>
    </rPh>
    <phoneticPr fontId="1"/>
  </si>
  <si>
    <t>山車の収納（行政センター）</t>
    <rPh sb="6" eb="8">
      <t>ギョウセイ</t>
    </rPh>
    <phoneticPr fontId="1"/>
  </si>
  <si>
    <t>①会館（立ち上げ）</t>
    <rPh sb="4" eb="5">
      <t>タ</t>
    </rPh>
    <rPh sb="6" eb="7">
      <t>ア</t>
    </rPh>
    <phoneticPr fontId="1"/>
  </si>
  <si>
    <t>セブンイレブン前通過➡</t>
    <rPh sb="7" eb="8">
      <t>ゼン</t>
    </rPh>
    <rPh sb="8" eb="10">
      <t>ツウカ</t>
    </rPh>
    <phoneticPr fontId="1"/>
  </si>
  <si>
    <t>②船越タクシー前　着</t>
    <rPh sb="9" eb="10">
      <t>チャク</t>
    </rPh>
    <phoneticPr fontId="1"/>
  </si>
  <si>
    <t>10</t>
    <phoneticPr fontId="1"/>
  </si>
  <si>
    <t>③ピザーラ前　着</t>
    <rPh sb="5" eb="6">
      <t>マエ</t>
    </rPh>
    <rPh sb="7" eb="8">
      <t>チャク</t>
    </rPh>
    <phoneticPr fontId="1"/>
  </si>
  <si>
    <t>④セブンイレブン前　着</t>
    <rPh sb="10" eb="11">
      <t>チャク</t>
    </rPh>
    <phoneticPr fontId="1"/>
  </si>
  <si>
    <t>※太鼓（参加は自由）</t>
    <rPh sb="1" eb="3">
      <t>タイコ</t>
    </rPh>
    <rPh sb="4" eb="6">
      <t>サンカ</t>
    </rPh>
    <rPh sb="7" eb="9">
      <t>ジユウ</t>
    </rPh>
    <phoneticPr fontId="1"/>
  </si>
  <si>
    <t>：　大人神輿／中神輿／子供神輿</t>
    <rPh sb="7" eb="8">
      <t>チュウ</t>
    </rPh>
    <rPh sb="8" eb="10">
      <t>ミコシ</t>
    </rPh>
    <rPh sb="11" eb="13">
      <t>コドモ</t>
    </rPh>
    <rPh sb="13" eb="15">
      <t>ミコシ</t>
    </rPh>
    <phoneticPr fontId="1"/>
  </si>
  <si>
    <t>町内渡御　山車／子供神輿</t>
    <phoneticPr fontId="1"/>
  </si>
  <si>
    <t>※21時前に格納完了</t>
    <rPh sb="3" eb="4">
      <t>ジ</t>
    </rPh>
    <rPh sb="4" eb="5">
      <t>マエ</t>
    </rPh>
    <rPh sb="6" eb="8">
      <t>カクノウ</t>
    </rPh>
    <rPh sb="8" eb="10">
      <t>カンリョウ</t>
    </rPh>
    <phoneticPr fontId="1"/>
  </si>
  <si>
    <t>四町内 連合渡御　大人神輿</t>
    <rPh sb="0" eb="1">
      <t>ヨン</t>
    </rPh>
    <rPh sb="1" eb="3">
      <t>チョウナイ</t>
    </rPh>
    <phoneticPr fontId="1"/>
  </si>
  <si>
    <t>お囃子（夜の部）　山車</t>
    <rPh sb="9" eb="11">
      <t>ダシ</t>
    </rPh>
    <phoneticPr fontId="1"/>
  </si>
  <si>
    <r>
      <t>山車の移動（</t>
    </r>
    <r>
      <rPr>
        <sz val="14"/>
        <color rgb="FFFF0000"/>
        <rFont val="BIZ UDP明朝 Medium"/>
        <family val="1"/>
        <charset val="128"/>
      </rPr>
      <t>弐番館前へ</t>
    </r>
    <r>
      <rPr>
        <sz val="14"/>
        <color theme="1"/>
        <rFont val="BIZ UDP明朝 Medium"/>
        <family val="1"/>
        <charset val="128"/>
      </rPr>
      <t>）</t>
    </r>
    <rPh sb="6" eb="9">
      <t>ニバンカン</t>
    </rPh>
    <phoneticPr fontId="1"/>
  </si>
  <si>
    <t>１区　町内渡御（門付） 中神輿</t>
    <rPh sb="1" eb="2">
      <t>ク</t>
    </rPh>
    <phoneticPr fontId="1"/>
  </si>
  <si>
    <t>山車の収納（行政センター）</t>
    <phoneticPr fontId="1"/>
  </si>
  <si>
    <t>（休憩）</t>
    <rPh sb="1" eb="3">
      <t>キュウケイ</t>
    </rPh>
    <phoneticPr fontId="1"/>
  </si>
  <si>
    <t>②カレー屋（ニサン）前</t>
    <phoneticPr fontId="1"/>
  </si>
  <si>
    <t>⑤ガーデン参番館駐車場</t>
    <phoneticPr fontId="1"/>
  </si>
  <si>
    <t>２区　町内渡御（門付） 中神輿</t>
    <rPh sb="1" eb="2">
      <t>ク</t>
    </rPh>
    <phoneticPr fontId="1"/>
  </si>
  <si>
    <t>③サクマ時計店脇（休憩）</t>
    <rPh sb="4" eb="7">
      <t>トケイテン</t>
    </rPh>
    <rPh sb="7" eb="8">
      <t>ワキ</t>
    </rPh>
    <phoneticPr fontId="1"/>
  </si>
  <si>
    <t>【祭礼役員】駒寄会館にて昼食</t>
    <rPh sb="12" eb="14">
      <t>チュウショク</t>
    </rPh>
    <phoneticPr fontId="1"/>
  </si>
  <si>
    <t>宵宮 直会（なおらい）</t>
    <phoneticPr fontId="1"/>
  </si>
  <si>
    <t>④参番館駐車場</t>
    <phoneticPr fontId="1"/>
  </si>
  <si>
    <t>（休憩）</t>
    <phoneticPr fontId="1"/>
  </si>
  <si>
    <t>休憩（19:40出発）</t>
    <rPh sb="0" eb="2">
      <t>キュウケイ</t>
    </rPh>
    <phoneticPr fontId="1"/>
  </si>
  <si>
    <t>休憩（20:15出発）</t>
    <rPh sb="0" eb="2">
      <t>キュウケイ</t>
    </rPh>
    <phoneticPr fontId="1"/>
  </si>
  <si>
    <t>⑤駒寄会館　着</t>
    <rPh sb="1" eb="2">
      <t>コマ</t>
    </rPh>
    <rPh sb="2" eb="3">
      <t>キ</t>
    </rPh>
    <rPh sb="3" eb="5">
      <t>カイカン</t>
    </rPh>
    <rPh sb="6" eb="7">
      <t>キ</t>
    </rPh>
    <phoneticPr fontId="1"/>
  </si>
  <si>
    <t>解散（各町内神輿は帰路へ）</t>
    <rPh sb="0" eb="2">
      <t>カイサン</t>
    </rPh>
    <phoneticPr fontId="1"/>
  </si>
  <si>
    <r>
      <t xml:space="preserve">①会館出発 </t>
    </r>
    <r>
      <rPr>
        <b/>
        <sz val="14"/>
        <rFont val="BIZ UDP明朝 Medium"/>
        <family val="1"/>
        <charset val="128"/>
      </rPr>
      <t>午後（１区内巡行）</t>
    </r>
    <rPh sb="6" eb="8">
      <t>ゴゴ</t>
    </rPh>
    <rPh sb="10" eb="12">
      <t>クナイ</t>
    </rPh>
    <rPh sb="12" eb="14">
      <t>ジュンコウ</t>
    </rPh>
    <phoneticPr fontId="1"/>
  </si>
  <si>
    <t>③サクマ時計店　通貨</t>
    <rPh sb="4" eb="7">
      <t>トケイテン</t>
    </rPh>
    <rPh sb="8" eb="10">
      <t>ツウカ</t>
    </rPh>
    <phoneticPr fontId="1"/>
  </si>
  <si>
    <t>⑦会館到着（解散）</t>
    <rPh sb="6" eb="8">
      <t>カイサン</t>
    </rPh>
    <phoneticPr fontId="1"/>
  </si>
  <si>
    <t>神社神輿＋山車　渡御</t>
    <rPh sb="5" eb="7">
      <t>ダシ</t>
    </rPh>
    <rPh sb="7" eb="9">
      <t>トギョウ</t>
    </rPh>
    <phoneticPr fontId="1"/>
  </si>
  <si>
    <t>直会（なおらい）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</si>
</sst>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5" formatCode="&quot;¥&quot;#,##0;&quot;¥&quot;\-#,##0"/>
    <numFmt numFmtId="6" formatCode="&quot;¥&quot;#,##0;[Red]&quot;¥&quot;\-#,##0"/>
    <numFmt numFmtId="176" formatCode="#,##0;&quot;△ &quot;#,##0"/>
  </numFmts>
  <fonts count="43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sz val="11"/>
      <color theme="1"/>
      <name val="Yu Gothic"/>
      <family val="2"/>
      <scheme val="minor"/>
    </font>
    <font>
      <sz val="10"/>
      <color theme="1"/>
      <name val="Yu Gothic"/>
      <family val="2"/>
      <charset val="128"/>
      <scheme val="minor"/>
    </font>
    <font>
      <sz val="6"/>
      <name val="Yu Gothic"/>
      <family val="2"/>
      <charset val="128"/>
      <scheme val="minor"/>
    </font>
    <font>
      <sz val="10"/>
      <color theme="1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0"/>
      <color theme="1"/>
      <name val="Segoe UI Symbol"/>
      <family val="2"/>
      <charset val="1"/>
    </font>
    <font>
      <sz val="11"/>
      <color theme="1"/>
      <name val="Yu Gothic"/>
      <family val="3"/>
      <charset val="128"/>
      <scheme val="minor"/>
    </font>
    <font>
      <sz val="16"/>
      <color theme="1"/>
      <name val="メイリオ"/>
      <family val="3"/>
      <charset val="128"/>
    </font>
    <font>
      <b/>
      <sz val="16"/>
      <color theme="1"/>
      <name val="Yu Gothic"/>
      <family val="3"/>
      <charset val="128"/>
      <scheme val="minor"/>
    </font>
    <font>
      <sz val="16"/>
      <name val="メイリオ"/>
      <family val="3"/>
      <charset val="128"/>
    </font>
    <font>
      <b/>
      <sz val="16"/>
      <color theme="1"/>
      <name val="メイリオ"/>
      <family val="3"/>
      <charset val="128"/>
    </font>
    <font>
      <sz val="20"/>
      <color theme="1"/>
      <name val="BIZ UDP明朝 Medium"/>
      <family val="1"/>
      <charset val="128"/>
    </font>
    <font>
      <sz val="11"/>
      <color theme="1"/>
      <name val="BIZ UDP明朝 Medium"/>
      <family val="1"/>
      <charset val="128"/>
    </font>
    <font>
      <b/>
      <sz val="16"/>
      <name val="メイリオ"/>
      <family val="3"/>
      <charset val="128"/>
    </font>
    <font>
      <sz val="12"/>
      <color theme="1"/>
      <name val="メイリオ"/>
      <family val="3"/>
      <charset val="128"/>
    </font>
    <font>
      <sz val="14"/>
      <color theme="1"/>
      <name val="メイリオ"/>
      <family val="3"/>
      <charset val="128"/>
    </font>
    <font>
      <b/>
      <sz val="16"/>
      <color rgb="FFFF0000"/>
      <name val="メイリオ"/>
      <family val="3"/>
      <charset val="128"/>
    </font>
    <font>
      <b/>
      <sz val="10"/>
      <color indexed="81"/>
      <name val="BIZ UDPゴシック"/>
      <family val="3"/>
      <charset val="128"/>
    </font>
    <font>
      <sz val="11"/>
      <color theme="1"/>
      <name val="BIZ UDPゴシック"/>
      <family val="3"/>
      <charset val="128"/>
    </font>
    <font>
      <b/>
      <sz val="14"/>
      <color theme="1"/>
      <name val="BIZ UDP明朝 Medium"/>
      <family val="1"/>
      <charset val="128"/>
    </font>
    <font>
      <b/>
      <sz val="14"/>
      <name val="BIZ UDP明朝 Medium"/>
      <family val="1"/>
      <charset val="128"/>
    </font>
    <font>
      <sz val="14"/>
      <color theme="1"/>
      <name val="BIZ UDP明朝 Medium"/>
      <family val="1"/>
      <charset val="128"/>
    </font>
    <font>
      <b/>
      <sz val="14"/>
      <name val="BIZ UDPゴシック"/>
      <family val="3"/>
      <charset val="128"/>
    </font>
    <font>
      <sz val="14"/>
      <name val="BIZ UDP明朝 Medium"/>
      <family val="1"/>
      <charset val="128"/>
    </font>
    <font>
      <b/>
      <sz val="14"/>
      <color rgb="FFFF0000"/>
      <name val="BIZ UDP明朝 Medium"/>
      <family val="1"/>
      <charset val="128"/>
    </font>
    <font>
      <sz val="14"/>
      <color rgb="FFFF0000"/>
      <name val="BIZ UDP明朝 Medium"/>
      <family val="1"/>
      <charset val="128"/>
    </font>
    <font>
      <sz val="14"/>
      <color rgb="FFEE0000"/>
      <name val="BIZ UDP明朝 Medium"/>
      <family val="1"/>
      <charset val="128"/>
    </font>
    <font>
      <b/>
      <sz val="14"/>
      <color theme="1"/>
      <name val="BIZ UDPゴシック"/>
      <family val="3"/>
      <charset val="128"/>
    </font>
    <font>
      <b/>
      <sz val="14"/>
      <color rgb="FF00B050"/>
      <name val="BIZ UDP明朝 Medium"/>
      <family val="1"/>
      <charset val="128"/>
    </font>
    <font>
      <sz val="12"/>
      <color theme="1"/>
      <name val="BIZ UDP明朝 Medium"/>
      <family val="1"/>
      <charset val="128"/>
    </font>
    <font>
      <sz val="12"/>
      <name val="BIZ UDP明朝 Medium"/>
      <family val="1"/>
      <charset val="128"/>
    </font>
    <font>
      <b/>
      <sz val="12"/>
      <name val="BIZ UDP明朝 Medium"/>
      <family val="1"/>
      <charset val="128"/>
    </font>
    <font>
      <b/>
      <sz val="12"/>
      <color theme="1"/>
      <name val="BIZ UDP明朝 Medium"/>
      <family val="1"/>
      <charset val="128"/>
    </font>
    <font>
      <sz val="14"/>
      <color rgb="FF00B050"/>
      <name val="BIZ UDP明朝 Medium"/>
      <family val="1"/>
      <charset val="128"/>
    </font>
    <font>
      <b/>
      <sz val="11"/>
      <name val="BIZ UDP明朝 Medium"/>
      <family val="1"/>
      <charset val="128"/>
    </font>
    <font>
      <sz val="12"/>
      <color rgb="FFFF0000"/>
      <name val="BIZ UDP明朝 Medium"/>
      <family val="1"/>
      <charset val="128"/>
    </font>
    <font>
      <b/>
      <sz val="9"/>
      <color indexed="81"/>
      <name val="BIZ UDPゴシック"/>
      <family val="3"/>
      <charset val="128"/>
    </font>
    <font>
      <b/>
      <sz val="22"/>
      <color theme="1"/>
      <name val="HG正楷書体-PRO"/>
      <family val="4"/>
      <charset val="128"/>
    </font>
    <font>
      <sz val="22"/>
      <color theme="1"/>
      <name val="HG正楷書体-PRO"/>
      <family val="4"/>
      <charset val="128"/>
    </font>
    <font>
      <b/>
      <u/>
      <sz val="14"/>
      <name val="BIZ UDP明朝 Medium"/>
      <family val="1"/>
      <charset val="128"/>
    </font>
    <font>
      <b/>
      <sz val="12"/>
      <color indexed="81"/>
      <name val="BIZ UDPゴシック"/>
      <family val="3"/>
      <charset val="128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CFF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ck">
        <color theme="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ck">
        <color theme="0"/>
      </right>
      <top style="thin">
        <color auto="1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mediumDashed">
        <color rgb="FFFF0000"/>
      </left>
      <right style="mediumDashed">
        <color rgb="FFFF0000"/>
      </right>
      <top style="mediumDashed">
        <color rgb="FFFF0000"/>
      </top>
      <bottom/>
      <diagonal/>
    </border>
    <border>
      <left style="mediumDashed">
        <color rgb="FFFF0000"/>
      </left>
      <right style="mediumDashed">
        <color rgb="FFFF0000"/>
      </right>
      <top/>
      <bottom/>
      <diagonal/>
    </border>
    <border>
      <left style="mediumDashed">
        <color rgb="FFFF0000"/>
      </left>
      <right style="mediumDashed">
        <color rgb="FFFF0000"/>
      </right>
      <top/>
      <bottom style="mediumDashed">
        <color rgb="FFFF0000"/>
      </bottom>
      <diagonal/>
    </border>
    <border>
      <left/>
      <right/>
      <top/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 style="thick">
        <color theme="0"/>
      </left>
      <right/>
      <top style="thin">
        <color auto="1"/>
      </top>
      <bottom/>
      <diagonal/>
    </border>
    <border>
      <left/>
      <right/>
      <top style="thin">
        <color indexed="64"/>
      </top>
      <bottom style="hair">
        <color auto="1"/>
      </bottom>
      <diagonal/>
    </border>
    <border>
      <left/>
      <right style="thick">
        <color theme="0"/>
      </right>
      <top style="thin">
        <color auto="1"/>
      </top>
      <bottom style="hair">
        <color auto="1"/>
      </bottom>
      <diagonal/>
    </border>
    <border>
      <left/>
      <right style="thick">
        <color theme="0"/>
      </right>
      <top/>
      <bottom style="hair">
        <color auto="1"/>
      </bottom>
      <diagonal/>
    </border>
    <border>
      <left/>
      <right style="thin">
        <color theme="0"/>
      </right>
      <top/>
      <bottom style="hair">
        <color auto="1"/>
      </bottom>
      <diagonal/>
    </border>
    <border>
      <left style="mediumDashed">
        <color rgb="FFFF0000"/>
      </left>
      <right style="mediumDashed">
        <color rgb="FFFF0000"/>
      </right>
      <top/>
      <bottom style="hair">
        <color auto="1"/>
      </bottom>
      <diagonal/>
    </border>
    <border>
      <left/>
      <right style="thin">
        <color theme="0"/>
      </right>
      <top/>
      <bottom style="thin">
        <color auto="1"/>
      </bottom>
      <diagonal/>
    </border>
    <border>
      <left/>
      <right/>
      <top/>
      <bottom style="dotted">
        <color auto="1"/>
      </bottom>
      <diagonal/>
    </border>
    <border>
      <left/>
      <right style="thick">
        <color theme="0"/>
      </right>
      <top/>
      <bottom style="dotted">
        <color auto="1"/>
      </bottom>
      <diagonal/>
    </border>
    <border>
      <left/>
      <right/>
      <top style="dotted">
        <color auto="1"/>
      </top>
      <bottom/>
      <diagonal/>
    </border>
    <border>
      <left/>
      <right style="thick">
        <color theme="0"/>
      </right>
      <top style="dotted">
        <color auto="1"/>
      </top>
      <bottom/>
      <diagonal/>
    </border>
    <border>
      <left style="thick">
        <color theme="0"/>
      </left>
      <right/>
      <top/>
      <bottom style="thick">
        <color theme="0"/>
      </bottom>
      <diagonal/>
    </border>
    <border>
      <left/>
      <right/>
      <top style="hair">
        <color indexed="64"/>
      </top>
      <bottom style="thin">
        <color indexed="64"/>
      </bottom>
      <diagonal/>
    </border>
  </borders>
  <cellStyleXfs count="2">
    <xf numFmtId="0" fontId="0" fillId="0" borderId="0"/>
    <xf numFmtId="38" fontId="2" fillId="0" borderId="0" applyFont="0" applyFill="0" applyBorder="0" applyAlignment="0" applyProtection="0">
      <alignment vertical="center"/>
    </xf>
  </cellStyleXfs>
  <cellXfs count="344">
    <xf numFmtId="0" fontId="0" fillId="0" borderId="0" xfId="0"/>
    <xf numFmtId="0" fontId="3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38" fontId="0" fillId="0" borderId="1" xfId="1" applyFont="1" applyBorder="1" applyAlignment="1">
      <alignment horizontal="right" vertical="center"/>
    </xf>
    <xf numFmtId="38" fontId="5" fillId="0" borderId="1" xfId="1" applyFont="1" applyBorder="1">
      <alignment vertical="center"/>
    </xf>
    <xf numFmtId="38" fontId="5" fillId="0" borderId="1" xfId="1" applyFont="1" applyBorder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3" fillId="0" borderId="1" xfId="0" applyFont="1" applyBorder="1" applyAlignment="1">
      <alignment horizontal="left" vertical="center" wrapText="1"/>
    </xf>
    <xf numFmtId="0" fontId="6" fillId="0" borderId="0" xfId="0" applyFont="1"/>
    <xf numFmtId="0" fontId="0" fillId="0" borderId="0" xfId="0" applyAlignment="1">
      <alignment horizontal="right"/>
    </xf>
    <xf numFmtId="38" fontId="5" fillId="0" borderId="4" xfId="1" applyFont="1" applyFill="1" applyBorder="1" applyAlignment="1">
      <alignment horizontal="right" vertical="center"/>
    </xf>
    <xf numFmtId="0" fontId="0" fillId="0" borderId="0" xfId="0" applyAlignment="1">
      <alignment vertical="center"/>
    </xf>
    <xf numFmtId="0" fontId="9" fillId="5" borderId="1" xfId="0" applyFont="1" applyFill="1" applyBorder="1" applyAlignment="1">
      <alignment horizontal="center" vertic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vertical="center"/>
    </xf>
    <xf numFmtId="0" fontId="9" fillId="0" borderId="2" xfId="0" applyFont="1" applyBorder="1"/>
    <xf numFmtId="0" fontId="9" fillId="0" borderId="0" xfId="0" applyFont="1" applyAlignment="1">
      <alignment vertical="top"/>
    </xf>
    <xf numFmtId="5" fontId="9" fillId="4" borderId="1" xfId="0" applyNumberFormat="1" applyFont="1" applyFill="1" applyBorder="1" applyAlignment="1">
      <alignment vertical="center"/>
    </xf>
    <xf numFmtId="0" fontId="10" fillId="0" borderId="0" xfId="0" applyFont="1" applyAlignment="1">
      <alignment horizontal="left" vertical="top"/>
    </xf>
    <xf numFmtId="0" fontId="9" fillId="3" borderId="1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 wrapText="1"/>
    </xf>
    <xf numFmtId="0" fontId="9" fillId="6" borderId="0" xfId="0" applyFont="1" applyFill="1"/>
    <xf numFmtId="0" fontId="9" fillId="7" borderId="0" xfId="0" applyFont="1" applyFill="1"/>
    <xf numFmtId="0" fontId="9" fillId="6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9" fillId="7" borderId="12" xfId="0" applyFont="1" applyFill="1" applyBorder="1"/>
    <xf numFmtId="0" fontId="9" fillId="7" borderId="3" xfId="0" applyFont="1" applyFill="1" applyBorder="1"/>
    <xf numFmtId="0" fontId="9" fillId="7" borderId="5" xfId="0" applyFont="1" applyFill="1" applyBorder="1"/>
    <xf numFmtId="5" fontId="9" fillId="6" borderId="1" xfId="0" applyNumberFormat="1" applyFont="1" applyFill="1" applyBorder="1" applyAlignment="1">
      <alignment vertical="center"/>
    </xf>
    <xf numFmtId="0" fontId="9" fillId="7" borderId="7" xfId="0" applyFont="1" applyFill="1" applyBorder="1"/>
    <xf numFmtId="0" fontId="9" fillId="7" borderId="8" xfId="0" applyFont="1" applyFill="1" applyBorder="1"/>
    <xf numFmtId="0" fontId="9" fillId="7" borderId="9" xfId="0" applyFont="1" applyFill="1" applyBorder="1"/>
    <xf numFmtId="0" fontId="9" fillId="7" borderId="10" xfId="0" applyFont="1" applyFill="1" applyBorder="1"/>
    <xf numFmtId="0" fontId="9" fillId="7" borderId="0" xfId="0" applyFont="1" applyFill="1" applyAlignment="1">
      <alignment horizontal="left"/>
    </xf>
    <xf numFmtId="5" fontId="9" fillId="0" borderId="1" xfId="0" applyNumberFormat="1" applyFont="1" applyBorder="1" applyAlignment="1">
      <alignment horizontal="right" vertical="center"/>
    </xf>
    <xf numFmtId="5" fontId="9" fillId="6" borderId="0" xfId="0" applyNumberFormat="1" applyFont="1" applyFill="1" applyAlignment="1">
      <alignment vertical="center"/>
    </xf>
    <xf numFmtId="5" fontId="9" fillId="7" borderId="0" xfId="0" applyNumberFormat="1" applyFont="1" applyFill="1" applyAlignment="1">
      <alignment vertical="center"/>
    </xf>
    <xf numFmtId="0" fontId="9" fillId="7" borderId="0" xfId="0" applyFont="1" applyFill="1" applyAlignment="1">
      <alignment horizontal="right"/>
    </xf>
    <xf numFmtId="0" fontId="9" fillId="7" borderId="0" xfId="0" applyFont="1" applyFill="1" applyAlignment="1">
      <alignment vertical="center"/>
    </xf>
    <xf numFmtId="0" fontId="9" fillId="7" borderId="4" xfId="0" applyFont="1" applyFill="1" applyBorder="1"/>
    <xf numFmtId="0" fontId="9" fillId="7" borderId="2" xfId="0" applyFont="1" applyFill="1" applyBorder="1"/>
    <xf numFmtId="0" fontId="9" fillId="7" borderId="6" xfId="0" applyFont="1" applyFill="1" applyBorder="1"/>
    <xf numFmtId="0" fontId="9" fillId="7" borderId="0" xfId="0" applyFont="1" applyFill="1" applyAlignment="1">
      <alignment horizontal="left" vertical="center"/>
    </xf>
    <xf numFmtId="5" fontId="11" fillId="0" borderId="1" xfId="0" applyNumberFormat="1" applyFont="1" applyBorder="1" applyAlignment="1">
      <alignment vertical="center"/>
    </xf>
    <xf numFmtId="5" fontId="11" fillId="6" borderId="1" xfId="0" applyNumberFormat="1" applyFont="1" applyFill="1" applyBorder="1" applyAlignment="1">
      <alignment vertical="center"/>
    </xf>
    <xf numFmtId="0" fontId="12" fillId="3" borderId="1" xfId="0" applyFont="1" applyFill="1" applyBorder="1" applyAlignment="1">
      <alignment horizontal="center" vertical="center" wrapText="1"/>
    </xf>
    <xf numFmtId="5" fontId="12" fillId="4" borderId="1" xfId="0" applyNumberFormat="1" applyFont="1" applyFill="1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15" fillId="3" borderId="1" xfId="0" applyFont="1" applyFill="1" applyBorder="1" applyAlignment="1">
      <alignment horizontal="center" vertical="center" wrapText="1"/>
    </xf>
    <xf numFmtId="5" fontId="15" fillId="0" borderId="1" xfId="0" applyNumberFormat="1" applyFont="1" applyBorder="1" applyAlignment="1">
      <alignment vertical="center"/>
    </xf>
    <xf numFmtId="0" fontId="12" fillId="3" borderId="1" xfId="0" applyFont="1" applyFill="1" applyBorder="1" applyAlignment="1">
      <alignment horizontal="center" vertical="center"/>
    </xf>
    <xf numFmtId="5" fontId="15" fillId="6" borderId="1" xfId="0" applyNumberFormat="1" applyFont="1" applyFill="1" applyBorder="1" applyAlignment="1">
      <alignment vertical="center"/>
    </xf>
    <xf numFmtId="5" fontId="12" fillId="0" borderId="1" xfId="0" applyNumberFormat="1" applyFont="1" applyBorder="1" applyAlignment="1">
      <alignment vertical="center"/>
    </xf>
    <xf numFmtId="0" fontId="16" fillId="7" borderId="3" xfId="0" applyFont="1" applyFill="1" applyBorder="1"/>
    <xf numFmtId="0" fontId="16" fillId="7" borderId="5" xfId="0" applyFont="1" applyFill="1" applyBorder="1"/>
    <xf numFmtId="0" fontId="16" fillId="7" borderId="7" xfId="0" applyFont="1" applyFill="1" applyBorder="1"/>
    <xf numFmtId="0" fontId="16" fillId="7" borderId="8" xfId="0" applyFont="1" applyFill="1" applyBorder="1"/>
    <xf numFmtId="0" fontId="17" fillId="0" borderId="0" xfId="0" applyFont="1" applyAlignment="1">
      <alignment horizontal="right" vertical="top"/>
    </xf>
    <xf numFmtId="5" fontId="17" fillId="0" borderId="0" xfId="0" applyNumberFormat="1" applyFont="1" applyAlignment="1">
      <alignment vertical="top"/>
    </xf>
    <xf numFmtId="0" fontId="11" fillId="3" borderId="1" xfId="0" applyFont="1" applyFill="1" applyBorder="1" applyAlignment="1">
      <alignment horizontal="center" vertical="center" wrapText="1"/>
    </xf>
    <xf numFmtId="176" fontId="18" fillId="0" borderId="1" xfId="0" applyNumberFormat="1" applyFont="1" applyBorder="1" applyAlignment="1">
      <alignment vertical="center"/>
    </xf>
    <xf numFmtId="0" fontId="14" fillId="0" borderId="0" xfId="0" applyFont="1" applyAlignment="1">
      <alignment horizontal="left" vertical="center"/>
    </xf>
    <xf numFmtId="5" fontId="0" fillId="0" borderId="0" xfId="0" applyNumberFormat="1"/>
    <xf numFmtId="5" fontId="0" fillId="4" borderId="2" xfId="0" applyNumberFormat="1" applyFill="1" applyBorder="1"/>
    <xf numFmtId="5" fontId="0" fillId="0" borderId="2" xfId="0" applyNumberFormat="1" applyBorder="1"/>
    <xf numFmtId="5" fontId="0" fillId="0" borderId="3" xfId="0" applyNumberFormat="1" applyBorder="1"/>
    <xf numFmtId="0" fontId="0" fillId="4" borderId="10" xfId="0" applyFill="1" applyBorder="1"/>
    <xf numFmtId="0" fontId="0" fillId="0" borderId="10" xfId="0" applyBorder="1"/>
    <xf numFmtId="0" fontId="0" fillId="0" borderId="8" xfId="0" applyBorder="1"/>
    <xf numFmtId="0" fontId="0" fillId="2" borderId="1" xfId="0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0" xfId="0" applyAlignment="1">
      <alignment horizontal="center"/>
    </xf>
    <xf numFmtId="0" fontId="0" fillId="4" borderId="7" xfId="0" applyFill="1" applyBorder="1" applyAlignment="1">
      <alignment horizontal="right"/>
    </xf>
    <xf numFmtId="0" fontId="0" fillId="0" borderId="7" xfId="0" applyBorder="1" applyAlignment="1">
      <alignment horizontal="right"/>
    </xf>
    <xf numFmtId="0" fontId="0" fillId="0" borderId="9" xfId="0" applyBorder="1" applyAlignment="1">
      <alignment horizontal="right"/>
    </xf>
    <xf numFmtId="6" fontId="0" fillId="0" borderId="3" xfId="0" applyNumberFormat="1" applyBorder="1"/>
    <xf numFmtId="5" fontId="6" fillId="0" borderId="2" xfId="0" applyNumberFormat="1" applyFont="1" applyBorder="1"/>
    <xf numFmtId="0" fontId="8" fillId="0" borderId="0" xfId="0" applyFont="1" applyAlignment="1">
      <alignment vertical="center"/>
    </xf>
    <xf numFmtId="20" fontId="20" fillId="0" borderId="0" xfId="0" quotePrefix="1" applyNumberFormat="1" applyFont="1" applyAlignment="1">
      <alignment horizontal="left" vertical="center" indent="1"/>
    </xf>
    <xf numFmtId="0" fontId="0" fillId="0" borderId="0" xfId="0" applyAlignment="1">
      <alignment horizontal="right" vertical="center"/>
    </xf>
    <xf numFmtId="0" fontId="23" fillId="0" borderId="0" xfId="0" applyFont="1" applyAlignment="1">
      <alignment vertical="center"/>
    </xf>
    <xf numFmtId="0" fontId="23" fillId="0" borderId="0" xfId="0" applyFont="1" applyAlignment="1">
      <alignment horizontal="left" vertical="center"/>
    </xf>
    <xf numFmtId="0" fontId="23" fillId="0" borderId="14" xfId="0" applyFont="1" applyBorder="1" applyAlignment="1">
      <alignment horizontal="center" vertical="center"/>
    </xf>
    <xf numFmtId="0" fontId="23" fillId="0" borderId="0" xfId="0" quotePrefix="1" applyFont="1" applyAlignment="1">
      <alignment horizontal="left" vertical="center"/>
    </xf>
    <xf numFmtId="0" fontId="23" fillId="0" borderId="0" xfId="0" applyFont="1" applyAlignment="1">
      <alignment horizontal="left" vertical="center" indent="1"/>
    </xf>
    <xf numFmtId="20" fontId="24" fillId="0" borderId="13" xfId="0" applyNumberFormat="1" applyFont="1" applyBorder="1" applyAlignment="1">
      <alignment horizontal="left" vertical="center"/>
    </xf>
    <xf numFmtId="20" fontId="23" fillId="0" borderId="14" xfId="0" quotePrefix="1" applyNumberFormat="1" applyFont="1" applyBorder="1" applyAlignment="1">
      <alignment horizontal="center" vertical="center"/>
    </xf>
    <xf numFmtId="0" fontId="23" fillId="7" borderId="0" xfId="0" applyFont="1" applyFill="1" applyAlignment="1">
      <alignment horizontal="left" vertical="center"/>
    </xf>
    <xf numFmtId="0" fontId="23" fillId="0" borderId="0" xfId="0" applyFont="1" applyAlignment="1">
      <alignment horizontal="center" vertical="center"/>
    </xf>
    <xf numFmtId="20" fontId="24" fillId="0" borderId="0" xfId="0" applyNumberFormat="1" applyFont="1" applyAlignment="1">
      <alignment horizontal="left" vertical="center"/>
    </xf>
    <xf numFmtId="20" fontId="23" fillId="0" borderId="14" xfId="0" applyNumberFormat="1" applyFont="1" applyBorder="1" applyAlignment="1">
      <alignment horizontal="center" vertical="center"/>
    </xf>
    <xf numFmtId="0" fontId="23" fillId="0" borderId="0" xfId="0" quotePrefix="1" applyFont="1" applyAlignment="1">
      <alignment vertical="center"/>
    </xf>
    <xf numFmtId="0" fontId="21" fillId="0" borderId="14" xfId="0" applyFont="1" applyBorder="1" applyAlignment="1">
      <alignment horizontal="center" vertical="center"/>
    </xf>
    <xf numFmtId="0" fontId="23" fillId="8" borderId="16" xfId="0" applyFont="1" applyFill="1" applyBorder="1" applyAlignment="1">
      <alignment horizontal="left" vertical="center"/>
    </xf>
    <xf numFmtId="0" fontId="21" fillId="8" borderId="16" xfId="0" applyFont="1" applyFill="1" applyBorder="1" applyAlignment="1">
      <alignment horizontal="left" vertical="center" indent="1"/>
    </xf>
    <xf numFmtId="0" fontId="25" fillId="8" borderId="0" xfId="0" quotePrefix="1" applyFont="1" applyFill="1" applyAlignment="1">
      <alignment horizontal="left" vertical="center"/>
    </xf>
    <xf numFmtId="0" fontId="23" fillId="8" borderId="0" xfId="0" applyFont="1" applyFill="1" applyAlignment="1">
      <alignment vertical="center"/>
    </xf>
    <xf numFmtId="0" fontId="23" fillId="0" borderId="0" xfId="0" quotePrefix="1" applyFont="1" applyAlignment="1">
      <alignment horizontal="left" vertical="center" indent="1"/>
    </xf>
    <xf numFmtId="0" fontId="23" fillId="8" borderId="0" xfId="0" applyFont="1" applyFill="1" applyAlignment="1">
      <alignment horizontal="left" vertical="center"/>
    </xf>
    <xf numFmtId="0" fontId="23" fillId="0" borderId="14" xfId="0" quotePrefix="1" applyFont="1" applyBorder="1" applyAlignment="1">
      <alignment horizontal="center" vertical="center"/>
    </xf>
    <xf numFmtId="20" fontId="25" fillId="8" borderId="0" xfId="0" quotePrefix="1" applyNumberFormat="1" applyFont="1" applyFill="1" applyAlignment="1">
      <alignment horizontal="left" vertical="center"/>
    </xf>
    <xf numFmtId="0" fontId="23" fillId="8" borderId="0" xfId="0" quotePrefix="1" applyFont="1" applyFill="1" applyAlignment="1">
      <alignment horizontal="left" vertical="center"/>
    </xf>
    <xf numFmtId="0" fontId="21" fillId="8" borderId="0" xfId="0" applyFont="1" applyFill="1" applyAlignment="1">
      <alignment horizontal="left" vertical="center" indent="1"/>
    </xf>
    <xf numFmtId="0" fontId="23" fillId="8" borderId="0" xfId="0" applyFont="1" applyFill="1" applyAlignment="1">
      <alignment horizontal="left" vertical="center" indent="1"/>
    </xf>
    <xf numFmtId="20" fontId="24" fillId="0" borderId="0" xfId="0" quotePrefix="1" applyNumberFormat="1" applyFont="1" applyAlignment="1">
      <alignment horizontal="center" vertical="center"/>
    </xf>
    <xf numFmtId="0" fontId="23" fillId="9" borderId="16" xfId="0" applyFont="1" applyFill="1" applyBorder="1" applyAlignment="1">
      <alignment horizontal="left" vertical="center"/>
    </xf>
    <xf numFmtId="0" fontId="23" fillId="8" borderId="12" xfId="0" applyFont="1" applyFill="1" applyBorder="1" applyAlignment="1">
      <alignment horizontal="left" vertical="center" indent="1"/>
    </xf>
    <xf numFmtId="0" fontId="23" fillId="9" borderId="0" xfId="0" quotePrefix="1" applyFont="1" applyFill="1" applyAlignment="1">
      <alignment horizontal="left" vertical="center"/>
    </xf>
    <xf numFmtId="0" fontId="23" fillId="9" borderId="0" xfId="0" quotePrefix="1" applyFont="1" applyFill="1" applyAlignment="1">
      <alignment horizontal="left" vertical="center" indent="1"/>
    </xf>
    <xf numFmtId="0" fontId="27" fillId="0" borderId="0" xfId="0" quotePrefix="1" applyFont="1" applyAlignment="1">
      <alignment horizontal="left" vertical="center"/>
    </xf>
    <xf numFmtId="0" fontId="23" fillId="9" borderId="0" xfId="0" applyFont="1" applyFill="1" applyAlignment="1">
      <alignment vertical="center"/>
    </xf>
    <xf numFmtId="0" fontId="25" fillId="9" borderId="7" xfId="0" quotePrefix="1" applyFont="1" applyFill="1" applyBorder="1" applyAlignment="1">
      <alignment horizontal="left" vertical="center"/>
    </xf>
    <xf numFmtId="20" fontId="24" fillId="9" borderId="19" xfId="0" quotePrefix="1" applyNumberFormat="1" applyFont="1" applyFill="1" applyBorder="1" applyAlignment="1">
      <alignment horizontal="left" vertical="center"/>
    </xf>
    <xf numFmtId="0" fontId="23" fillId="9" borderId="7" xfId="0" quotePrefix="1" applyFont="1" applyFill="1" applyBorder="1" applyAlignment="1">
      <alignment horizontal="left" vertical="center"/>
    </xf>
    <xf numFmtId="0" fontId="23" fillId="0" borderId="0" xfId="0" applyFont="1" applyAlignment="1">
      <alignment horizontal="left" vertical="center" indent="6"/>
    </xf>
    <xf numFmtId="0" fontId="23" fillId="0" borderId="0" xfId="0" applyFont="1" applyAlignment="1">
      <alignment horizontal="right" vertical="center"/>
    </xf>
    <xf numFmtId="0" fontId="23" fillId="0" borderId="0" xfId="0" quotePrefix="1" applyFont="1" applyAlignment="1">
      <alignment horizontal="right" vertical="center"/>
    </xf>
    <xf numFmtId="20" fontId="21" fillId="0" borderId="14" xfId="0" quotePrefix="1" applyNumberFormat="1" applyFont="1" applyBorder="1" applyAlignment="1">
      <alignment horizontal="center" vertical="center"/>
    </xf>
    <xf numFmtId="20" fontId="23" fillId="0" borderId="0" xfId="0" quotePrefix="1" applyNumberFormat="1" applyFont="1" applyAlignment="1">
      <alignment horizontal="right" vertical="center"/>
    </xf>
    <xf numFmtId="0" fontId="23" fillId="8" borderId="0" xfId="0" applyFont="1" applyFill="1" applyAlignment="1">
      <alignment horizontal="right" vertical="center"/>
    </xf>
    <xf numFmtId="20" fontId="23" fillId="0" borderId="0" xfId="0" quotePrefix="1" applyNumberFormat="1" applyFont="1" applyAlignment="1">
      <alignment horizontal="left" vertical="center" indent="1"/>
    </xf>
    <xf numFmtId="20" fontId="23" fillId="8" borderId="0" xfId="0" quotePrefix="1" applyNumberFormat="1" applyFont="1" applyFill="1" applyAlignment="1">
      <alignment horizontal="right" vertical="center"/>
    </xf>
    <xf numFmtId="20" fontId="23" fillId="8" borderId="20" xfId="0" applyNumberFormat="1" applyFont="1" applyFill="1" applyBorder="1" applyAlignment="1">
      <alignment horizontal="left" vertical="center" indent="1"/>
    </xf>
    <xf numFmtId="20" fontId="25" fillId="8" borderId="0" xfId="0" quotePrefix="1" applyNumberFormat="1" applyFont="1" applyFill="1" applyAlignment="1">
      <alignment horizontal="right" vertical="center"/>
    </xf>
    <xf numFmtId="20" fontId="25" fillId="8" borderId="20" xfId="0" applyNumberFormat="1" applyFont="1" applyFill="1" applyBorder="1" applyAlignment="1">
      <alignment horizontal="left" vertical="center" indent="1"/>
    </xf>
    <xf numFmtId="0" fontId="23" fillId="5" borderId="16" xfId="0" applyFont="1" applyFill="1" applyBorder="1" applyAlignment="1">
      <alignment horizontal="right" vertical="center"/>
    </xf>
    <xf numFmtId="20" fontId="23" fillId="5" borderId="0" xfId="0" quotePrefix="1" applyNumberFormat="1" applyFont="1" applyFill="1" applyAlignment="1">
      <alignment horizontal="left" vertical="center"/>
    </xf>
    <xf numFmtId="20" fontId="23" fillId="5" borderId="0" xfId="0" quotePrefix="1" applyNumberFormat="1" applyFont="1" applyFill="1" applyAlignment="1">
      <alignment horizontal="left" vertical="center" indent="1"/>
    </xf>
    <xf numFmtId="20" fontId="21" fillId="8" borderId="21" xfId="0" applyNumberFormat="1" applyFont="1" applyFill="1" applyBorder="1" applyAlignment="1">
      <alignment horizontal="center" vertical="center"/>
    </xf>
    <xf numFmtId="20" fontId="21" fillId="8" borderId="22" xfId="0" applyNumberFormat="1" applyFont="1" applyFill="1" applyBorder="1" applyAlignment="1">
      <alignment horizontal="left" vertical="center" indent="1"/>
    </xf>
    <xf numFmtId="20" fontId="21" fillId="8" borderId="23" xfId="0" applyNumberFormat="1" applyFont="1" applyFill="1" applyBorder="1" applyAlignment="1">
      <alignment horizontal="left" vertical="center" indent="1"/>
    </xf>
    <xf numFmtId="0" fontId="30" fillId="0" borderId="0" xfId="0" applyFont="1" applyAlignment="1">
      <alignment horizontal="left" vertical="center"/>
    </xf>
    <xf numFmtId="0" fontId="30" fillId="0" borderId="0" xfId="0" applyFont="1" applyAlignment="1">
      <alignment horizontal="right" vertical="center"/>
    </xf>
    <xf numFmtId="20" fontId="21" fillId="0" borderId="0" xfId="0" applyNumberFormat="1" applyFont="1" applyAlignment="1">
      <alignment horizontal="left" vertical="center" indent="2"/>
    </xf>
    <xf numFmtId="20" fontId="23" fillId="5" borderId="16" xfId="0" quotePrefix="1" applyNumberFormat="1" applyFont="1" applyFill="1" applyBorder="1" applyAlignment="1">
      <alignment horizontal="right" vertical="center"/>
    </xf>
    <xf numFmtId="20" fontId="23" fillId="9" borderId="0" xfId="0" quotePrefix="1" applyNumberFormat="1" applyFont="1" applyFill="1" applyAlignment="1">
      <alignment horizontal="right" vertical="center"/>
    </xf>
    <xf numFmtId="20" fontId="23" fillId="9" borderId="0" xfId="0" quotePrefix="1" applyNumberFormat="1" applyFont="1" applyFill="1" applyAlignment="1">
      <alignment horizontal="left" vertical="center"/>
    </xf>
    <xf numFmtId="20" fontId="23" fillId="9" borderId="0" xfId="0" quotePrefix="1" applyNumberFormat="1" applyFont="1" applyFill="1" applyAlignment="1">
      <alignment horizontal="left" vertical="center" indent="1"/>
    </xf>
    <xf numFmtId="20" fontId="25" fillId="9" borderId="0" xfId="0" applyNumberFormat="1" applyFont="1" applyFill="1" applyAlignment="1">
      <alignment horizontal="left" vertical="center" indent="1"/>
    </xf>
    <xf numFmtId="20" fontId="21" fillId="0" borderId="0" xfId="0" quotePrefix="1" applyNumberFormat="1" applyFont="1" applyAlignment="1">
      <alignment horizontal="left" vertical="center" indent="1"/>
    </xf>
    <xf numFmtId="20" fontId="21" fillId="0" borderId="18" xfId="0" applyNumberFormat="1" applyFont="1" applyBorder="1" applyAlignment="1">
      <alignment horizontal="right" vertical="center"/>
    </xf>
    <xf numFmtId="0" fontId="25" fillId="9" borderId="16" xfId="0" applyFont="1" applyFill="1" applyBorder="1" applyAlignment="1">
      <alignment horizontal="left" vertical="center"/>
    </xf>
    <xf numFmtId="0" fontId="23" fillId="9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right" vertical="center"/>
    </xf>
    <xf numFmtId="0" fontId="21" fillId="9" borderId="0" xfId="0" applyFont="1" applyFill="1" applyAlignment="1">
      <alignment horizontal="left" vertical="center" indent="1"/>
    </xf>
    <xf numFmtId="20" fontId="21" fillId="0" borderId="0" xfId="0" applyNumberFormat="1" applyFont="1" applyAlignment="1">
      <alignment horizontal="left" vertical="center" indent="1"/>
    </xf>
    <xf numFmtId="20" fontId="21" fillId="9" borderId="0" xfId="0" applyNumberFormat="1" applyFont="1" applyFill="1" applyAlignment="1">
      <alignment horizontal="right" vertical="center"/>
    </xf>
    <xf numFmtId="20" fontId="21" fillId="9" borderId="0" xfId="0" applyNumberFormat="1" applyFont="1" applyFill="1" applyAlignment="1">
      <alignment horizontal="left" vertical="center" indent="1"/>
    </xf>
    <xf numFmtId="20" fontId="23" fillId="0" borderId="16" xfId="0" applyNumberFormat="1" applyFont="1" applyBorder="1" applyAlignment="1">
      <alignment horizontal="left" vertical="center" indent="1"/>
    </xf>
    <xf numFmtId="20" fontId="21" fillId="0" borderId="0" xfId="0" applyNumberFormat="1" applyFont="1" applyAlignment="1">
      <alignment horizontal="left" vertical="center"/>
    </xf>
    <xf numFmtId="0" fontId="21" fillId="10" borderId="16" xfId="0" applyFont="1" applyFill="1" applyBorder="1" applyAlignment="1">
      <alignment horizontal="left" vertical="center" indent="1"/>
    </xf>
    <xf numFmtId="20" fontId="23" fillId="10" borderId="16" xfId="0" quotePrefix="1" applyNumberFormat="1" applyFont="1" applyFill="1" applyBorder="1" applyAlignment="1">
      <alignment horizontal="right" vertical="center"/>
    </xf>
    <xf numFmtId="0" fontId="25" fillId="8" borderId="16" xfId="0" quotePrefix="1" applyFont="1" applyFill="1" applyBorder="1" applyAlignment="1">
      <alignment horizontal="left" vertical="center"/>
    </xf>
    <xf numFmtId="0" fontId="22" fillId="8" borderId="16" xfId="0" applyFont="1" applyFill="1" applyBorder="1" applyAlignment="1">
      <alignment horizontal="left" vertical="center"/>
    </xf>
    <xf numFmtId="0" fontId="25" fillId="8" borderId="0" xfId="0" applyFont="1" applyFill="1" applyAlignment="1">
      <alignment vertical="center"/>
    </xf>
    <xf numFmtId="0" fontId="25" fillId="8" borderId="0" xfId="0" applyFont="1" applyFill="1" applyAlignment="1">
      <alignment horizontal="left" vertical="center"/>
    </xf>
    <xf numFmtId="0" fontId="25" fillId="8" borderId="12" xfId="0" quotePrefix="1" applyFont="1" applyFill="1" applyBorder="1" applyAlignment="1">
      <alignment horizontal="left" vertical="center"/>
    </xf>
    <xf numFmtId="0" fontId="25" fillId="8" borderId="12" xfId="0" applyFont="1" applyFill="1" applyBorder="1" applyAlignment="1">
      <alignment horizontal="left" vertical="center" indent="1"/>
    </xf>
    <xf numFmtId="0" fontId="23" fillId="5" borderId="16" xfId="0" quotePrefix="1" applyFont="1" applyFill="1" applyBorder="1" applyAlignment="1">
      <alignment horizontal="left" vertical="center"/>
    </xf>
    <xf numFmtId="0" fontId="23" fillId="0" borderId="24" xfId="0" applyFont="1" applyBorder="1" applyAlignment="1">
      <alignment vertical="center"/>
    </xf>
    <xf numFmtId="0" fontId="23" fillId="0" borderId="25" xfId="0" applyFont="1" applyBorder="1" applyAlignment="1">
      <alignment vertical="center"/>
    </xf>
    <xf numFmtId="0" fontId="23" fillId="0" borderId="24" xfId="0" applyFont="1" applyBorder="1" applyAlignment="1">
      <alignment horizontal="left" vertical="center" indent="1"/>
    </xf>
    <xf numFmtId="0" fontId="23" fillId="8" borderId="26" xfId="0" quotePrefix="1" applyFont="1" applyFill="1" applyBorder="1" applyAlignment="1">
      <alignment horizontal="left" vertical="center"/>
    </xf>
    <xf numFmtId="0" fontId="14" fillId="9" borderId="0" xfId="0" applyFont="1" applyFill="1" applyAlignment="1">
      <alignment horizontal="left" vertical="center"/>
    </xf>
    <xf numFmtId="0" fontId="23" fillId="0" borderId="24" xfId="0" quotePrefix="1" applyFont="1" applyBorder="1" applyAlignment="1">
      <alignment vertical="center"/>
    </xf>
    <xf numFmtId="0" fontId="25" fillId="8" borderId="24" xfId="0" quotePrefix="1" applyFont="1" applyFill="1" applyBorder="1" applyAlignment="1">
      <alignment horizontal="left" vertical="center"/>
    </xf>
    <xf numFmtId="0" fontId="23" fillId="8" borderId="24" xfId="0" applyFont="1" applyFill="1" applyBorder="1" applyAlignment="1">
      <alignment vertical="center"/>
    </xf>
    <xf numFmtId="0" fontId="25" fillId="8" borderId="24" xfId="0" applyFont="1" applyFill="1" applyBorder="1" applyAlignment="1">
      <alignment vertical="center"/>
    </xf>
    <xf numFmtId="0" fontId="23" fillId="8" borderId="12" xfId="0" applyFont="1" applyFill="1" applyBorder="1" applyAlignment="1">
      <alignment horizontal="left" vertical="center"/>
    </xf>
    <xf numFmtId="0" fontId="23" fillId="8" borderId="24" xfId="0" applyFont="1" applyFill="1" applyBorder="1" applyAlignment="1">
      <alignment horizontal="left" vertical="center" indent="1"/>
    </xf>
    <xf numFmtId="20" fontId="23" fillId="0" borderId="14" xfId="0" quotePrefix="1" applyNumberFormat="1" applyFont="1" applyBorder="1" applyAlignment="1">
      <alignment horizontal="left" vertical="center" indent="1"/>
    </xf>
    <xf numFmtId="0" fontId="23" fillId="8" borderId="27" xfId="0" applyFont="1" applyFill="1" applyBorder="1" applyAlignment="1">
      <alignment horizontal="right" vertical="center"/>
    </xf>
    <xf numFmtId="20" fontId="21" fillId="8" borderId="28" xfId="0" quotePrefix="1" applyNumberFormat="1" applyFont="1" applyFill="1" applyBorder="1" applyAlignment="1">
      <alignment horizontal="left" vertical="center" indent="1"/>
    </xf>
    <xf numFmtId="0" fontId="23" fillId="0" borderId="24" xfId="0" applyFont="1" applyBorder="1" applyAlignment="1">
      <alignment horizontal="right" vertical="center"/>
    </xf>
    <xf numFmtId="20" fontId="21" fillId="0" borderId="29" xfId="0" quotePrefix="1" applyNumberFormat="1" applyFont="1" applyBorder="1" applyAlignment="1">
      <alignment horizontal="center" vertical="center"/>
    </xf>
    <xf numFmtId="20" fontId="23" fillId="8" borderId="24" xfId="0" quotePrefix="1" applyNumberFormat="1" applyFont="1" applyFill="1" applyBorder="1" applyAlignment="1">
      <alignment horizontal="right" vertical="center"/>
    </xf>
    <xf numFmtId="20" fontId="23" fillId="8" borderId="30" xfId="0" applyNumberFormat="1" applyFont="1" applyFill="1" applyBorder="1" applyAlignment="1">
      <alignment horizontal="left" vertical="center" indent="1"/>
    </xf>
    <xf numFmtId="20" fontId="23" fillId="0" borderId="24" xfId="0" quotePrefix="1" applyNumberFormat="1" applyFont="1" applyBorder="1" applyAlignment="1">
      <alignment horizontal="right" vertical="center"/>
    </xf>
    <xf numFmtId="20" fontId="23" fillId="5" borderId="24" xfId="0" quotePrefix="1" applyNumberFormat="1" applyFont="1" applyFill="1" applyBorder="1" applyAlignment="1">
      <alignment horizontal="left" vertical="center"/>
    </xf>
    <xf numFmtId="20" fontId="23" fillId="5" borderId="24" xfId="0" quotePrefix="1" applyNumberFormat="1" applyFont="1" applyFill="1" applyBorder="1" applyAlignment="1">
      <alignment horizontal="left" vertical="center" indent="1"/>
    </xf>
    <xf numFmtId="0" fontId="23" fillId="8" borderId="25" xfId="0" applyFont="1" applyFill="1" applyBorder="1" applyAlignment="1">
      <alignment horizontal="right" vertical="center"/>
    </xf>
    <xf numFmtId="0" fontId="23" fillId="8" borderId="25" xfId="0" applyFont="1" applyFill="1" applyBorder="1" applyAlignment="1">
      <alignment vertical="center"/>
    </xf>
    <xf numFmtId="20" fontId="26" fillId="8" borderId="22" xfId="0" applyNumberFormat="1" applyFont="1" applyFill="1" applyBorder="1" applyAlignment="1">
      <alignment horizontal="center" vertical="center"/>
    </xf>
    <xf numFmtId="20" fontId="21" fillId="8" borderId="31" xfId="0" applyNumberFormat="1" applyFont="1" applyFill="1" applyBorder="1" applyAlignment="1">
      <alignment horizontal="left" vertical="center" indent="1"/>
    </xf>
    <xf numFmtId="20" fontId="23" fillId="8" borderId="20" xfId="0" applyNumberFormat="1" applyFont="1" applyFill="1" applyBorder="1" applyAlignment="1">
      <alignment horizontal="left" vertical="center" indent="2"/>
    </xf>
    <xf numFmtId="0" fontId="23" fillId="8" borderId="24" xfId="0" applyFont="1" applyFill="1" applyBorder="1" applyAlignment="1">
      <alignment horizontal="right" vertical="center"/>
    </xf>
    <xf numFmtId="20" fontId="23" fillId="9" borderId="24" xfId="0" quotePrefix="1" applyNumberFormat="1" applyFont="1" applyFill="1" applyBorder="1" applyAlignment="1">
      <alignment horizontal="right" vertical="center"/>
    </xf>
    <xf numFmtId="20" fontId="23" fillId="9" borderId="24" xfId="0" quotePrefix="1" applyNumberFormat="1" applyFont="1" applyFill="1" applyBorder="1" applyAlignment="1">
      <alignment horizontal="left" vertical="center" indent="1"/>
    </xf>
    <xf numFmtId="20" fontId="23" fillId="9" borderId="24" xfId="0" applyNumberFormat="1" applyFont="1" applyFill="1" applyBorder="1" applyAlignment="1">
      <alignment horizontal="left" vertical="center" indent="1"/>
    </xf>
    <xf numFmtId="0" fontId="23" fillId="8" borderId="12" xfId="0" applyFont="1" applyFill="1" applyBorder="1" applyAlignment="1">
      <alignment horizontal="right" vertical="center"/>
    </xf>
    <xf numFmtId="20" fontId="23" fillId="8" borderId="32" xfId="0" applyNumberFormat="1" applyFont="1" applyFill="1" applyBorder="1" applyAlignment="1">
      <alignment horizontal="left" vertical="center" indent="1"/>
    </xf>
    <xf numFmtId="20" fontId="25" fillId="0" borderId="0" xfId="0" quotePrefix="1" applyNumberFormat="1" applyFont="1" applyAlignment="1">
      <alignment horizontal="left" vertical="center"/>
    </xf>
    <xf numFmtId="0" fontId="21" fillId="0" borderId="0" xfId="0" applyFont="1" applyAlignment="1">
      <alignment horizontal="left" vertical="center"/>
    </xf>
    <xf numFmtId="20" fontId="23" fillId="10" borderId="24" xfId="0" quotePrefix="1" applyNumberFormat="1" applyFont="1" applyFill="1" applyBorder="1" applyAlignment="1">
      <alignment horizontal="right" vertical="center"/>
    </xf>
    <xf numFmtId="0" fontId="23" fillId="0" borderId="24" xfId="0" applyFont="1" applyBorder="1" applyAlignment="1">
      <alignment horizontal="center" vertical="center"/>
    </xf>
    <xf numFmtId="20" fontId="23" fillId="10" borderId="25" xfId="0" quotePrefix="1" applyNumberFormat="1" applyFont="1" applyFill="1" applyBorder="1" applyAlignment="1">
      <alignment horizontal="right" vertical="center"/>
    </xf>
    <xf numFmtId="20" fontId="23" fillId="10" borderId="25" xfId="0" applyNumberFormat="1" applyFont="1" applyFill="1" applyBorder="1" applyAlignment="1">
      <alignment horizontal="left" vertical="center" indent="1"/>
    </xf>
    <xf numFmtId="20" fontId="25" fillId="0" borderId="0" xfId="0" applyNumberFormat="1" applyFont="1" applyAlignment="1">
      <alignment horizontal="left" vertical="center" indent="1"/>
    </xf>
    <xf numFmtId="20" fontId="23" fillId="10" borderId="24" xfId="0" applyNumberFormat="1" applyFont="1" applyFill="1" applyBorder="1" applyAlignment="1">
      <alignment horizontal="left" vertical="center" indent="1"/>
    </xf>
    <xf numFmtId="0" fontId="34" fillId="8" borderId="16" xfId="0" applyFont="1" applyFill="1" applyBorder="1" applyAlignment="1">
      <alignment horizontal="left" vertical="center" indent="1"/>
    </xf>
    <xf numFmtId="20" fontId="23" fillId="0" borderId="16" xfId="0" quotePrefix="1" applyNumberFormat="1" applyFont="1" applyBorder="1" applyAlignment="1">
      <alignment horizontal="right" vertical="center"/>
    </xf>
    <xf numFmtId="20" fontId="23" fillId="0" borderId="16" xfId="0" quotePrefix="1" applyNumberFormat="1" applyFont="1" applyBorder="1" applyAlignment="1">
      <alignment horizontal="left" vertical="center"/>
    </xf>
    <xf numFmtId="0" fontId="14" fillId="7" borderId="0" xfId="0" applyFont="1" applyFill="1" applyAlignment="1">
      <alignment horizontal="left" vertical="center" indent="1"/>
    </xf>
    <xf numFmtId="0" fontId="27" fillId="9" borderId="7" xfId="0" applyFont="1" applyFill="1" applyBorder="1" applyAlignment="1">
      <alignment horizontal="left" vertical="center"/>
    </xf>
    <xf numFmtId="20" fontId="23" fillId="8" borderId="30" xfId="0" applyNumberFormat="1" applyFont="1" applyFill="1" applyBorder="1" applyAlignment="1">
      <alignment horizontal="left" vertical="center" indent="2"/>
    </xf>
    <xf numFmtId="20" fontId="21" fillId="8" borderId="22" xfId="0" applyNumberFormat="1" applyFont="1" applyFill="1" applyBorder="1" applyAlignment="1">
      <alignment horizontal="left" vertical="center" indent="2"/>
    </xf>
    <xf numFmtId="20" fontId="23" fillId="8" borderId="21" xfId="0" applyNumberFormat="1" applyFont="1" applyFill="1" applyBorder="1" applyAlignment="1">
      <alignment horizontal="left" vertical="center" indent="1"/>
    </xf>
    <xf numFmtId="20" fontId="23" fillId="8" borderId="22" xfId="0" applyNumberFormat="1" applyFont="1" applyFill="1" applyBorder="1" applyAlignment="1">
      <alignment horizontal="left" vertical="center" indent="1"/>
    </xf>
    <xf numFmtId="20" fontId="23" fillId="8" borderId="23" xfId="0" applyNumberFormat="1" applyFont="1" applyFill="1" applyBorder="1" applyAlignment="1">
      <alignment horizontal="left" vertical="center" indent="1"/>
    </xf>
    <xf numFmtId="20" fontId="23" fillId="0" borderId="12" xfId="0" quotePrefix="1" applyNumberFormat="1" applyFont="1" applyBorder="1" applyAlignment="1">
      <alignment horizontal="right" vertical="center"/>
    </xf>
    <xf numFmtId="20" fontId="23" fillId="0" borderId="12" xfId="0" applyNumberFormat="1" applyFont="1" applyBorder="1" applyAlignment="1">
      <alignment horizontal="left" vertical="center" indent="1"/>
    </xf>
    <xf numFmtId="0" fontId="22" fillId="8" borderId="21" xfId="0" applyFont="1" applyFill="1" applyBorder="1" applyAlignment="1">
      <alignment vertical="center"/>
    </xf>
    <xf numFmtId="0" fontId="23" fillId="8" borderId="12" xfId="0" applyFont="1" applyFill="1" applyBorder="1" applyAlignment="1">
      <alignment horizontal="left" vertical="center" indent="2"/>
    </xf>
    <xf numFmtId="0" fontId="27" fillId="8" borderId="0" xfId="0" quotePrefix="1" applyFont="1" applyFill="1" applyAlignment="1">
      <alignment horizontal="left" vertical="center"/>
    </xf>
    <xf numFmtId="0" fontId="27" fillId="8" borderId="24" xfId="0" quotePrefix="1" applyFont="1" applyFill="1" applyBorder="1" applyAlignment="1">
      <alignment horizontal="left" vertical="center"/>
    </xf>
    <xf numFmtId="0" fontId="37" fillId="8" borderId="24" xfId="0" applyFont="1" applyFill="1" applyBorder="1" applyAlignment="1">
      <alignment vertical="center"/>
    </xf>
    <xf numFmtId="0" fontId="23" fillId="8" borderId="0" xfId="0" quotePrefix="1" applyFont="1" applyFill="1" applyAlignment="1">
      <alignment horizontal="right" vertical="center"/>
    </xf>
    <xf numFmtId="20" fontId="23" fillId="8" borderId="0" xfId="0" quotePrefix="1" applyNumberFormat="1" applyFont="1" applyFill="1" applyAlignment="1">
      <alignment horizontal="left" vertical="center"/>
    </xf>
    <xf numFmtId="20" fontId="27" fillId="8" borderId="0" xfId="0" quotePrefix="1" applyNumberFormat="1" applyFont="1" applyFill="1" applyAlignment="1">
      <alignment horizontal="right" vertical="center"/>
    </xf>
    <xf numFmtId="0" fontId="27" fillId="9" borderId="7" xfId="0" quotePrefix="1" applyFont="1" applyFill="1" applyBorder="1" applyAlignment="1">
      <alignment horizontal="left" vertical="center"/>
    </xf>
    <xf numFmtId="0" fontId="27" fillId="9" borderId="0" xfId="0" quotePrefix="1" applyFont="1" applyFill="1" applyAlignment="1">
      <alignment horizontal="left" vertical="center"/>
    </xf>
    <xf numFmtId="0" fontId="39" fillId="0" borderId="0" xfId="0" applyFont="1" applyAlignment="1">
      <alignment vertical="center"/>
    </xf>
    <xf numFmtId="0" fontId="40" fillId="0" borderId="0" xfId="0" applyFont="1" applyAlignment="1">
      <alignment vertical="center"/>
    </xf>
    <xf numFmtId="0" fontId="36" fillId="8" borderId="23" xfId="0" applyFont="1" applyFill="1" applyBorder="1" applyAlignment="1">
      <alignment horizontal="left" vertical="center" indent="2"/>
    </xf>
    <xf numFmtId="0" fontId="22" fillId="5" borderId="16" xfId="0" applyFont="1" applyFill="1" applyBorder="1" applyAlignment="1">
      <alignment horizontal="left" vertical="center" indent="1"/>
    </xf>
    <xf numFmtId="0" fontId="27" fillId="5" borderId="0" xfId="0" quotePrefix="1" applyFont="1" applyFill="1" applyAlignment="1">
      <alignment horizontal="left" vertical="center"/>
    </xf>
    <xf numFmtId="0" fontId="22" fillId="9" borderId="16" xfId="0" applyFont="1" applyFill="1" applyBorder="1" applyAlignment="1">
      <alignment horizontal="left" vertical="center" indent="1"/>
    </xf>
    <xf numFmtId="0" fontId="22" fillId="9" borderId="17" xfId="0" quotePrefix="1" applyFont="1" applyFill="1" applyBorder="1" applyAlignment="1">
      <alignment horizontal="left" vertical="center" indent="1"/>
    </xf>
    <xf numFmtId="0" fontId="23" fillId="9" borderId="0" xfId="0" quotePrefix="1" applyFont="1" applyFill="1" applyAlignment="1">
      <alignment vertical="center"/>
    </xf>
    <xf numFmtId="0" fontId="23" fillId="9" borderId="0" xfId="0" applyFont="1" applyFill="1" applyAlignment="1">
      <alignment horizontal="left" vertical="center"/>
    </xf>
    <xf numFmtId="0" fontId="23" fillId="9" borderId="0" xfId="0" applyFont="1" applyFill="1" applyAlignment="1">
      <alignment horizontal="left" vertical="center" indent="1"/>
    </xf>
    <xf numFmtId="0" fontId="21" fillId="0" borderId="0" xfId="0" applyFont="1" applyAlignment="1">
      <alignment vertical="center"/>
    </xf>
    <xf numFmtId="0" fontId="21" fillId="9" borderId="0" xfId="0" applyFont="1" applyFill="1" applyAlignment="1">
      <alignment horizontal="left" vertical="center"/>
    </xf>
    <xf numFmtId="0" fontId="21" fillId="9" borderId="0" xfId="0" applyFont="1" applyFill="1" applyAlignment="1">
      <alignment vertical="center"/>
    </xf>
    <xf numFmtId="0" fontId="27" fillId="10" borderId="0" xfId="0" quotePrefix="1" applyFont="1" applyFill="1" applyAlignment="1">
      <alignment horizontal="left" vertical="center"/>
    </xf>
    <xf numFmtId="0" fontId="27" fillId="10" borderId="7" xfId="0" quotePrefix="1" applyFont="1" applyFill="1" applyBorder="1" applyAlignment="1">
      <alignment horizontal="left" vertical="center"/>
    </xf>
    <xf numFmtId="0" fontId="23" fillId="7" borderId="0" xfId="0" applyFont="1" applyFill="1" applyAlignment="1">
      <alignment vertical="center"/>
    </xf>
    <xf numFmtId="20" fontId="24" fillId="7" borderId="0" xfId="0" applyNumberFormat="1" applyFont="1" applyFill="1" applyAlignment="1">
      <alignment horizontal="left" vertical="center"/>
    </xf>
    <xf numFmtId="0" fontId="23" fillId="11" borderId="0" xfId="0" applyFont="1" applyFill="1" applyAlignment="1">
      <alignment vertical="center"/>
    </xf>
    <xf numFmtId="0" fontId="23" fillId="7" borderId="0" xfId="0" quotePrefix="1" applyFont="1" applyFill="1" applyAlignment="1">
      <alignment horizontal="left" vertical="center"/>
    </xf>
    <xf numFmtId="20" fontId="21" fillId="7" borderId="14" xfId="0" applyNumberFormat="1" applyFont="1" applyFill="1" applyBorder="1" applyAlignment="1">
      <alignment horizontal="left" vertical="center" indent="1"/>
    </xf>
    <xf numFmtId="0" fontId="25" fillId="9" borderId="0" xfId="0" applyFont="1" applyFill="1" applyAlignment="1">
      <alignment horizontal="left" vertical="center" indent="1"/>
    </xf>
    <xf numFmtId="20" fontId="27" fillId="9" borderId="0" xfId="0" quotePrefix="1" applyNumberFormat="1" applyFont="1" applyFill="1" applyAlignment="1">
      <alignment horizontal="right" vertical="center"/>
    </xf>
    <xf numFmtId="0" fontId="41" fillId="9" borderId="0" xfId="0" applyFont="1" applyFill="1" applyAlignment="1">
      <alignment vertical="center"/>
    </xf>
    <xf numFmtId="0" fontId="25" fillId="9" borderId="0" xfId="0" quotePrefix="1" applyFont="1" applyFill="1" applyAlignment="1">
      <alignment horizontal="left" vertical="center" indent="2"/>
    </xf>
    <xf numFmtId="0" fontId="27" fillId="5" borderId="24" xfId="0" quotePrefix="1" applyFont="1" applyFill="1" applyBorder="1" applyAlignment="1">
      <alignment horizontal="right" vertical="center"/>
    </xf>
    <xf numFmtId="20" fontId="27" fillId="5" borderId="0" xfId="0" quotePrefix="1" applyNumberFormat="1" applyFont="1" applyFill="1" applyAlignment="1">
      <alignment horizontal="right" vertical="center"/>
    </xf>
    <xf numFmtId="20" fontId="27" fillId="5" borderId="24" xfId="0" quotePrefix="1" applyNumberFormat="1" applyFont="1" applyFill="1" applyBorder="1" applyAlignment="1">
      <alignment horizontal="right" vertical="center"/>
    </xf>
    <xf numFmtId="20" fontId="27" fillId="0" borderId="24" xfId="0" quotePrefix="1" applyNumberFormat="1" applyFont="1" applyBorder="1" applyAlignment="1">
      <alignment horizontal="right" vertical="center"/>
    </xf>
    <xf numFmtId="20" fontId="27" fillId="0" borderId="0" xfId="0" quotePrefix="1" applyNumberFormat="1" applyFont="1" applyAlignment="1">
      <alignment horizontal="right" vertical="center"/>
    </xf>
    <xf numFmtId="0" fontId="27" fillId="0" borderId="0" xfId="0" applyFont="1" applyAlignment="1">
      <alignment vertical="center"/>
    </xf>
    <xf numFmtId="0" fontId="27" fillId="5" borderId="0" xfId="0" applyFont="1" applyFill="1" applyAlignment="1">
      <alignment horizontal="right" vertical="center"/>
    </xf>
    <xf numFmtId="0" fontId="27" fillId="0" borderId="24" xfId="0" applyFont="1" applyBorder="1" applyAlignment="1">
      <alignment vertical="center"/>
    </xf>
    <xf numFmtId="0" fontId="27" fillId="5" borderId="24" xfId="0" applyFont="1" applyFill="1" applyBorder="1" applyAlignment="1">
      <alignment horizontal="right" vertical="center"/>
    </xf>
    <xf numFmtId="20" fontId="26" fillId="0" borderId="14" xfId="0" quotePrefix="1" applyNumberFormat="1" applyFont="1" applyBorder="1" applyAlignment="1">
      <alignment horizontal="center" vertical="center"/>
    </xf>
    <xf numFmtId="20" fontId="27" fillId="5" borderId="0" xfId="0" quotePrefix="1" applyNumberFormat="1" applyFont="1" applyFill="1" applyAlignment="1">
      <alignment horizontal="left" vertical="center" indent="1"/>
    </xf>
    <xf numFmtId="0" fontId="23" fillId="0" borderId="16" xfId="0" applyFont="1" applyBorder="1" applyAlignment="1">
      <alignment horizontal="right" vertical="center"/>
    </xf>
    <xf numFmtId="0" fontId="23" fillId="0" borderId="16" xfId="0" applyFont="1" applyBorder="1" applyAlignment="1">
      <alignment vertical="center"/>
    </xf>
    <xf numFmtId="20" fontId="23" fillId="0" borderId="0" xfId="0" applyNumberFormat="1" applyFont="1" applyAlignment="1">
      <alignment horizontal="left" vertical="center" indent="1"/>
    </xf>
    <xf numFmtId="0" fontId="23" fillId="0" borderId="33" xfId="0" applyFont="1" applyBorder="1" applyAlignment="1">
      <alignment horizontal="left" vertical="center"/>
    </xf>
    <xf numFmtId="0" fontId="23" fillId="0" borderId="34" xfId="0" applyFont="1" applyBorder="1" applyAlignment="1">
      <alignment horizontal="left" vertical="center" indent="1"/>
    </xf>
    <xf numFmtId="0" fontId="23" fillId="0" borderId="34" xfId="0" applyFont="1" applyBorder="1" applyAlignment="1">
      <alignment vertical="center"/>
    </xf>
    <xf numFmtId="0" fontId="23" fillId="0" borderId="33" xfId="0" applyFont="1" applyBorder="1" applyAlignment="1">
      <alignment vertical="center"/>
    </xf>
    <xf numFmtId="20" fontId="23" fillId="7" borderId="35" xfId="0" quotePrefix="1" applyNumberFormat="1" applyFont="1" applyFill="1" applyBorder="1" applyAlignment="1">
      <alignment horizontal="left" vertical="center"/>
    </xf>
    <xf numFmtId="0" fontId="21" fillId="7" borderId="35" xfId="0" applyFont="1" applyFill="1" applyBorder="1" applyAlignment="1">
      <alignment horizontal="left" vertical="center" indent="1"/>
    </xf>
    <xf numFmtId="0" fontId="23" fillId="0" borderId="36" xfId="0" applyFont="1" applyBorder="1" applyAlignment="1">
      <alignment horizontal="center" vertical="center"/>
    </xf>
    <xf numFmtId="0" fontId="23" fillId="0" borderId="35" xfId="0" quotePrefix="1" applyFont="1" applyBorder="1" applyAlignment="1">
      <alignment horizontal="left" vertical="center"/>
    </xf>
    <xf numFmtId="20" fontId="23" fillId="0" borderId="36" xfId="0" quotePrefix="1" applyNumberFormat="1" applyFont="1" applyBorder="1" applyAlignment="1">
      <alignment horizontal="left" vertical="center"/>
    </xf>
    <xf numFmtId="20" fontId="23" fillId="0" borderId="35" xfId="0" quotePrefix="1" applyNumberFormat="1" applyFont="1" applyBorder="1" applyAlignment="1">
      <alignment horizontal="center" vertical="center"/>
    </xf>
    <xf numFmtId="20" fontId="23" fillId="0" borderId="35" xfId="0" quotePrefix="1" applyNumberFormat="1" applyFont="1" applyBorder="1" applyAlignment="1">
      <alignment horizontal="left" vertical="center"/>
    </xf>
    <xf numFmtId="0" fontId="23" fillId="0" borderId="12" xfId="0" quotePrefix="1" applyFont="1" applyBorder="1" applyAlignment="1">
      <alignment horizontal="left" vertical="center"/>
    </xf>
    <xf numFmtId="0" fontId="23" fillId="0" borderId="12" xfId="0" quotePrefix="1" applyFont="1" applyBorder="1" applyAlignment="1">
      <alignment horizontal="left" vertical="center" indent="1"/>
    </xf>
    <xf numFmtId="0" fontId="30" fillId="11" borderId="0" xfId="0" applyFont="1" applyFill="1" applyAlignment="1">
      <alignment horizontal="right" vertical="center"/>
    </xf>
    <xf numFmtId="20" fontId="23" fillId="11" borderId="0" xfId="0" quotePrefix="1" applyNumberFormat="1" applyFont="1" applyFill="1" applyAlignment="1">
      <alignment horizontal="left" vertical="center"/>
    </xf>
    <xf numFmtId="20" fontId="23" fillId="9" borderId="0" xfId="0" quotePrefix="1" applyNumberFormat="1" applyFont="1" applyFill="1" applyAlignment="1">
      <alignment horizontal="left" vertical="center" indent="3"/>
    </xf>
    <xf numFmtId="20" fontId="27" fillId="9" borderId="0" xfId="0" applyNumberFormat="1" applyFont="1" applyFill="1" applyAlignment="1">
      <alignment horizontal="left" vertical="center" indent="2"/>
    </xf>
    <xf numFmtId="20" fontId="23" fillId="9" borderId="0" xfId="0" applyNumberFormat="1" applyFont="1" applyFill="1" applyAlignment="1">
      <alignment horizontal="left" vertical="center" indent="1"/>
    </xf>
    <xf numFmtId="0" fontId="23" fillId="9" borderId="25" xfId="0" applyFont="1" applyFill="1" applyBorder="1" applyAlignment="1">
      <alignment horizontal="right" vertical="center"/>
    </xf>
    <xf numFmtId="20" fontId="27" fillId="9" borderId="25" xfId="0" applyNumberFormat="1" applyFont="1" applyFill="1" applyBorder="1" applyAlignment="1">
      <alignment horizontal="left" vertical="center" indent="2"/>
    </xf>
    <xf numFmtId="0" fontId="39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0" fillId="2" borderId="11" xfId="0" applyFill="1" applyBorder="1" applyAlignment="1">
      <alignment horizontal="center"/>
    </xf>
    <xf numFmtId="0" fontId="0" fillId="2" borderId="15" xfId="0" applyFill="1" applyBorder="1" applyAlignment="1">
      <alignment horizontal="center"/>
    </xf>
    <xf numFmtId="0" fontId="9" fillId="2" borderId="1" xfId="0" applyFont="1" applyFill="1" applyBorder="1" applyAlignment="1">
      <alignment horizontal="center" vertical="center"/>
    </xf>
    <xf numFmtId="5" fontId="9" fillId="0" borderId="1" xfId="0" applyNumberFormat="1" applyFont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5" fillId="5" borderId="0" xfId="0" quotePrefix="1" applyFont="1" applyFill="1" applyAlignment="1">
      <alignment horizontal="left" vertical="center"/>
    </xf>
    <xf numFmtId="0" fontId="25" fillId="5" borderId="0" xfId="0" quotePrefix="1" applyFont="1" applyFill="1" applyAlignment="1">
      <alignment horizontal="left" vertical="center" indent="1"/>
    </xf>
    <xf numFmtId="0" fontId="25" fillId="5" borderId="12" xfId="0" quotePrefix="1" applyFont="1" applyFill="1" applyBorder="1" applyAlignment="1">
      <alignment horizontal="left" vertical="center"/>
    </xf>
    <xf numFmtId="0" fontId="25" fillId="5" borderId="12" xfId="0" quotePrefix="1" applyFont="1" applyFill="1" applyBorder="1" applyAlignment="1">
      <alignment horizontal="left" vertical="center" indent="1"/>
    </xf>
    <xf numFmtId="0" fontId="25" fillId="5" borderId="0" xfId="0" quotePrefix="1" applyFont="1" applyFill="1" applyBorder="1" applyAlignment="1">
      <alignment horizontal="left" vertical="center" indent="1"/>
    </xf>
    <xf numFmtId="0" fontId="27" fillId="5" borderId="0" xfId="0" quotePrefix="1" applyFont="1" applyFill="1" applyBorder="1" applyAlignment="1">
      <alignment horizontal="left" vertical="center"/>
    </xf>
    <xf numFmtId="0" fontId="27" fillId="5" borderId="0" xfId="0" quotePrefix="1" applyFont="1" applyFill="1" applyBorder="1" applyAlignment="1">
      <alignment horizontal="left" vertical="center" indent="2"/>
    </xf>
    <xf numFmtId="0" fontId="25" fillId="9" borderId="0" xfId="0" quotePrefix="1" applyFont="1" applyFill="1" applyAlignment="1">
      <alignment horizontal="left" vertical="center"/>
    </xf>
    <xf numFmtId="0" fontId="25" fillId="9" borderId="0" xfId="0" applyFont="1" applyFill="1" applyBorder="1" applyAlignment="1">
      <alignment horizontal="left" vertical="center" indent="1"/>
    </xf>
    <xf numFmtId="0" fontId="27" fillId="0" borderId="0" xfId="0" applyFont="1" applyFill="1" applyAlignment="1">
      <alignment horizontal="center" vertical="center"/>
    </xf>
    <xf numFmtId="0" fontId="23" fillId="0" borderId="0" xfId="0" applyFont="1" applyFill="1" applyAlignment="1">
      <alignment horizontal="left" vertical="center"/>
    </xf>
    <xf numFmtId="0" fontId="23" fillId="0" borderId="0" xfId="0" applyFont="1" applyFill="1" applyAlignment="1">
      <alignment vertical="center"/>
    </xf>
    <xf numFmtId="0" fontId="23" fillId="9" borderId="0" xfId="0" quotePrefix="1" applyFont="1" applyFill="1" applyBorder="1" applyAlignment="1">
      <alignment horizontal="left" vertical="center" indent="1"/>
    </xf>
    <xf numFmtId="0" fontId="14" fillId="9" borderId="0" xfId="0" applyFont="1" applyFill="1" applyBorder="1" applyAlignment="1">
      <alignment vertical="center"/>
    </xf>
    <xf numFmtId="0" fontId="23" fillId="9" borderId="0" xfId="0" quotePrefix="1" applyFont="1" applyFill="1" applyBorder="1" applyAlignment="1">
      <alignment horizontal="left" vertical="center" indent="2"/>
    </xf>
    <xf numFmtId="0" fontId="23" fillId="9" borderId="0" xfId="0" applyFont="1" applyFill="1" applyBorder="1" applyAlignment="1">
      <alignment horizontal="left" vertical="center" indent="1"/>
    </xf>
    <xf numFmtId="0" fontId="25" fillId="9" borderId="0" xfId="0" applyFont="1" applyFill="1" applyBorder="1" applyAlignment="1">
      <alignment horizontal="left" vertical="center" indent="2"/>
    </xf>
    <xf numFmtId="0" fontId="22" fillId="9" borderId="0" xfId="0" applyFont="1" applyFill="1" applyBorder="1" applyAlignment="1">
      <alignment horizontal="left" vertical="center" indent="3"/>
    </xf>
    <xf numFmtId="0" fontId="29" fillId="10" borderId="0" xfId="0" applyFont="1" applyFill="1" applyBorder="1" applyAlignment="1">
      <alignment horizontal="left" vertical="center" indent="1"/>
    </xf>
    <xf numFmtId="20" fontId="23" fillId="10" borderId="0" xfId="0" applyNumberFormat="1" applyFont="1" applyFill="1" applyBorder="1" applyAlignment="1">
      <alignment horizontal="left" vertical="center" indent="1"/>
    </xf>
    <xf numFmtId="0" fontId="25" fillId="10" borderId="0" xfId="0" applyFont="1" applyFill="1" applyBorder="1" applyAlignment="1">
      <alignment horizontal="left" vertical="center" indent="1"/>
    </xf>
    <xf numFmtId="0" fontId="14" fillId="0" borderId="0" xfId="0" applyFont="1" applyFill="1" applyAlignment="1">
      <alignment horizontal="left" vertical="center" indent="1"/>
    </xf>
    <xf numFmtId="0" fontId="25" fillId="8" borderId="0" xfId="0" quotePrefix="1" applyFont="1" applyFill="1" applyBorder="1" applyAlignment="1">
      <alignment horizontal="left" vertical="center"/>
    </xf>
    <xf numFmtId="0" fontId="23" fillId="8" borderId="0" xfId="0" applyFont="1" applyFill="1" applyBorder="1" applyAlignment="1">
      <alignment horizontal="left" vertical="center" indent="1"/>
    </xf>
    <xf numFmtId="0" fontId="27" fillId="0" borderId="7" xfId="0" quotePrefix="1" applyFont="1" applyFill="1" applyBorder="1" applyAlignment="1">
      <alignment horizontal="left" vertical="center"/>
    </xf>
    <xf numFmtId="0" fontId="25" fillId="0" borderId="0" xfId="0" applyFont="1" applyFill="1" applyBorder="1" applyAlignment="1">
      <alignment horizontal="left" vertical="center" indent="1"/>
    </xf>
    <xf numFmtId="20" fontId="25" fillId="5" borderId="12" xfId="0" quotePrefix="1" applyNumberFormat="1" applyFont="1" applyFill="1" applyBorder="1" applyAlignment="1">
      <alignment horizontal="right" vertical="center"/>
    </xf>
    <xf numFmtId="20" fontId="25" fillId="5" borderId="0" xfId="0" quotePrefix="1" applyNumberFormat="1" applyFont="1" applyFill="1" applyAlignment="1">
      <alignment horizontal="right" vertical="center"/>
    </xf>
    <xf numFmtId="20" fontId="25" fillId="5" borderId="0" xfId="0" quotePrefix="1" applyNumberFormat="1" applyFont="1" applyFill="1" applyAlignment="1">
      <alignment horizontal="left" vertical="center" indent="1"/>
    </xf>
    <xf numFmtId="20" fontId="25" fillId="5" borderId="0" xfId="0" applyNumberFormat="1" applyFont="1" applyFill="1" applyAlignment="1">
      <alignment horizontal="left" vertical="center" indent="1"/>
    </xf>
    <xf numFmtId="20" fontId="27" fillId="5" borderId="0" xfId="0" applyNumberFormat="1" applyFont="1" applyFill="1" applyAlignment="1">
      <alignment horizontal="left" vertical="center" indent="2"/>
    </xf>
    <xf numFmtId="20" fontId="27" fillId="5" borderId="0" xfId="0" applyNumberFormat="1" applyFont="1" applyFill="1" applyAlignment="1">
      <alignment horizontal="left" vertical="center" indent="1"/>
    </xf>
    <xf numFmtId="20" fontId="27" fillId="5" borderId="24" xfId="0" applyNumberFormat="1" applyFont="1" applyFill="1" applyBorder="1" applyAlignment="1">
      <alignment horizontal="left" vertical="center" indent="1"/>
    </xf>
    <xf numFmtId="20" fontId="27" fillId="5" borderId="25" xfId="0" applyNumberFormat="1" applyFont="1" applyFill="1" applyBorder="1" applyAlignment="1">
      <alignment horizontal="left" vertical="center" indent="2"/>
    </xf>
    <xf numFmtId="20" fontId="23" fillId="5" borderId="0" xfId="0" applyNumberFormat="1" applyFont="1" applyFill="1" applyAlignment="1">
      <alignment horizontal="left" vertical="center" indent="1"/>
    </xf>
    <xf numFmtId="20" fontId="25" fillId="5" borderId="37" xfId="0" quotePrefix="1" applyNumberFormat="1" applyFont="1" applyFill="1" applyBorder="1" applyAlignment="1">
      <alignment horizontal="right" vertical="center"/>
    </xf>
    <xf numFmtId="20" fontId="23" fillId="12" borderId="16" xfId="0" quotePrefix="1" applyNumberFormat="1" applyFont="1" applyFill="1" applyBorder="1" applyAlignment="1">
      <alignment horizontal="right" vertical="center"/>
    </xf>
    <xf numFmtId="20" fontId="21" fillId="12" borderId="16" xfId="0" applyNumberFormat="1" applyFont="1" applyFill="1" applyBorder="1" applyAlignment="1">
      <alignment horizontal="left" vertical="center" indent="1"/>
    </xf>
    <xf numFmtId="0" fontId="23" fillId="12" borderId="0" xfId="0" applyFont="1" applyFill="1" applyAlignment="1">
      <alignment horizontal="right" vertical="center"/>
    </xf>
    <xf numFmtId="0" fontId="22" fillId="12" borderId="0" xfId="0" applyFont="1" applyFill="1" applyAlignment="1">
      <alignment horizontal="center" vertical="center"/>
    </xf>
    <xf numFmtId="20" fontId="23" fillId="12" borderId="0" xfId="0" applyNumberFormat="1" applyFont="1" applyFill="1" applyAlignment="1">
      <alignment horizontal="left" vertical="center"/>
    </xf>
    <xf numFmtId="0" fontId="0" fillId="12" borderId="0" xfId="0" applyFill="1" applyAlignment="1">
      <alignment vertical="center"/>
    </xf>
    <xf numFmtId="0" fontId="23" fillId="12" borderId="24" xfId="0" applyFont="1" applyFill="1" applyBorder="1" applyAlignment="1">
      <alignment horizontal="right" vertical="center"/>
    </xf>
    <xf numFmtId="20" fontId="23" fillId="12" borderId="24" xfId="0" applyNumberFormat="1" applyFont="1" applyFill="1" applyBorder="1" applyAlignment="1">
      <alignment horizontal="center" vertical="center"/>
    </xf>
    <xf numFmtId="0" fontId="25" fillId="10" borderId="7" xfId="0" quotePrefix="1" applyFont="1" applyFill="1" applyBorder="1" applyAlignment="1">
      <alignment horizontal="left" vertical="center"/>
    </xf>
    <xf numFmtId="20" fontId="23" fillId="10" borderId="12" xfId="0" applyNumberFormat="1" applyFont="1" applyFill="1" applyBorder="1" applyAlignment="1">
      <alignment horizontal="left" vertical="center" indent="1"/>
    </xf>
    <xf numFmtId="0" fontId="23" fillId="10" borderId="12" xfId="0" applyFont="1" applyFill="1" applyBorder="1" applyAlignment="1">
      <alignment horizontal="right" vertical="center"/>
    </xf>
    <xf numFmtId="20" fontId="25" fillId="9" borderId="0" xfId="0" quotePrefix="1" applyNumberFormat="1" applyFont="1" applyFill="1" applyBorder="1" applyAlignment="1">
      <alignment horizontal="left" vertical="center" indent="1"/>
    </xf>
    <xf numFmtId="0" fontId="23" fillId="9" borderId="0" xfId="0" applyFont="1" applyFill="1" applyBorder="1" applyAlignment="1">
      <alignment horizontal="right" vertical="center"/>
    </xf>
    <xf numFmtId="20" fontId="23" fillId="9" borderId="25" xfId="0" quotePrefix="1" applyNumberFormat="1" applyFont="1" applyFill="1" applyBorder="1" applyAlignment="1">
      <alignment horizontal="right" vertical="center"/>
    </xf>
    <xf numFmtId="20" fontId="25" fillId="9" borderId="25" xfId="0" quotePrefix="1" applyNumberFormat="1" applyFont="1" applyFill="1" applyBorder="1" applyAlignment="1">
      <alignment horizontal="left" vertical="center" indent="1"/>
    </xf>
    <xf numFmtId="20" fontId="27" fillId="5" borderId="0" xfId="0" quotePrefix="1" applyNumberFormat="1" applyFont="1" applyFill="1" applyBorder="1" applyAlignment="1">
      <alignment horizontal="left" vertical="center" indent="2"/>
    </xf>
    <xf numFmtId="20" fontId="23" fillId="5" borderId="38" xfId="0" quotePrefix="1" applyNumberFormat="1" applyFont="1" applyFill="1" applyBorder="1" applyAlignment="1">
      <alignment horizontal="left" vertical="center" indent="1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colors>
    <mruColors>
      <color rgb="FFCCCCFF"/>
      <color rgb="FFFFCCFF"/>
      <color rgb="FFE7F4B8"/>
      <color rgb="FF66CCFF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4.png"/><Relationship Id="rId1" Type="http://schemas.openxmlformats.org/officeDocument/2006/relationships/image" Target="../media/image1.png"/><Relationship Id="rId6" Type="http://schemas.openxmlformats.org/officeDocument/2006/relationships/image" Target="../media/image2.png"/><Relationship Id="rId5" Type="http://schemas.openxmlformats.org/officeDocument/2006/relationships/image" Target="../media/image6.png"/><Relationship Id="rId4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3.png"/><Relationship Id="rId3" Type="http://schemas.openxmlformats.org/officeDocument/2006/relationships/image" Target="../media/image2.png"/><Relationship Id="rId7" Type="http://schemas.openxmlformats.org/officeDocument/2006/relationships/image" Target="../media/image11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0.png"/><Relationship Id="rId5" Type="http://schemas.openxmlformats.org/officeDocument/2006/relationships/image" Target="../media/image1.png"/><Relationship Id="rId4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246006</xdr:colOff>
      <xdr:row>8</xdr:row>
      <xdr:rowOff>59532</xdr:rowOff>
    </xdr:from>
    <xdr:to>
      <xdr:col>3</xdr:col>
      <xdr:colOff>2043850</xdr:colOff>
      <xdr:row>12</xdr:row>
      <xdr:rowOff>107157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41C11CA0-3C7D-4B9F-8001-AEED8836FB09}"/>
            </a:ext>
          </a:extLst>
        </xdr:cNvPr>
        <xdr:cNvSpPr/>
      </xdr:nvSpPr>
      <xdr:spPr>
        <a:xfrm>
          <a:off x="1569981" y="2250282"/>
          <a:ext cx="1797844" cy="1038225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①神輿組立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②御仮屋設営、飾付け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③神社鳥居等飾付け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④山車組立、飾付け</a:t>
          </a:r>
        </a:p>
        <a:p>
          <a:pPr algn="l"/>
          <a:r>
            <a:rPr kumimoji="1" lang="ja-JP" altLang="en-US" sz="1100">
              <a:latin typeface="BIZ UDP明朝 Medium" panose="02020500000000000000" pitchFamily="18" charset="-128"/>
              <a:ea typeface="BIZ UDP明朝 Medium" panose="02020500000000000000" pitchFamily="18" charset="-128"/>
            </a:rPr>
            <a:t>⑤神社清掃、会場設営 </a:t>
          </a:r>
        </a:p>
      </xdr:txBody>
    </xdr:sp>
    <xdr:clientData/>
  </xdr:twoCellAnchor>
  <xdr:twoCellAnchor>
    <xdr:from>
      <xdr:col>3</xdr:col>
      <xdr:colOff>134470</xdr:colOff>
      <xdr:row>40</xdr:row>
      <xdr:rowOff>58615</xdr:rowOff>
    </xdr:from>
    <xdr:to>
      <xdr:col>3</xdr:col>
      <xdr:colOff>2198913</xdr:colOff>
      <xdr:row>54</xdr:row>
      <xdr:rowOff>0</xdr:rowOff>
    </xdr:to>
    <xdr:sp macro="" textlink="">
      <xdr:nvSpPr>
        <xdr:cNvPr id="4" name="正方形/長方形 3">
          <a:extLst>
            <a:ext uri="{FF2B5EF4-FFF2-40B4-BE49-F238E27FC236}">
              <a16:creationId xmlns:a16="http://schemas.microsoft.com/office/drawing/2014/main" id="{D67237F2-A65B-407F-95CF-4A5BF992AF6D}"/>
            </a:ext>
          </a:extLst>
        </xdr:cNvPr>
        <xdr:cNvSpPr/>
      </xdr:nvSpPr>
      <xdr:spPr>
        <a:xfrm>
          <a:off x="1467970" y="10262271"/>
          <a:ext cx="2064443" cy="3441823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神社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</xdr:txBody>
    </xdr:sp>
    <xdr:clientData/>
  </xdr:twoCellAnchor>
  <xdr:twoCellAnchor>
    <xdr:from>
      <xdr:col>9</xdr:col>
      <xdr:colOff>54429</xdr:colOff>
      <xdr:row>44</xdr:row>
      <xdr:rowOff>176892</xdr:rowOff>
    </xdr:from>
    <xdr:to>
      <xdr:col>9</xdr:col>
      <xdr:colOff>2155371</xdr:colOff>
      <xdr:row>51</xdr:row>
      <xdr:rowOff>122465</xdr:rowOff>
    </xdr:to>
    <xdr:sp macro="" textlink="">
      <xdr:nvSpPr>
        <xdr:cNvPr id="5" name="正方形/長方形 4">
          <a:extLst>
            <a:ext uri="{FF2B5EF4-FFF2-40B4-BE49-F238E27FC236}">
              <a16:creationId xmlns:a16="http://schemas.microsoft.com/office/drawing/2014/main" id="{74744CD8-1E60-4924-ADCD-C204F856A2EC}"/>
            </a:ext>
          </a:extLst>
        </xdr:cNvPr>
        <xdr:cNvSpPr/>
      </xdr:nvSpPr>
      <xdr:spPr>
        <a:xfrm>
          <a:off x="7769679" y="11171463"/>
          <a:ext cx="2100942" cy="1660073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 b="1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</a:t>
          </a:r>
          <a:endParaRPr kumimoji="1" lang="en-US" altLang="ja-JP" sz="1400" b="1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</a:t>
          </a:r>
          <a:r>
            <a:rPr kumimoji="1" lang="ja-JP" altLang="en-US" sz="1400">
              <a:solidFill>
                <a:srgbClr val="FF0000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ガーデンライフ</a:t>
          </a:r>
          <a:endParaRPr kumimoji="1" lang="en-US" altLang="ja-JP" sz="1400">
            <a:solidFill>
              <a:srgbClr val="FF0000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rgbClr val="FF0000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弐番館前</a:t>
          </a:r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）</a:t>
          </a:r>
        </a:p>
      </xdr:txBody>
    </xdr:sp>
    <xdr:clientData/>
  </xdr:twoCellAnchor>
  <xdr:twoCellAnchor editAs="oneCell">
    <xdr:from>
      <xdr:col>0</xdr:col>
      <xdr:colOff>179180</xdr:colOff>
      <xdr:row>55</xdr:row>
      <xdr:rowOff>0</xdr:rowOff>
    </xdr:from>
    <xdr:to>
      <xdr:col>1</xdr:col>
      <xdr:colOff>179191</xdr:colOff>
      <xdr:row>57</xdr:row>
      <xdr:rowOff>118245</xdr:rowOff>
    </xdr:to>
    <xdr:pic>
      <xdr:nvPicPr>
        <xdr:cNvPr id="38" name="図 37">
          <a:extLst>
            <a:ext uri="{FF2B5EF4-FFF2-40B4-BE49-F238E27FC236}">
              <a16:creationId xmlns:a16="http://schemas.microsoft.com/office/drawing/2014/main" id="{21F2791F-2374-437B-8928-8CAB1F3A61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79180" y="13484183"/>
          <a:ext cx="590561" cy="616266"/>
        </a:xfrm>
        <a:prstGeom prst="rect">
          <a:avLst/>
        </a:prstGeom>
      </xdr:spPr>
    </xdr:pic>
    <xdr:clientData/>
  </xdr:twoCellAnchor>
  <xdr:twoCellAnchor editAs="oneCell">
    <xdr:from>
      <xdr:col>3</xdr:col>
      <xdr:colOff>1805668</xdr:colOff>
      <xdr:row>55</xdr:row>
      <xdr:rowOff>232682</xdr:rowOff>
    </xdr:from>
    <xdr:to>
      <xdr:col>4</xdr:col>
      <xdr:colOff>31297</xdr:colOff>
      <xdr:row>58</xdr:row>
      <xdr:rowOff>18261</xdr:rowOff>
    </xdr:to>
    <xdr:pic>
      <xdr:nvPicPr>
        <xdr:cNvPr id="39" name="図 38">
          <a:extLst>
            <a:ext uri="{FF2B5EF4-FFF2-40B4-BE49-F238E27FC236}">
              <a16:creationId xmlns:a16="http://schemas.microsoft.com/office/drawing/2014/main" id="{56BF8075-2AE7-4AEC-B32E-26CFAD0FB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H="1" flipV="1">
          <a:off x="3129643" y="14062982"/>
          <a:ext cx="787854" cy="528529"/>
        </a:xfrm>
        <a:prstGeom prst="rect">
          <a:avLst/>
        </a:prstGeom>
      </xdr:spPr>
    </xdr:pic>
    <xdr:clientData/>
  </xdr:twoCellAnchor>
  <xdr:twoCellAnchor editAs="oneCell">
    <xdr:from>
      <xdr:col>0</xdr:col>
      <xdr:colOff>188459</xdr:colOff>
      <xdr:row>44</xdr:row>
      <xdr:rowOff>119815</xdr:rowOff>
    </xdr:from>
    <xdr:to>
      <xdr:col>1</xdr:col>
      <xdr:colOff>188470</xdr:colOff>
      <xdr:row>47</xdr:row>
      <xdr:rowOff>42482</xdr:rowOff>
    </xdr:to>
    <xdr:pic>
      <xdr:nvPicPr>
        <xdr:cNvPr id="40" name="図 39">
          <a:extLst>
            <a:ext uri="{FF2B5EF4-FFF2-40B4-BE49-F238E27FC236}">
              <a16:creationId xmlns:a16="http://schemas.microsoft.com/office/drawing/2014/main" id="{E451A80C-8F50-4B48-B26A-9D90526C7C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188459" y="10483015"/>
          <a:ext cx="590561" cy="665617"/>
        </a:xfrm>
        <a:prstGeom prst="rect">
          <a:avLst/>
        </a:prstGeom>
      </xdr:spPr>
    </xdr:pic>
    <xdr:clientData/>
  </xdr:twoCellAnchor>
  <xdr:twoCellAnchor editAs="oneCell">
    <xdr:from>
      <xdr:col>0</xdr:col>
      <xdr:colOff>389614</xdr:colOff>
      <xdr:row>11</xdr:row>
      <xdr:rowOff>154672</xdr:rowOff>
    </xdr:from>
    <xdr:to>
      <xdr:col>1</xdr:col>
      <xdr:colOff>176377</xdr:colOff>
      <xdr:row>13</xdr:row>
      <xdr:rowOff>132834</xdr:rowOff>
    </xdr:to>
    <xdr:pic>
      <xdr:nvPicPr>
        <xdr:cNvPr id="41" name="図 40">
          <a:extLst>
            <a:ext uri="{FF2B5EF4-FFF2-40B4-BE49-F238E27FC236}">
              <a16:creationId xmlns:a16="http://schemas.microsoft.com/office/drawing/2014/main" id="{1D53BC19-8104-4973-B9A8-6CEFEEBF9D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05772" flipH="1">
          <a:off x="341540" y="3136446"/>
          <a:ext cx="473462" cy="377313"/>
        </a:xfrm>
        <a:prstGeom prst="rect">
          <a:avLst/>
        </a:prstGeom>
      </xdr:spPr>
    </xdr:pic>
    <xdr:clientData/>
  </xdr:twoCellAnchor>
  <xdr:twoCellAnchor editAs="oneCell">
    <xdr:from>
      <xdr:col>9</xdr:col>
      <xdr:colOff>1975403</xdr:colOff>
      <xdr:row>5</xdr:row>
      <xdr:rowOff>172825</xdr:rowOff>
    </xdr:from>
    <xdr:to>
      <xdr:col>10</xdr:col>
      <xdr:colOff>70336</xdr:colOff>
      <xdr:row>7</xdr:row>
      <xdr:rowOff>34980</xdr:rowOff>
    </xdr:to>
    <xdr:pic>
      <xdr:nvPicPr>
        <xdr:cNvPr id="42" name="図 41">
          <a:extLst>
            <a:ext uri="{FF2B5EF4-FFF2-40B4-BE49-F238E27FC236}">
              <a16:creationId xmlns:a16="http://schemas.microsoft.com/office/drawing/2014/main" id="{03271DC2-4DC0-4BA7-B885-3DD9473181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249218" flipH="1" flipV="1">
          <a:off x="9700178" y="1620625"/>
          <a:ext cx="476183" cy="357455"/>
        </a:xfrm>
        <a:prstGeom prst="rect">
          <a:avLst/>
        </a:prstGeom>
      </xdr:spPr>
    </xdr:pic>
    <xdr:clientData/>
  </xdr:twoCellAnchor>
  <xdr:twoCellAnchor editAs="oneCell">
    <xdr:from>
      <xdr:col>8</xdr:col>
      <xdr:colOff>19548</xdr:colOff>
      <xdr:row>11</xdr:row>
      <xdr:rowOff>125707</xdr:rowOff>
    </xdr:from>
    <xdr:to>
      <xdr:col>9</xdr:col>
      <xdr:colOff>77646</xdr:colOff>
      <xdr:row>13</xdr:row>
      <xdr:rowOff>103869</xdr:rowOff>
    </xdr:to>
    <xdr:pic>
      <xdr:nvPicPr>
        <xdr:cNvPr id="43" name="図 42">
          <a:extLst>
            <a:ext uri="{FF2B5EF4-FFF2-40B4-BE49-F238E27FC236}">
              <a16:creationId xmlns:a16="http://schemas.microsoft.com/office/drawing/2014/main" id="{4B8DE939-F280-48F4-B939-A9013FF715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384241" y="3114689"/>
          <a:ext cx="473462" cy="362898"/>
        </a:xfrm>
        <a:prstGeom prst="rect">
          <a:avLst/>
        </a:prstGeom>
      </xdr:spPr>
    </xdr:pic>
    <xdr:clientData/>
  </xdr:twoCellAnchor>
  <xdr:twoCellAnchor editAs="oneCell">
    <xdr:from>
      <xdr:col>5</xdr:col>
      <xdr:colOff>82139</xdr:colOff>
      <xdr:row>31</xdr:row>
      <xdr:rowOff>109381</xdr:rowOff>
    </xdr:from>
    <xdr:to>
      <xdr:col>6</xdr:col>
      <xdr:colOff>140237</xdr:colOff>
      <xdr:row>33</xdr:row>
      <xdr:rowOff>87544</xdr:rowOff>
    </xdr:to>
    <xdr:pic>
      <xdr:nvPicPr>
        <xdr:cNvPr id="44" name="図 43">
          <a:extLst>
            <a:ext uri="{FF2B5EF4-FFF2-40B4-BE49-F238E27FC236}">
              <a16:creationId xmlns:a16="http://schemas.microsoft.com/office/drawing/2014/main" id="{007331B0-8F8B-427C-A7C0-AFA29066B1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4204250" y="7975163"/>
          <a:ext cx="468020" cy="357455"/>
        </a:xfrm>
        <a:prstGeom prst="rect">
          <a:avLst/>
        </a:prstGeom>
      </xdr:spPr>
    </xdr:pic>
    <xdr:clientData/>
  </xdr:twoCellAnchor>
  <xdr:twoCellAnchor>
    <xdr:from>
      <xdr:col>3</xdr:col>
      <xdr:colOff>2527196</xdr:colOff>
      <xdr:row>0</xdr:row>
      <xdr:rowOff>100852</xdr:rowOff>
    </xdr:from>
    <xdr:to>
      <xdr:col>5</xdr:col>
      <xdr:colOff>45227</xdr:colOff>
      <xdr:row>62</xdr:row>
      <xdr:rowOff>161925</xdr:rowOff>
    </xdr:to>
    <xdr:grpSp>
      <xdr:nvGrpSpPr>
        <xdr:cNvPr id="6" name="グループ化 5">
          <a:extLst>
            <a:ext uri="{FF2B5EF4-FFF2-40B4-BE49-F238E27FC236}">
              <a16:creationId xmlns:a16="http://schemas.microsoft.com/office/drawing/2014/main" id="{F08FFB23-709B-6C07-561A-A76BFD1C329C}"/>
            </a:ext>
          </a:extLst>
        </xdr:cNvPr>
        <xdr:cNvGrpSpPr/>
      </xdr:nvGrpSpPr>
      <xdr:grpSpPr>
        <a:xfrm>
          <a:off x="3860696" y="100852"/>
          <a:ext cx="375531" cy="15765417"/>
          <a:chOff x="3860696" y="100852"/>
          <a:chExt cx="375531" cy="15301073"/>
        </a:xfrm>
      </xdr:grpSpPr>
      <xdr:sp macro="" textlink="">
        <xdr:nvSpPr>
          <xdr:cNvPr id="46" name="四角形: 角を丸くする 45">
            <a:extLst>
              <a:ext uri="{FF2B5EF4-FFF2-40B4-BE49-F238E27FC236}">
                <a16:creationId xmlns:a16="http://schemas.microsoft.com/office/drawing/2014/main" id="{EDA1B50A-7DC0-DB62-3812-FEF0F5AB867B}"/>
              </a:ext>
            </a:extLst>
          </xdr:cNvPr>
          <xdr:cNvSpPr/>
        </xdr:nvSpPr>
        <xdr:spPr>
          <a:xfrm>
            <a:off x="3880350" y="100852"/>
            <a:ext cx="330509" cy="15301073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7" name="テキスト ボックス 46">
            <a:extLst>
              <a:ext uri="{FF2B5EF4-FFF2-40B4-BE49-F238E27FC236}">
                <a16:creationId xmlns:a16="http://schemas.microsoft.com/office/drawing/2014/main" id="{7EB5C8B4-E7E7-8137-7D97-8CCEE5356ECC}"/>
              </a:ext>
            </a:extLst>
          </xdr:cNvPr>
          <xdr:cNvSpPr txBox="1"/>
        </xdr:nvSpPr>
        <xdr:spPr>
          <a:xfrm>
            <a:off x="3928184" y="525571"/>
            <a:ext cx="268179" cy="28660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48" name="正方形/長方形 47">
            <a:extLst>
              <a:ext uri="{FF2B5EF4-FFF2-40B4-BE49-F238E27FC236}">
                <a16:creationId xmlns:a16="http://schemas.microsoft.com/office/drawing/2014/main" id="{328DFF58-B180-6E7D-2B7F-ECFEF5A744B4}"/>
              </a:ext>
            </a:extLst>
          </xdr:cNvPr>
          <xdr:cNvSpPr/>
        </xdr:nvSpPr>
        <xdr:spPr>
          <a:xfrm>
            <a:off x="3919713" y="463704"/>
            <a:ext cx="278227" cy="142227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49" name="テキスト ボックス 48">
            <a:extLst>
              <a:ext uri="{FF2B5EF4-FFF2-40B4-BE49-F238E27FC236}">
                <a16:creationId xmlns:a16="http://schemas.microsoft.com/office/drawing/2014/main" id="{BF66A940-4749-4D62-6F30-21A2A94A1332}"/>
              </a:ext>
            </a:extLst>
          </xdr:cNvPr>
          <xdr:cNvSpPr txBox="1"/>
        </xdr:nvSpPr>
        <xdr:spPr>
          <a:xfrm>
            <a:off x="3914629" y="1978207"/>
            <a:ext cx="268627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50" name="正方形/長方形 49">
            <a:extLst>
              <a:ext uri="{FF2B5EF4-FFF2-40B4-BE49-F238E27FC236}">
                <a16:creationId xmlns:a16="http://schemas.microsoft.com/office/drawing/2014/main" id="{B2596270-A482-C300-EFA6-701D36B86E27}"/>
              </a:ext>
            </a:extLst>
          </xdr:cNvPr>
          <xdr:cNvSpPr/>
        </xdr:nvSpPr>
        <xdr:spPr>
          <a:xfrm>
            <a:off x="3914921" y="1913133"/>
            <a:ext cx="278822" cy="142650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1" name="テキスト ボックス 50">
            <a:extLst>
              <a:ext uri="{FF2B5EF4-FFF2-40B4-BE49-F238E27FC236}">
                <a16:creationId xmlns:a16="http://schemas.microsoft.com/office/drawing/2014/main" id="{B6DA9F37-16BC-E5E2-10EE-7B6529114BCC}"/>
              </a:ext>
            </a:extLst>
          </xdr:cNvPr>
          <xdr:cNvSpPr txBox="1"/>
        </xdr:nvSpPr>
        <xdr:spPr>
          <a:xfrm>
            <a:off x="3888537" y="3359841"/>
            <a:ext cx="340790" cy="2849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52" name="正方形/長方形 51">
            <a:extLst>
              <a:ext uri="{FF2B5EF4-FFF2-40B4-BE49-F238E27FC236}">
                <a16:creationId xmlns:a16="http://schemas.microsoft.com/office/drawing/2014/main" id="{00D6B664-7A29-5CC1-0464-E0BFAD2521CF}"/>
              </a:ext>
            </a:extLst>
          </xdr:cNvPr>
          <xdr:cNvSpPr/>
        </xdr:nvSpPr>
        <xdr:spPr>
          <a:xfrm>
            <a:off x="3918018" y="3389437"/>
            <a:ext cx="278227" cy="19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3" name="テキスト ボックス 52">
            <a:extLst>
              <a:ext uri="{FF2B5EF4-FFF2-40B4-BE49-F238E27FC236}">
                <a16:creationId xmlns:a16="http://schemas.microsoft.com/office/drawing/2014/main" id="{EE949A46-A4B1-CD7E-F588-156352456AE5}"/>
              </a:ext>
            </a:extLst>
          </xdr:cNvPr>
          <xdr:cNvSpPr txBox="1"/>
        </xdr:nvSpPr>
        <xdr:spPr>
          <a:xfrm>
            <a:off x="3878797" y="3600705"/>
            <a:ext cx="345445" cy="2797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54" name="正方形/長方形 53">
            <a:extLst>
              <a:ext uri="{FF2B5EF4-FFF2-40B4-BE49-F238E27FC236}">
                <a16:creationId xmlns:a16="http://schemas.microsoft.com/office/drawing/2014/main" id="{C483580D-99B5-BB7A-6EFD-6552818EE4F9}"/>
              </a:ext>
            </a:extLst>
          </xdr:cNvPr>
          <xdr:cNvSpPr/>
        </xdr:nvSpPr>
        <xdr:spPr>
          <a:xfrm>
            <a:off x="3898995" y="3619734"/>
            <a:ext cx="279263" cy="43149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5" name="テキスト ボックス 54">
            <a:extLst>
              <a:ext uri="{FF2B5EF4-FFF2-40B4-BE49-F238E27FC236}">
                <a16:creationId xmlns:a16="http://schemas.microsoft.com/office/drawing/2014/main" id="{0FD1A417-4D12-0352-F9EC-534B2F3A5232}"/>
              </a:ext>
            </a:extLst>
          </xdr:cNvPr>
          <xdr:cNvSpPr txBox="1"/>
        </xdr:nvSpPr>
        <xdr:spPr>
          <a:xfrm>
            <a:off x="3875306" y="4078155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6" name="正方形/長方形 55">
            <a:extLst>
              <a:ext uri="{FF2B5EF4-FFF2-40B4-BE49-F238E27FC236}">
                <a16:creationId xmlns:a16="http://schemas.microsoft.com/office/drawing/2014/main" id="{1E85B06C-A416-5ECE-87F5-FE7BF4E8E1B4}"/>
              </a:ext>
            </a:extLst>
          </xdr:cNvPr>
          <xdr:cNvSpPr/>
        </xdr:nvSpPr>
        <xdr:spPr>
          <a:xfrm>
            <a:off x="3907854" y="4090449"/>
            <a:ext cx="271089" cy="2454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7" name="テキスト ボックス 56">
            <a:extLst>
              <a:ext uri="{FF2B5EF4-FFF2-40B4-BE49-F238E27FC236}">
                <a16:creationId xmlns:a16="http://schemas.microsoft.com/office/drawing/2014/main" id="{19FBB8CD-4A6C-42E1-A511-C4016E74FB9D}"/>
              </a:ext>
            </a:extLst>
          </xdr:cNvPr>
          <xdr:cNvSpPr txBox="1"/>
        </xdr:nvSpPr>
        <xdr:spPr>
          <a:xfrm>
            <a:off x="3872510" y="4356085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58" name="正方形/長方形 57">
            <a:extLst>
              <a:ext uri="{FF2B5EF4-FFF2-40B4-BE49-F238E27FC236}">
                <a16:creationId xmlns:a16="http://schemas.microsoft.com/office/drawing/2014/main" id="{0E6200C1-EA31-9BF6-15F1-5B12F12B7E21}"/>
              </a:ext>
            </a:extLst>
          </xdr:cNvPr>
          <xdr:cNvSpPr/>
        </xdr:nvSpPr>
        <xdr:spPr>
          <a:xfrm>
            <a:off x="3919713" y="4380315"/>
            <a:ext cx="276503" cy="43475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59" name="テキスト ボックス 58">
            <a:extLst>
              <a:ext uri="{FF2B5EF4-FFF2-40B4-BE49-F238E27FC236}">
                <a16:creationId xmlns:a16="http://schemas.microsoft.com/office/drawing/2014/main" id="{2D1A8A7C-9557-BDEC-2578-7B565FF87FA6}"/>
              </a:ext>
            </a:extLst>
          </xdr:cNvPr>
          <xdr:cNvSpPr txBox="1"/>
        </xdr:nvSpPr>
        <xdr:spPr>
          <a:xfrm>
            <a:off x="3874755" y="4865548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0" name="正方形/長方形 59">
            <a:extLst>
              <a:ext uri="{FF2B5EF4-FFF2-40B4-BE49-F238E27FC236}">
                <a16:creationId xmlns:a16="http://schemas.microsoft.com/office/drawing/2014/main" id="{23F7039D-3820-D428-9DB4-8E558BD618F5}"/>
              </a:ext>
            </a:extLst>
          </xdr:cNvPr>
          <xdr:cNvSpPr/>
        </xdr:nvSpPr>
        <xdr:spPr>
          <a:xfrm>
            <a:off x="3914631" y="4856710"/>
            <a:ext cx="276503" cy="6873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1" name="テキスト ボックス 60">
            <a:extLst>
              <a:ext uri="{FF2B5EF4-FFF2-40B4-BE49-F238E27FC236}">
                <a16:creationId xmlns:a16="http://schemas.microsoft.com/office/drawing/2014/main" id="{0D759C30-23F0-0236-C5E4-8A65FEF0BE23}"/>
              </a:ext>
            </a:extLst>
          </xdr:cNvPr>
          <xdr:cNvSpPr txBox="1"/>
        </xdr:nvSpPr>
        <xdr:spPr>
          <a:xfrm>
            <a:off x="3866329" y="5543914"/>
            <a:ext cx="345445" cy="2794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2" name="正方形/長方形 61">
            <a:extLst>
              <a:ext uri="{FF2B5EF4-FFF2-40B4-BE49-F238E27FC236}">
                <a16:creationId xmlns:a16="http://schemas.microsoft.com/office/drawing/2014/main" id="{94A67D36-65EB-0832-CC4F-90235C2955BA}"/>
              </a:ext>
            </a:extLst>
          </xdr:cNvPr>
          <xdr:cNvSpPr/>
        </xdr:nvSpPr>
        <xdr:spPr>
          <a:xfrm>
            <a:off x="3909547" y="5584297"/>
            <a:ext cx="271089" cy="904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3" name="テキスト ボックス 62">
            <a:extLst>
              <a:ext uri="{FF2B5EF4-FFF2-40B4-BE49-F238E27FC236}">
                <a16:creationId xmlns:a16="http://schemas.microsoft.com/office/drawing/2014/main" id="{D3D45D7E-3BF5-4700-2398-B3421C7DA90D}"/>
              </a:ext>
            </a:extLst>
          </xdr:cNvPr>
          <xdr:cNvSpPr txBox="1"/>
        </xdr:nvSpPr>
        <xdr:spPr>
          <a:xfrm>
            <a:off x="3883226" y="6529740"/>
            <a:ext cx="345445" cy="2866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64" name="正方形/長方形 63">
            <a:extLst>
              <a:ext uri="{FF2B5EF4-FFF2-40B4-BE49-F238E27FC236}">
                <a16:creationId xmlns:a16="http://schemas.microsoft.com/office/drawing/2014/main" id="{3B890458-55B0-FC84-44CF-50F752AE968B}"/>
              </a:ext>
            </a:extLst>
          </xdr:cNvPr>
          <xdr:cNvSpPr/>
        </xdr:nvSpPr>
        <xdr:spPr>
          <a:xfrm>
            <a:off x="3912936" y="6545999"/>
            <a:ext cx="271089" cy="16535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5" name="テキスト ボックス 64">
            <a:extLst>
              <a:ext uri="{FF2B5EF4-FFF2-40B4-BE49-F238E27FC236}">
                <a16:creationId xmlns:a16="http://schemas.microsoft.com/office/drawing/2014/main" id="{45A09ACC-DA43-CF27-46DC-2B77E84A4133}"/>
              </a:ext>
            </a:extLst>
          </xdr:cNvPr>
          <xdr:cNvSpPr txBox="1"/>
        </xdr:nvSpPr>
        <xdr:spPr>
          <a:xfrm>
            <a:off x="3878143" y="8201142"/>
            <a:ext cx="345445" cy="2771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6" name="正方形/長方形 65">
            <a:extLst>
              <a:ext uri="{FF2B5EF4-FFF2-40B4-BE49-F238E27FC236}">
                <a16:creationId xmlns:a16="http://schemas.microsoft.com/office/drawing/2014/main" id="{1877859B-F8D5-1F8A-704F-ED7BA52E40F8}"/>
              </a:ext>
            </a:extLst>
          </xdr:cNvPr>
          <xdr:cNvSpPr/>
        </xdr:nvSpPr>
        <xdr:spPr>
          <a:xfrm>
            <a:off x="3907854" y="8234531"/>
            <a:ext cx="271089" cy="14186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7" name="テキスト ボックス 66">
            <a:extLst>
              <a:ext uri="{FF2B5EF4-FFF2-40B4-BE49-F238E27FC236}">
                <a16:creationId xmlns:a16="http://schemas.microsoft.com/office/drawing/2014/main" id="{A24B9C56-8719-F96F-444D-AC17B0B39483}"/>
              </a:ext>
            </a:extLst>
          </xdr:cNvPr>
          <xdr:cNvSpPr txBox="1"/>
        </xdr:nvSpPr>
        <xdr:spPr>
          <a:xfrm>
            <a:off x="3860696" y="9657648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68" name="正方形/長方形 67">
            <a:extLst>
              <a:ext uri="{FF2B5EF4-FFF2-40B4-BE49-F238E27FC236}">
                <a16:creationId xmlns:a16="http://schemas.microsoft.com/office/drawing/2014/main" id="{212D0550-B02B-88F9-9A0B-A6EF6C409758}"/>
              </a:ext>
            </a:extLst>
          </xdr:cNvPr>
          <xdr:cNvSpPr/>
        </xdr:nvSpPr>
        <xdr:spPr>
          <a:xfrm>
            <a:off x="3911242" y="9710400"/>
            <a:ext cx="271089" cy="11728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69" name="テキスト ボックス 68">
            <a:extLst>
              <a:ext uri="{FF2B5EF4-FFF2-40B4-BE49-F238E27FC236}">
                <a16:creationId xmlns:a16="http://schemas.microsoft.com/office/drawing/2014/main" id="{DA19C6BC-3CF2-7D0A-5A89-1F9506896FD9}"/>
              </a:ext>
            </a:extLst>
          </xdr:cNvPr>
          <xdr:cNvSpPr txBox="1"/>
        </xdr:nvSpPr>
        <xdr:spPr>
          <a:xfrm>
            <a:off x="3890782" y="10882421"/>
            <a:ext cx="345445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0" name="正方形/長方形 69">
            <a:extLst>
              <a:ext uri="{FF2B5EF4-FFF2-40B4-BE49-F238E27FC236}">
                <a16:creationId xmlns:a16="http://schemas.microsoft.com/office/drawing/2014/main" id="{274DF305-2C8C-59F9-A097-8719B833728B}"/>
              </a:ext>
            </a:extLst>
          </xdr:cNvPr>
          <xdr:cNvSpPr/>
        </xdr:nvSpPr>
        <xdr:spPr>
          <a:xfrm>
            <a:off x="3914631" y="10912899"/>
            <a:ext cx="271089" cy="14193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1" name="テキスト ボックス 70">
            <a:extLst>
              <a:ext uri="{FF2B5EF4-FFF2-40B4-BE49-F238E27FC236}">
                <a16:creationId xmlns:a16="http://schemas.microsoft.com/office/drawing/2014/main" id="{52A9B579-B814-5E68-A010-49375B3E80BC}"/>
              </a:ext>
            </a:extLst>
          </xdr:cNvPr>
          <xdr:cNvSpPr txBox="1"/>
        </xdr:nvSpPr>
        <xdr:spPr>
          <a:xfrm>
            <a:off x="3879836" y="12332203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2" name="正方形/長方形 71">
            <a:extLst>
              <a:ext uri="{FF2B5EF4-FFF2-40B4-BE49-F238E27FC236}">
                <a16:creationId xmlns:a16="http://schemas.microsoft.com/office/drawing/2014/main" id="{8EDC38E8-04FB-5CDC-1E0C-B533C10CCCD1}"/>
              </a:ext>
            </a:extLst>
          </xdr:cNvPr>
          <xdr:cNvSpPr/>
        </xdr:nvSpPr>
        <xdr:spPr>
          <a:xfrm>
            <a:off x="3909546" y="12360636"/>
            <a:ext cx="271089" cy="114927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3" name="テキスト ボックス 72">
            <a:extLst>
              <a:ext uri="{FF2B5EF4-FFF2-40B4-BE49-F238E27FC236}">
                <a16:creationId xmlns:a16="http://schemas.microsoft.com/office/drawing/2014/main" id="{B12D8478-5E3F-E5D1-DC49-1424535548FC}"/>
              </a:ext>
            </a:extLst>
          </xdr:cNvPr>
          <xdr:cNvSpPr txBox="1"/>
        </xdr:nvSpPr>
        <xdr:spPr>
          <a:xfrm>
            <a:off x="3868572" y="13789164"/>
            <a:ext cx="345445" cy="5196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4" name="正方形/長方形 73">
            <a:extLst>
              <a:ext uri="{FF2B5EF4-FFF2-40B4-BE49-F238E27FC236}">
                <a16:creationId xmlns:a16="http://schemas.microsoft.com/office/drawing/2014/main" id="{8EF3C0EC-8DDA-0E5F-86C5-4B4375C7640E}"/>
              </a:ext>
            </a:extLst>
          </xdr:cNvPr>
          <xdr:cNvSpPr/>
        </xdr:nvSpPr>
        <xdr:spPr>
          <a:xfrm>
            <a:off x="3894072" y="13543265"/>
            <a:ext cx="271955" cy="67496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75" name="テキスト ボックス 74">
            <a:extLst>
              <a:ext uri="{FF2B5EF4-FFF2-40B4-BE49-F238E27FC236}">
                <a16:creationId xmlns:a16="http://schemas.microsoft.com/office/drawing/2014/main" id="{2FE4FAD4-0C98-0E5E-6233-2558BF817EAC}"/>
              </a:ext>
            </a:extLst>
          </xdr:cNvPr>
          <xdr:cNvSpPr txBox="1"/>
        </xdr:nvSpPr>
        <xdr:spPr>
          <a:xfrm>
            <a:off x="3870817" y="14745070"/>
            <a:ext cx="345445" cy="277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6" name="正方形/長方形 75">
            <a:extLst>
              <a:ext uri="{FF2B5EF4-FFF2-40B4-BE49-F238E27FC236}">
                <a16:creationId xmlns:a16="http://schemas.microsoft.com/office/drawing/2014/main" id="{51AD111D-EC4E-6612-D057-C9699A3B31DC}"/>
              </a:ext>
            </a:extLst>
          </xdr:cNvPr>
          <xdr:cNvSpPr/>
        </xdr:nvSpPr>
        <xdr:spPr>
          <a:xfrm>
            <a:off x="3888989" y="14272218"/>
            <a:ext cx="302491" cy="103445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 editAs="oneCell">
    <xdr:from>
      <xdr:col>9</xdr:col>
      <xdr:colOff>1977504</xdr:colOff>
      <xdr:row>16</xdr:row>
      <xdr:rowOff>211321</xdr:rowOff>
    </xdr:from>
    <xdr:to>
      <xdr:col>10</xdr:col>
      <xdr:colOff>72437</xdr:colOff>
      <xdr:row>18</xdr:row>
      <xdr:rowOff>83329</xdr:rowOff>
    </xdr:to>
    <xdr:pic>
      <xdr:nvPicPr>
        <xdr:cNvPr id="141" name="図 140">
          <a:extLst>
            <a:ext uri="{FF2B5EF4-FFF2-40B4-BE49-F238E27FC236}">
              <a16:creationId xmlns:a16="http://schemas.microsoft.com/office/drawing/2014/main" id="{DE22109D-D5C9-4FA0-B1B4-3A9DE3A4202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355324" flipH="1">
          <a:off x="9702279" y="4383271"/>
          <a:ext cx="476183" cy="367308"/>
        </a:xfrm>
        <a:prstGeom prst="rect">
          <a:avLst/>
        </a:prstGeom>
      </xdr:spPr>
    </xdr:pic>
    <xdr:clientData/>
  </xdr:twoCellAnchor>
  <xdr:twoCellAnchor>
    <xdr:from>
      <xdr:col>6</xdr:col>
      <xdr:colOff>2644959</xdr:colOff>
      <xdr:row>0</xdr:row>
      <xdr:rowOff>97388</xdr:rowOff>
    </xdr:from>
    <xdr:to>
      <xdr:col>8</xdr:col>
      <xdr:colOff>76399</xdr:colOff>
      <xdr:row>62</xdr:row>
      <xdr:rowOff>158461</xdr:rowOff>
    </xdr:to>
    <xdr:grpSp>
      <xdr:nvGrpSpPr>
        <xdr:cNvPr id="7" name="グループ化 6">
          <a:extLst>
            <a:ext uri="{FF2B5EF4-FFF2-40B4-BE49-F238E27FC236}">
              <a16:creationId xmlns:a16="http://schemas.microsoft.com/office/drawing/2014/main" id="{AB963A41-0020-0E1D-7553-1656A1D25E47}"/>
            </a:ext>
          </a:extLst>
        </xdr:cNvPr>
        <xdr:cNvGrpSpPr/>
      </xdr:nvGrpSpPr>
      <xdr:grpSpPr>
        <a:xfrm>
          <a:off x="7145522" y="97388"/>
          <a:ext cx="360377" cy="15765417"/>
          <a:chOff x="3860696" y="100852"/>
          <a:chExt cx="375531" cy="15301073"/>
        </a:xfrm>
      </xdr:grpSpPr>
      <xdr:sp macro="" textlink="">
        <xdr:nvSpPr>
          <xdr:cNvPr id="8" name="四角形: 角を丸くする 7">
            <a:extLst>
              <a:ext uri="{FF2B5EF4-FFF2-40B4-BE49-F238E27FC236}">
                <a16:creationId xmlns:a16="http://schemas.microsoft.com/office/drawing/2014/main" id="{AA02FAF0-CCA8-F456-B9C7-79E59DC95C24}"/>
              </a:ext>
            </a:extLst>
          </xdr:cNvPr>
          <xdr:cNvSpPr/>
        </xdr:nvSpPr>
        <xdr:spPr>
          <a:xfrm>
            <a:off x="3880350" y="100852"/>
            <a:ext cx="330509" cy="15301073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" name="テキスト ボックス 8">
            <a:extLst>
              <a:ext uri="{FF2B5EF4-FFF2-40B4-BE49-F238E27FC236}">
                <a16:creationId xmlns:a16="http://schemas.microsoft.com/office/drawing/2014/main" id="{C71AB7B6-603B-7573-06F7-D932ACDE1480}"/>
              </a:ext>
            </a:extLst>
          </xdr:cNvPr>
          <xdr:cNvSpPr txBox="1"/>
        </xdr:nvSpPr>
        <xdr:spPr>
          <a:xfrm>
            <a:off x="3928184" y="525571"/>
            <a:ext cx="268179" cy="28660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0" name="正方形/長方形 9">
            <a:extLst>
              <a:ext uri="{FF2B5EF4-FFF2-40B4-BE49-F238E27FC236}">
                <a16:creationId xmlns:a16="http://schemas.microsoft.com/office/drawing/2014/main" id="{53580A18-844B-1F37-E94F-B85375A4446A}"/>
              </a:ext>
            </a:extLst>
          </xdr:cNvPr>
          <xdr:cNvSpPr/>
        </xdr:nvSpPr>
        <xdr:spPr>
          <a:xfrm>
            <a:off x="3919713" y="463704"/>
            <a:ext cx="278227" cy="142227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" name="テキスト ボックス 10">
            <a:extLst>
              <a:ext uri="{FF2B5EF4-FFF2-40B4-BE49-F238E27FC236}">
                <a16:creationId xmlns:a16="http://schemas.microsoft.com/office/drawing/2014/main" id="{A5B97C93-4E19-7D2F-1E90-5F1D5EACBADE}"/>
              </a:ext>
            </a:extLst>
          </xdr:cNvPr>
          <xdr:cNvSpPr txBox="1"/>
        </xdr:nvSpPr>
        <xdr:spPr>
          <a:xfrm>
            <a:off x="3914629" y="1978207"/>
            <a:ext cx="268627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2" name="正方形/長方形 11">
            <a:extLst>
              <a:ext uri="{FF2B5EF4-FFF2-40B4-BE49-F238E27FC236}">
                <a16:creationId xmlns:a16="http://schemas.microsoft.com/office/drawing/2014/main" id="{4657BEFE-18FA-E5CC-83F7-DF5D13C87210}"/>
              </a:ext>
            </a:extLst>
          </xdr:cNvPr>
          <xdr:cNvSpPr/>
        </xdr:nvSpPr>
        <xdr:spPr>
          <a:xfrm>
            <a:off x="3914921" y="1913133"/>
            <a:ext cx="278822" cy="142650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" name="テキスト ボックス 12">
            <a:extLst>
              <a:ext uri="{FF2B5EF4-FFF2-40B4-BE49-F238E27FC236}">
                <a16:creationId xmlns:a16="http://schemas.microsoft.com/office/drawing/2014/main" id="{AFA698D4-EA4C-79D1-A15E-DCBA0ACF4D60}"/>
              </a:ext>
            </a:extLst>
          </xdr:cNvPr>
          <xdr:cNvSpPr txBox="1"/>
        </xdr:nvSpPr>
        <xdr:spPr>
          <a:xfrm>
            <a:off x="3888537" y="3359841"/>
            <a:ext cx="340790" cy="2849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4" name="正方形/長方形 13">
            <a:extLst>
              <a:ext uri="{FF2B5EF4-FFF2-40B4-BE49-F238E27FC236}">
                <a16:creationId xmlns:a16="http://schemas.microsoft.com/office/drawing/2014/main" id="{9767BC15-14BA-9B66-8379-25CFBEB1456A}"/>
              </a:ext>
            </a:extLst>
          </xdr:cNvPr>
          <xdr:cNvSpPr/>
        </xdr:nvSpPr>
        <xdr:spPr>
          <a:xfrm>
            <a:off x="3918018" y="3389437"/>
            <a:ext cx="278227" cy="19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" name="テキスト ボックス 14">
            <a:extLst>
              <a:ext uri="{FF2B5EF4-FFF2-40B4-BE49-F238E27FC236}">
                <a16:creationId xmlns:a16="http://schemas.microsoft.com/office/drawing/2014/main" id="{9E26B906-5781-B944-58C2-0A2C1D956519}"/>
              </a:ext>
            </a:extLst>
          </xdr:cNvPr>
          <xdr:cNvSpPr txBox="1"/>
        </xdr:nvSpPr>
        <xdr:spPr>
          <a:xfrm>
            <a:off x="3878797" y="3600705"/>
            <a:ext cx="345445" cy="2797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6" name="正方形/長方形 15">
            <a:extLst>
              <a:ext uri="{FF2B5EF4-FFF2-40B4-BE49-F238E27FC236}">
                <a16:creationId xmlns:a16="http://schemas.microsoft.com/office/drawing/2014/main" id="{DFEDAF17-6C32-C13D-36ED-5183581D0374}"/>
              </a:ext>
            </a:extLst>
          </xdr:cNvPr>
          <xdr:cNvSpPr/>
        </xdr:nvSpPr>
        <xdr:spPr>
          <a:xfrm>
            <a:off x="3898995" y="3619734"/>
            <a:ext cx="279263" cy="43149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" name="テキスト ボックス 16">
            <a:extLst>
              <a:ext uri="{FF2B5EF4-FFF2-40B4-BE49-F238E27FC236}">
                <a16:creationId xmlns:a16="http://schemas.microsoft.com/office/drawing/2014/main" id="{67EC9A03-D1FD-7018-FD2F-24702C8E6F2A}"/>
              </a:ext>
            </a:extLst>
          </xdr:cNvPr>
          <xdr:cNvSpPr txBox="1"/>
        </xdr:nvSpPr>
        <xdr:spPr>
          <a:xfrm>
            <a:off x="3875306" y="4078155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8" name="正方形/長方形 17">
            <a:extLst>
              <a:ext uri="{FF2B5EF4-FFF2-40B4-BE49-F238E27FC236}">
                <a16:creationId xmlns:a16="http://schemas.microsoft.com/office/drawing/2014/main" id="{AAD4D98C-1A32-1C05-4F55-7136965A351C}"/>
              </a:ext>
            </a:extLst>
          </xdr:cNvPr>
          <xdr:cNvSpPr/>
        </xdr:nvSpPr>
        <xdr:spPr>
          <a:xfrm>
            <a:off x="3907854" y="4090449"/>
            <a:ext cx="271089" cy="2454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" name="テキスト ボックス 18">
            <a:extLst>
              <a:ext uri="{FF2B5EF4-FFF2-40B4-BE49-F238E27FC236}">
                <a16:creationId xmlns:a16="http://schemas.microsoft.com/office/drawing/2014/main" id="{5C99EE1E-E317-C573-0D9D-DD82E3555990}"/>
              </a:ext>
            </a:extLst>
          </xdr:cNvPr>
          <xdr:cNvSpPr txBox="1"/>
        </xdr:nvSpPr>
        <xdr:spPr>
          <a:xfrm>
            <a:off x="3872510" y="4356085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0" name="正方形/長方形 19">
            <a:extLst>
              <a:ext uri="{FF2B5EF4-FFF2-40B4-BE49-F238E27FC236}">
                <a16:creationId xmlns:a16="http://schemas.microsoft.com/office/drawing/2014/main" id="{4367515F-D231-0AB6-A776-A5BD31844906}"/>
              </a:ext>
            </a:extLst>
          </xdr:cNvPr>
          <xdr:cNvSpPr/>
        </xdr:nvSpPr>
        <xdr:spPr>
          <a:xfrm>
            <a:off x="3919713" y="4380315"/>
            <a:ext cx="276503" cy="43475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1" name="テキスト ボックス 20">
            <a:extLst>
              <a:ext uri="{FF2B5EF4-FFF2-40B4-BE49-F238E27FC236}">
                <a16:creationId xmlns:a16="http://schemas.microsoft.com/office/drawing/2014/main" id="{B509D773-3C1D-FB47-2771-46EF4BB157A4}"/>
              </a:ext>
            </a:extLst>
          </xdr:cNvPr>
          <xdr:cNvSpPr txBox="1"/>
        </xdr:nvSpPr>
        <xdr:spPr>
          <a:xfrm>
            <a:off x="3874755" y="4865548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2" name="正方形/長方形 21">
            <a:extLst>
              <a:ext uri="{FF2B5EF4-FFF2-40B4-BE49-F238E27FC236}">
                <a16:creationId xmlns:a16="http://schemas.microsoft.com/office/drawing/2014/main" id="{1BFFD229-BFE8-C839-03A5-E23B8DE570CE}"/>
              </a:ext>
            </a:extLst>
          </xdr:cNvPr>
          <xdr:cNvSpPr/>
        </xdr:nvSpPr>
        <xdr:spPr>
          <a:xfrm>
            <a:off x="3914631" y="4856710"/>
            <a:ext cx="276503" cy="6873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3" name="テキスト ボックス 22">
            <a:extLst>
              <a:ext uri="{FF2B5EF4-FFF2-40B4-BE49-F238E27FC236}">
                <a16:creationId xmlns:a16="http://schemas.microsoft.com/office/drawing/2014/main" id="{1927A044-8F71-89F1-90DD-0215B69FDACC}"/>
              </a:ext>
            </a:extLst>
          </xdr:cNvPr>
          <xdr:cNvSpPr txBox="1"/>
        </xdr:nvSpPr>
        <xdr:spPr>
          <a:xfrm>
            <a:off x="3866329" y="5543914"/>
            <a:ext cx="345445" cy="2794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4" name="正方形/長方形 23">
            <a:extLst>
              <a:ext uri="{FF2B5EF4-FFF2-40B4-BE49-F238E27FC236}">
                <a16:creationId xmlns:a16="http://schemas.microsoft.com/office/drawing/2014/main" id="{49E263E1-075A-2C44-E1AA-E67334463E24}"/>
              </a:ext>
            </a:extLst>
          </xdr:cNvPr>
          <xdr:cNvSpPr/>
        </xdr:nvSpPr>
        <xdr:spPr>
          <a:xfrm>
            <a:off x="3909547" y="5584297"/>
            <a:ext cx="271089" cy="904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5" name="テキスト ボックス 24">
            <a:extLst>
              <a:ext uri="{FF2B5EF4-FFF2-40B4-BE49-F238E27FC236}">
                <a16:creationId xmlns:a16="http://schemas.microsoft.com/office/drawing/2014/main" id="{ABB16DA3-DD3E-4A31-E969-3BDC48ACE756}"/>
              </a:ext>
            </a:extLst>
          </xdr:cNvPr>
          <xdr:cNvSpPr txBox="1"/>
        </xdr:nvSpPr>
        <xdr:spPr>
          <a:xfrm>
            <a:off x="3883226" y="6529740"/>
            <a:ext cx="345445" cy="2866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26" name="正方形/長方形 25">
            <a:extLst>
              <a:ext uri="{FF2B5EF4-FFF2-40B4-BE49-F238E27FC236}">
                <a16:creationId xmlns:a16="http://schemas.microsoft.com/office/drawing/2014/main" id="{3DA6A782-68D5-A8E4-ACE2-A8B2AD5C47D0}"/>
              </a:ext>
            </a:extLst>
          </xdr:cNvPr>
          <xdr:cNvSpPr/>
        </xdr:nvSpPr>
        <xdr:spPr>
          <a:xfrm>
            <a:off x="3912936" y="6545999"/>
            <a:ext cx="271089" cy="16535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7" name="テキスト ボックス 26">
            <a:extLst>
              <a:ext uri="{FF2B5EF4-FFF2-40B4-BE49-F238E27FC236}">
                <a16:creationId xmlns:a16="http://schemas.microsoft.com/office/drawing/2014/main" id="{A2326A75-4754-C4B8-64E8-3A5C309F921D}"/>
              </a:ext>
            </a:extLst>
          </xdr:cNvPr>
          <xdr:cNvSpPr txBox="1"/>
        </xdr:nvSpPr>
        <xdr:spPr>
          <a:xfrm>
            <a:off x="3878143" y="8201142"/>
            <a:ext cx="345445" cy="2771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8" name="正方形/長方形 27">
            <a:extLst>
              <a:ext uri="{FF2B5EF4-FFF2-40B4-BE49-F238E27FC236}">
                <a16:creationId xmlns:a16="http://schemas.microsoft.com/office/drawing/2014/main" id="{BF89E8ED-2260-FCD1-EEE6-47204AC8055E}"/>
              </a:ext>
            </a:extLst>
          </xdr:cNvPr>
          <xdr:cNvSpPr/>
        </xdr:nvSpPr>
        <xdr:spPr>
          <a:xfrm>
            <a:off x="3907854" y="8234531"/>
            <a:ext cx="271089" cy="14186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9" name="テキスト ボックス 28">
            <a:extLst>
              <a:ext uri="{FF2B5EF4-FFF2-40B4-BE49-F238E27FC236}">
                <a16:creationId xmlns:a16="http://schemas.microsoft.com/office/drawing/2014/main" id="{D65EC0D7-076B-64F7-2C93-3BCA2FA90FC5}"/>
              </a:ext>
            </a:extLst>
          </xdr:cNvPr>
          <xdr:cNvSpPr txBox="1"/>
        </xdr:nvSpPr>
        <xdr:spPr>
          <a:xfrm>
            <a:off x="3860696" y="9657648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0" name="正方形/長方形 29">
            <a:extLst>
              <a:ext uri="{FF2B5EF4-FFF2-40B4-BE49-F238E27FC236}">
                <a16:creationId xmlns:a16="http://schemas.microsoft.com/office/drawing/2014/main" id="{31C35850-332E-D06B-6260-E622A5DFF432}"/>
              </a:ext>
            </a:extLst>
          </xdr:cNvPr>
          <xdr:cNvSpPr/>
        </xdr:nvSpPr>
        <xdr:spPr>
          <a:xfrm>
            <a:off x="3911242" y="9710400"/>
            <a:ext cx="271089" cy="11728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1" name="テキスト ボックス 30">
            <a:extLst>
              <a:ext uri="{FF2B5EF4-FFF2-40B4-BE49-F238E27FC236}">
                <a16:creationId xmlns:a16="http://schemas.microsoft.com/office/drawing/2014/main" id="{E9FBBDBA-545C-5249-4C6F-1D0A3D4D4F26}"/>
              </a:ext>
            </a:extLst>
          </xdr:cNvPr>
          <xdr:cNvSpPr txBox="1"/>
        </xdr:nvSpPr>
        <xdr:spPr>
          <a:xfrm>
            <a:off x="3890782" y="10882421"/>
            <a:ext cx="345445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2" name="正方形/長方形 31">
            <a:extLst>
              <a:ext uri="{FF2B5EF4-FFF2-40B4-BE49-F238E27FC236}">
                <a16:creationId xmlns:a16="http://schemas.microsoft.com/office/drawing/2014/main" id="{B97E302D-FA04-8EB9-0D42-B3424ABC6128}"/>
              </a:ext>
            </a:extLst>
          </xdr:cNvPr>
          <xdr:cNvSpPr/>
        </xdr:nvSpPr>
        <xdr:spPr>
          <a:xfrm>
            <a:off x="3914631" y="10912899"/>
            <a:ext cx="271089" cy="14193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3" name="テキスト ボックス 32">
            <a:extLst>
              <a:ext uri="{FF2B5EF4-FFF2-40B4-BE49-F238E27FC236}">
                <a16:creationId xmlns:a16="http://schemas.microsoft.com/office/drawing/2014/main" id="{ACFA4E67-0F9E-DF51-6147-3E86DEA6BBB7}"/>
              </a:ext>
            </a:extLst>
          </xdr:cNvPr>
          <xdr:cNvSpPr txBox="1"/>
        </xdr:nvSpPr>
        <xdr:spPr>
          <a:xfrm>
            <a:off x="3879836" y="12332203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4" name="正方形/長方形 33">
            <a:extLst>
              <a:ext uri="{FF2B5EF4-FFF2-40B4-BE49-F238E27FC236}">
                <a16:creationId xmlns:a16="http://schemas.microsoft.com/office/drawing/2014/main" id="{6DE0B5C8-E73E-9714-6758-AA7570479F0C}"/>
              </a:ext>
            </a:extLst>
          </xdr:cNvPr>
          <xdr:cNvSpPr/>
        </xdr:nvSpPr>
        <xdr:spPr>
          <a:xfrm>
            <a:off x="3909546" y="12360636"/>
            <a:ext cx="271089" cy="114927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5" name="テキスト ボックス 34">
            <a:extLst>
              <a:ext uri="{FF2B5EF4-FFF2-40B4-BE49-F238E27FC236}">
                <a16:creationId xmlns:a16="http://schemas.microsoft.com/office/drawing/2014/main" id="{E210B5B1-893E-7F8C-5CF4-9B5258CBCDAE}"/>
              </a:ext>
            </a:extLst>
          </xdr:cNvPr>
          <xdr:cNvSpPr txBox="1"/>
        </xdr:nvSpPr>
        <xdr:spPr>
          <a:xfrm>
            <a:off x="3868572" y="13789164"/>
            <a:ext cx="345445" cy="5196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36" name="正方形/長方形 35">
            <a:extLst>
              <a:ext uri="{FF2B5EF4-FFF2-40B4-BE49-F238E27FC236}">
                <a16:creationId xmlns:a16="http://schemas.microsoft.com/office/drawing/2014/main" id="{A41DD3D6-5F01-4E8B-9B1C-02AF5A79C394}"/>
              </a:ext>
            </a:extLst>
          </xdr:cNvPr>
          <xdr:cNvSpPr/>
        </xdr:nvSpPr>
        <xdr:spPr>
          <a:xfrm>
            <a:off x="3894072" y="13543265"/>
            <a:ext cx="271955" cy="67496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37" name="テキスト ボックス 36">
            <a:extLst>
              <a:ext uri="{FF2B5EF4-FFF2-40B4-BE49-F238E27FC236}">
                <a16:creationId xmlns:a16="http://schemas.microsoft.com/office/drawing/2014/main" id="{5EB76C19-C4F7-840C-8205-74684B838F25}"/>
              </a:ext>
            </a:extLst>
          </xdr:cNvPr>
          <xdr:cNvSpPr txBox="1"/>
        </xdr:nvSpPr>
        <xdr:spPr>
          <a:xfrm>
            <a:off x="3870817" y="14745070"/>
            <a:ext cx="345445" cy="277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77" name="正方形/長方形 76">
            <a:extLst>
              <a:ext uri="{FF2B5EF4-FFF2-40B4-BE49-F238E27FC236}">
                <a16:creationId xmlns:a16="http://schemas.microsoft.com/office/drawing/2014/main" id="{FC55E0EC-2902-E08D-00E5-88C58F65ADA1}"/>
              </a:ext>
            </a:extLst>
          </xdr:cNvPr>
          <xdr:cNvSpPr/>
        </xdr:nvSpPr>
        <xdr:spPr>
          <a:xfrm>
            <a:off x="3888989" y="14272218"/>
            <a:ext cx="302491" cy="103445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9</xdr:col>
      <xdr:colOff>2329768</xdr:colOff>
      <xdr:row>0</xdr:row>
      <xdr:rowOff>93924</xdr:rowOff>
    </xdr:from>
    <xdr:to>
      <xdr:col>10</xdr:col>
      <xdr:colOff>315389</xdr:colOff>
      <xdr:row>62</xdr:row>
      <xdr:rowOff>154997</xdr:rowOff>
    </xdr:to>
    <xdr:grpSp>
      <xdr:nvGrpSpPr>
        <xdr:cNvPr id="78" name="グループ化 77">
          <a:extLst>
            <a:ext uri="{FF2B5EF4-FFF2-40B4-BE49-F238E27FC236}">
              <a16:creationId xmlns:a16="http://schemas.microsoft.com/office/drawing/2014/main" id="{C5DBAF08-9C18-6994-98C3-6E88D8ABDC3B}"/>
            </a:ext>
          </a:extLst>
        </xdr:cNvPr>
        <xdr:cNvGrpSpPr/>
      </xdr:nvGrpSpPr>
      <xdr:grpSpPr>
        <a:xfrm>
          <a:off x="10068831" y="93924"/>
          <a:ext cx="366871" cy="15765417"/>
          <a:chOff x="3860696" y="100852"/>
          <a:chExt cx="375531" cy="15301073"/>
        </a:xfrm>
      </xdr:grpSpPr>
      <xdr:sp macro="" textlink="">
        <xdr:nvSpPr>
          <xdr:cNvPr id="79" name="四角形: 角を丸くする 78">
            <a:extLst>
              <a:ext uri="{FF2B5EF4-FFF2-40B4-BE49-F238E27FC236}">
                <a16:creationId xmlns:a16="http://schemas.microsoft.com/office/drawing/2014/main" id="{578BEE25-2576-1E4D-7FDB-77505AE270E6}"/>
              </a:ext>
            </a:extLst>
          </xdr:cNvPr>
          <xdr:cNvSpPr/>
        </xdr:nvSpPr>
        <xdr:spPr>
          <a:xfrm>
            <a:off x="3880350" y="100852"/>
            <a:ext cx="330509" cy="15301073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0" name="テキスト ボックス 79">
            <a:extLst>
              <a:ext uri="{FF2B5EF4-FFF2-40B4-BE49-F238E27FC236}">
                <a16:creationId xmlns:a16="http://schemas.microsoft.com/office/drawing/2014/main" id="{CD53FB60-3F8D-638E-522B-32374B7BC28B}"/>
              </a:ext>
            </a:extLst>
          </xdr:cNvPr>
          <xdr:cNvSpPr txBox="1"/>
        </xdr:nvSpPr>
        <xdr:spPr>
          <a:xfrm>
            <a:off x="3928184" y="525571"/>
            <a:ext cx="268179" cy="28660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81" name="正方形/長方形 80">
            <a:extLst>
              <a:ext uri="{FF2B5EF4-FFF2-40B4-BE49-F238E27FC236}">
                <a16:creationId xmlns:a16="http://schemas.microsoft.com/office/drawing/2014/main" id="{24F2BE55-AA17-21B0-0AE5-DC898C6B81FF}"/>
              </a:ext>
            </a:extLst>
          </xdr:cNvPr>
          <xdr:cNvSpPr/>
        </xdr:nvSpPr>
        <xdr:spPr>
          <a:xfrm>
            <a:off x="3919713" y="463704"/>
            <a:ext cx="278227" cy="142227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2" name="テキスト ボックス 81">
            <a:extLst>
              <a:ext uri="{FF2B5EF4-FFF2-40B4-BE49-F238E27FC236}">
                <a16:creationId xmlns:a16="http://schemas.microsoft.com/office/drawing/2014/main" id="{07459B52-290D-571B-C780-38128B1BDE6D}"/>
              </a:ext>
            </a:extLst>
          </xdr:cNvPr>
          <xdr:cNvSpPr txBox="1"/>
        </xdr:nvSpPr>
        <xdr:spPr>
          <a:xfrm>
            <a:off x="3914629" y="1978207"/>
            <a:ext cx="268627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83" name="正方形/長方形 82">
            <a:extLst>
              <a:ext uri="{FF2B5EF4-FFF2-40B4-BE49-F238E27FC236}">
                <a16:creationId xmlns:a16="http://schemas.microsoft.com/office/drawing/2014/main" id="{B7AE33AD-3DAB-3DA6-2D8F-7D81F4A0CA6A}"/>
              </a:ext>
            </a:extLst>
          </xdr:cNvPr>
          <xdr:cNvSpPr/>
        </xdr:nvSpPr>
        <xdr:spPr>
          <a:xfrm>
            <a:off x="3914921" y="1913133"/>
            <a:ext cx="278822" cy="142650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4" name="テキスト ボックス 83">
            <a:extLst>
              <a:ext uri="{FF2B5EF4-FFF2-40B4-BE49-F238E27FC236}">
                <a16:creationId xmlns:a16="http://schemas.microsoft.com/office/drawing/2014/main" id="{A8DD7B14-F577-A9AA-B313-D2A78DCE48C4}"/>
              </a:ext>
            </a:extLst>
          </xdr:cNvPr>
          <xdr:cNvSpPr txBox="1"/>
        </xdr:nvSpPr>
        <xdr:spPr>
          <a:xfrm>
            <a:off x="3888537" y="3359841"/>
            <a:ext cx="340790" cy="2849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85" name="正方形/長方形 84">
            <a:extLst>
              <a:ext uri="{FF2B5EF4-FFF2-40B4-BE49-F238E27FC236}">
                <a16:creationId xmlns:a16="http://schemas.microsoft.com/office/drawing/2014/main" id="{F84A5AFD-7EE1-8CF4-4D0E-390A030CEA1A}"/>
              </a:ext>
            </a:extLst>
          </xdr:cNvPr>
          <xdr:cNvSpPr/>
        </xdr:nvSpPr>
        <xdr:spPr>
          <a:xfrm>
            <a:off x="3918018" y="3389437"/>
            <a:ext cx="278227" cy="19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6" name="テキスト ボックス 85">
            <a:extLst>
              <a:ext uri="{FF2B5EF4-FFF2-40B4-BE49-F238E27FC236}">
                <a16:creationId xmlns:a16="http://schemas.microsoft.com/office/drawing/2014/main" id="{E36FA112-BF17-04E1-34D3-503196D9A213}"/>
              </a:ext>
            </a:extLst>
          </xdr:cNvPr>
          <xdr:cNvSpPr txBox="1"/>
        </xdr:nvSpPr>
        <xdr:spPr>
          <a:xfrm>
            <a:off x="3878797" y="3600705"/>
            <a:ext cx="345445" cy="2797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87" name="正方形/長方形 86">
            <a:extLst>
              <a:ext uri="{FF2B5EF4-FFF2-40B4-BE49-F238E27FC236}">
                <a16:creationId xmlns:a16="http://schemas.microsoft.com/office/drawing/2014/main" id="{15FF4F6F-DD99-4306-BD7D-E1BE4E25B9F6}"/>
              </a:ext>
            </a:extLst>
          </xdr:cNvPr>
          <xdr:cNvSpPr/>
        </xdr:nvSpPr>
        <xdr:spPr>
          <a:xfrm>
            <a:off x="3898995" y="3619734"/>
            <a:ext cx="279263" cy="43149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88" name="テキスト ボックス 87">
            <a:extLst>
              <a:ext uri="{FF2B5EF4-FFF2-40B4-BE49-F238E27FC236}">
                <a16:creationId xmlns:a16="http://schemas.microsoft.com/office/drawing/2014/main" id="{F11D97F0-CC94-5128-CBB5-57575B4A5984}"/>
              </a:ext>
            </a:extLst>
          </xdr:cNvPr>
          <xdr:cNvSpPr txBox="1"/>
        </xdr:nvSpPr>
        <xdr:spPr>
          <a:xfrm>
            <a:off x="3875306" y="4078155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89" name="正方形/長方形 88">
            <a:extLst>
              <a:ext uri="{FF2B5EF4-FFF2-40B4-BE49-F238E27FC236}">
                <a16:creationId xmlns:a16="http://schemas.microsoft.com/office/drawing/2014/main" id="{B2394B81-21D9-0318-7523-9B39A8E74D23}"/>
              </a:ext>
            </a:extLst>
          </xdr:cNvPr>
          <xdr:cNvSpPr/>
        </xdr:nvSpPr>
        <xdr:spPr>
          <a:xfrm>
            <a:off x="3907854" y="4090449"/>
            <a:ext cx="271089" cy="2454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0" name="テキスト ボックス 89">
            <a:extLst>
              <a:ext uri="{FF2B5EF4-FFF2-40B4-BE49-F238E27FC236}">
                <a16:creationId xmlns:a16="http://schemas.microsoft.com/office/drawing/2014/main" id="{AB29B91B-56E6-3A3D-10AE-B59491992EFC}"/>
              </a:ext>
            </a:extLst>
          </xdr:cNvPr>
          <xdr:cNvSpPr txBox="1"/>
        </xdr:nvSpPr>
        <xdr:spPr>
          <a:xfrm>
            <a:off x="3872510" y="4356085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1" name="正方形/長方形 90">
            <a:extLst>
              <a:ext uri="{FF2B5EF4-FFF2-40B4-BE49-F238E27FC236}">
                <a16:creationId xmlns:a16="http://schemas.microsoft.com/office/drawing/2014/main" id="{7AB28A13-6F7A-432B-203D-EA1D3C1886D0}"/>
              </a:ext>
            </a:extLst>
          </xdr:cNvPr>
          <xdr:cNvSpPr/>
        </xdr:nvSpPr>
        <xdr:spPr>
          <a:xfrm>
            <a:off x="3919713" y="4380315"/>
            <a:ext cx="276503" cy="43475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2" name="テキスト ボックス 91">
            <a:extLst>
              <a:ext uri="{FF2B5EF4-FFF2-40B4-BE49-F238E27FC236}">
                <a16:creationId xmlns:a16="http://schemas.microsoft.com/office/drawing/2014/main" id="{04A3CD17-F14E-FF3C-5AEA-50AB30474738}"/>
              </a:ext>
            </a:extLst>
          </xdr:cNvPr>
          <xdr:cNvSpPr txBox="1"/>
        </xdr:nvSpPr>
        <xdr:spPr>
          <a:xfrm>
            <a:off x="3874755" y="4865548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3" name="正方形/長方形 92">
            <a:extLst>
              <a:ext uri="{FF2B5EF4-FFF2-40B4-BE49-F238E27FC236}">
                <a16:creationId xmlns:a16="http://schemas.microsoft.com/office/drawing/2014/main" id="{64EF29F1-D92A-D9AE-1A45-B57C7F184450}"/>
              </a:ext>
            </a:extLst>
          </xdr:cNvPr>
          <xdr:cNvSpPr/>
        </xdr:nvSpPr>
        <xdr:spPr>
          <a:xfrm>
            <a:off x="3914631" y="4856710"/>
            <a:ext cx="276503" cy="6873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4" name="テキスト ボックス 93">
            <a:extLst>
              <a:ext uri="{FF2B5EF4-FFF2-40B4-BE49-F238E27FC236}">
                <a16:creationId xmlns:a16="http://schemas.microsoft.com/office/drawing/2014/main" id="{B168BFC5-EB1E-724E-6C8D-6FDEB81E2006}"/>
              </a:ext>
            </a:extLst>
          </xdr:cNvPr>
          <xdr:cNvSpPr txBox="1"/>
        </xdr:nvSpPr>
        <xdr:spPr>
          <a:xfrm>
            <a:off x="3866329" y="5543914"/>
            <a:ext cx="345445" cy="2794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5" name="正方形/長方形 94">
            <a:extLst>
              <a:ext uri="{FF2B5EF4-FFF2-40B4-BE49-F238E27FC236}">
                <a16:creationId xmlns:a16="http://schemas.microsoft.com/office/drawing/2014/main" id="{925B844C-AAF7-3BB9-D80E-885C5578D59B}"/>
              </a:ext>
            </a:extLst>
          </xdr:cNvPr>
          <xdr:cNvSpPr/>
        </xdr:nvSpPr>
        <xdr:spPr>
          <a:xfrm>
            <a:off x="3909547" y="5584297"/>
            <a:ext cx="271089" cy="904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6" name="テキスト ボックス 95">
            <a:extLst>
              <a:ext uri="{FF2B5EF4-FFF2-40B4-BE49-F238E27FC236}">
                <a16:creationId xmlns:a16="http://schemas.microsoft.com/office/drawing/2014/main" id="{BDC43505-F603-F2D9-F8B0-EC6FF9203984}"/>
              </a:ext>
            </a:extLst>
          </xdr:cNvPr>
          <xdr:cNvSpPr txBox="1"/>
        </xdr:nvSpPr>
        <xdr:spPr>
          <a:xfrm>
            <a:off x="3883226" y="6529740"/>
            <a:ext cx="345445" cy="2866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97" name="正方形/長方形 96">
            <a:extLst>
              <a:ext uri="{FF2B5EF4-FFF2-40B4-BE49-F238E27FC236}">
                <a16:creationId xmlns:a16="http://schemas.microsoft.com/office/drawing/2014/main" id="{BA6960BC-F6ED-6A08-0130-30C38CD94002}"/>
              </a:ext>
            </a:extLst>
          </xdr:cNvPr>
          <xdr:cNvSpPr/>
        </xdr:nvSpPr>
        <xdr:spPr>
          <a:xfrm>
            <a:off x="3912936" y="6545999"/>
            <a:ext cx="271089" cy="16535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98" name="テキスト ボックス 97">
            <a:extLst>
              <a:ext uri="{FF2B5EF4-FFF2-40B4-BE49-F238E27FC236}">
                <a16:creationId xmlns:a16="http://schemas.microsoft.com/office/drawing/2014/main" id="{6605AFF1-2692-5D90-A3D4-2C772FF836C7}"/>
              </a:ext>
            </a:extLst>
          </xdr:cNvPr>
          <xdr:cNvSpPr txBox="1"/>
        </xdr:nvSpPr>
        <xdr:spPr>
          <a:xfrm>
            <a:off x="3878143" y="8201142"/>
            <a:ext cx="345445" cy="2771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99" name="正方形/長方形 98">
            <a:extLst>
              <a:ext uri="{FF2B5EF4-FFF2-40B4-BE49-F238E27FC236}">
                <a16:creationId xmlns:a16="http://schemas.microsoft.com/office/drawing/2014/main" id="{D5B43501-430B-D097-BFC0-7712B39CB8C4}"/>
              </a:ext>
            </a:extLst>
          </xdr:cNvPr>
          <xdr:cNvSpPr/>
        </xdr:nvSpPr>
        <xdr:spPr>
          <a:xfrm>
            <a:off x="3907854" y="8234531"/>
            <a:ext cx="271089" cy="14186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0" name="テキスト ボックス 99">
            <a:extLst>
              <a:ext uri="{FF2B5EF4-FFF2-40B4-BE49-F238E27FC236}">
                <a16:creationId xmlns:a16="http://schemas.microsoft.com/office/drawing/2014/main" id="{C6E48795-767A-68B6-A5AE-1423FE8B17E9}"/>
              </a:ext>
            </a:extLst>
          </xdr:cNvPr>
          <xdr:cNvSpPr txBox="1"/>
        </xdr:nvSpPr>
        <xdr:spPr>
          <a:xfrm>
            <a:off x="3860696" y="9657648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1" name="正方形/長方形 100">
            <a:extLst>
              <a:ext uri="{FF2B5EF4-FFF2-40B4-BE49-F238E27FC236}">
                <a16:creationId xmlns:a16="http://schemas.microsoft.com/office/drawing/2014/main" id="{7A9E7657-122A-512D-7DDB-A9D7B8A2DB4D}"/>
              </a:ext>
            </a:extLst>
          </xdr:cNvPr>
          <xdr:cNvSpPr/>
        </xdr:nvSpPr>
        <xdr:spPr>
          <a:xfrm>
            <a:off x="3911242" y="9710400"/>
            <a:ext cx="271089" cy="11728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2" name="テキスト ボックス 101">
            <a:extLst>
              <a:ext uri="{FF2B5EF4-FFF2-40B4-BE49-F238E27FC236}">
                <a16:creationId xmlns:a16="http://schemas.microsoft.com/office/drawing/2014/main" id="{6275FF69-CFFE-609B-2728-9F29D730EA07}"/>
              </a:ext>
            </a:extLst>
          </xdr:cNvPr>
          <xdr:cNvSpPr txBox="1"/>
        </xdr:nvSpPr>
        <xdr:spPr>
          <a:xfrm>
            <a:off x="3890782" y="10882421"/>
            <a:ext cx="345445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3" name="正方形/長方形 102">
            <a:extLst>
              <a:ext uri="{FF2B5EF4-FFF2-40B4-BE49-F238E27FC236}">
                <a16:creationId xmlns:a16="http://schemas.microsoft.com/office/drawing/2014/main" id="{CCFF72AC-3F5A-7976-A204-301B5255C6C9}"/>
              </a:ext>
            </a:extLst>
          </xdr:cNvPr>
          <xdr:cNvSpPr/>
        </xdr:nvSpPr>
        <xdr:spPr>
          <a:xfrm>
            <a:off x="3914631" y="10912899"/>
            <a:ext cx="271089" cy="14193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4" name="テキスト ボックス 103">
            <a:extLst>
              <a:ext uri="{FF2B5EF4-FFF2-40B4-BE49-F238E27FC236}">
                <a16:creationId xmlns:a16="http://schemas.microsoft.com/office/drawing/2014/main" id="{8968D8F0-FEE4-F108-5544-58F4FB2090EC}"/>
              </a:ext>
            </a:extLst>
          </xdr:cNvPr>
          <xdr:cNvSpPr txBox="1"/>
        </xdr:nvSpPr>
        <xdr:spPr>
          <a:xfrm>
            <a:off x="3879836" y="12332203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5" name="正方形/長方形 104">
            <a:extLst>
              <a:ext uri="{FF2B5EF4-FFF2-40B4-BE49-F238E27FC236}">
                <a16:creationId xmlns:a16="http://schemas.microsoft.com/office/drawing/2014/main" id="{6C238E0C-A08F-948C-18DD-62CBAD11C41D}"/>
              </a:ext>
            </a:extLst>
          </xdr:cNvPr>
          <xdr:cNvSpPr/>
        </xdr:nvSpPr>
        <xdr:spPr>
          <a:xfrm>
            <a:off x="3909546" y="12360636"/>
            <a:ext cx="271089" cy="114927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6" name="テキスト ボックス 105">
            <a:extLst>
              <a:ext uri="{FF2B5EF4-FFF2-40B4-BE49-F238E27FC236}">
                <a16:creationId xmlns:a16="http://schemas.microsoft.com/office/drawing/2014/main" id="{1334A23A-8063-4005-9AE2-35F89B7A3B1A}"/>
              </a:ext>
            </a:extLst>
          </xdr:cNvPr>
          <xdr:cNvSpPr txBox="1"/>
        </xdr:nvSpPr>
        <xdr:spPr>
          <a:xfrm>
            <a:off x="3868572" y="13789164"/>
            <a:ext cx="345445" cy="5196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7" name="正方形/長方形 106">
            <a:extLst>
              <a:ext uri="{FF2B5EF4-FFF2-40B4-BE49-F238E27FC236}">
                <a16:creationId xmlns:a16="http://schemas.microsoft.com/office/drawing/2014/main" id="{A0EFD4F1-A4F1-B668-300A-6FD401ED3D93}"/>
              </a:ext>
            </a:extLst>
          </xdr:cNvPr>
          <xdr:cNvSpPr/>
        </xdr:nvSpPr>
        <xdr:spPr>
          <a:xfrm>
            <a:off x="3894072" y="13543265"/>
            <a:ext cx="271955" cy="67496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08" name="テキスト ボックス 107">
            <a:extLst>
              <a:ext uri="{FF2B5EF4-FFF2-40B4-BE49-F238E27FC236}">
                <a16:creationId xmlns:a16="http://schemas.microsoft.com/office/drawing/2014/main" id="{F6423317-547A-E06C-0D9F-43A99EC8CB82}"/>
              </a:ext>
            </a:extLst>
          </xdr:cNvPr>
          <xdr:cNvSpPr txBox="1"/>
        </xdr:nvSpPr>
        <xdr:spPr>
          <a:xfrm>
            <a:off x="3870817" y="14745070"/>
            <a:ext cx="345445" cy="277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09" name="正方形/長方形 108">
            <a:extLst>
              <a:ext uri="{FF2B5EF4-FFF2-40B4-BE49-F238E27FC236}">
                <a16:creationId xmlns:a16="http://schemas.microsoft.com/office/drawing/2014/main" id="{52D1E70A-4590-DB8E-328F-8F9EAF94986C}"/>
              </a:ext>
            </a:extLst>
          </xdr:cNvPr>
          <xdr:cNvSpPr/>
        </xdr:nvSpPr>
        <xdr:spPr>
          <a:xfrm>
            <a:off x="3888989" y="14272218"/>
            <a:ext cx="302491" cy="103445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1</xdr:col>
      <xdr:colOff>47232</xdr:colOff>
      <xdr:row>0</xdr:row>
      <xdr:rowOff>45433</xdr:rowOff>
    </xdr:from>
    <xdr:to>
      <xdr:col>1</xdr:col>
      <xdr:colOff>422763</xdr:colOff>
      <xdr:row>62</xdr:row>
      <xdr:rowOff>106506</xdr:rowOff>
    </xdr:to>
    <xdr:grpSp>
      <xdr:nvGrpSpPr>
        <xdr:cNvPr id="110" name="グループ化 109">
          <a:extLst>
            <a:ext uri="{FF2B5EF4-FFF2-40B4-BE49-F238E27FC236}">
              <a16:creationId xmlns:a16="http://schemas.microsoft.com/office/drawing/2014/main" id="{38AC1030-775B-0209-F789-2F391BCB3720}"/>
            </a:ext>
          </a:extLst>
        </xdr:cNvPr>
        <xdr:cNvGrpSpPr/>
      </xdr:nvGrpSpPr>
      <xdr:grpSpPr>
        <a:xfrm>
          <a:off x="642545" y="45433"/>
          <a:ext cx="375531" cy="15765417"/>
          <a:chOff x="3860696" y="100852"/>
          <a:chExt cx="375531" cy="15301073"/>
        </a:xfrm>
      </xdr:grpSpPr>
      <xdr:sp macro="" textlink="">
        <xdr:nvSpPr>
          <xdr:cNvPr id="111" name="四角形: 角を丸くする 110">
            <a:extLst>
              <a:ext uri="{FF2B5EF4-FFF2-40B4-BE49-F238E27FC236}">
                <a16:creationId xmlns:a16="http://schemas.microsoft.com/office/drawing/2014/main" id="{8BE4CBDA-0595-2AA1-76D1-C043B2BB596C}"/>
              </a:ext>
            </a:extLst>
          </xdr:cNvPr>
          <xdr:cNvSpPr/>
        </xdr:nvSpPr>
        <xdr:spPr>
          <a:xfrm>
            <a:off x="3880350" y="100852"/>
            <a:ext cx="330509" cy="15301073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2" name="テキスト ボックス 111">
            <a:extLst>
              <a:ext uri="{FF2B5EF4-FFF2-40B4-BE49-F238E27FC236}">
                <a16:creationId xmlns:a16="http://schemas.microsoft.com/office/drawing/2014/main" id="{F09A367B-AC9C-3A98-B418-9AFC34B118B8}"/>
              </a:ext>
            </a:extLst>
          </xdr:cNvPr>
          <xdr:cNvSpPr txBox="1"/>
        </xdr:nvSpPr>
        <xdr:spPr>
          <a:xfrm>
            <a:off x="3928184" y="525571"/>
            <a:ext cx="268179" cy="28660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13" name="正方形/長方形 112">
            <a:extLst>
              <a:ext uri="{FF2B5EF4-FFF2-40B4-BE49-F238E27FC236}">
                <a16:creationId xmlns:a16="http://schemas.microsoft.com/office/drawing/2014/main" id="{285EEEC8-ECB5-8BD4-C7A3-EAFBAE06E1EC}"/>
              </a:ext>
            </a:extLst>
          </xdr:cNvPr>
          <xdr:cNvSpPr/>
        </xdr:nvSpPr>
        <xdr:spPr>
          <a:xfrm>
            <a:off x="3919713" y="463704"/>
            <a:ext cx="278227" cy="142227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4" name="テキスト ボックス 113">
            <a:extLst>
              <a:ext uri="{FF2B5EF4-FFF2-40B4-BE49-F238E27FC236}">
                <a16:creationId xmlns:a16="http://schemas.microsoft.com/office/drawing/2014/main" id="{159497A9-75C6-D943-7236-4729A67C988B}"/>
              </a:ext>
            </a:extLst>
          </xdr:cNvPr>
          <xdr:cNvSpPr txBox="1"/>
        </xdr:nvSpPr>
        <xdr:spPr>
          <a:xfrm>
            <a:off x="3914629" y="1978207"/>
            <a:ext cx="268627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15" name="正方形/長方形 114">
            <a:extLst>
              <a:ext uri="{FF2B5EF4-FFF2-40B4-BE49-F238E27FC236}">
                <a16:creationId xmlns:a16="http://schemas.microsoft.com/office/drawing/2014/main" id="{6F0F381F-9B3B-94CF-B838-A6FD0A537877}"/>
              </a:ext>
            </a:extLst>
          </xdr:cNvPr>
          <xdr:cNvSpPr/>
        </xdr:nvSpPr>
        <xdr:spPr>
          <a:xfrm>
            <a:off x="3914921" y="1913133"/>
            <a:ext cx="278822" cy="142650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6" name="テキスト ボックス 115">
            <a:extLst>
              <a:ext uri="{FF2B5EF4-FFF2-40B4-BE49-F238E27FC236}">
                <a16:creationId xmlns:a16="http://schemas.microsoft.com/office/drawing/2014/main" id="{03ABE0A6-0533-ED8F-004E-88FA1D0D59FB}"/>
              </a:ext>
            </a:extLst>
          </xdr:cNvPr>
          <xdr:cNvSpPr txBox="1"/>
        </xdr:nvSpPr>
        <xdr:spPr>
          <a:xfrm>
            <a:off x="3888537" y="3359841"/>
            <a:ext cx="340790" cy="28499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17" name="正方形/長方形 116">
            <a:extLst>
              <a:ext uri="{FF2B5EF4-FFF2-40B4-BE49-F238E27FC236}">
                <a16:creationId xmlns:a16="http://schemas.microsoft.com/office/drawing/2014/main" id="{53153433-7D62-BF7A-29E5-5CBE5C7618E1}"/>
              </a:ext>
            </a:extLst>
          </xdr:cNvPr>
          <xdr:cNvSpPr/>
        </xdr:nvSpPr>
        <xdr:spPr>
          <a:xfrm>
            <a:off x="3918018" y="3389437"/>
            <a:ext cx="278227" cy="1924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18" name="テキスト ボックス 117">
            <a:extLst>
              <a:ext uri="{FF2B5EF4-FFF2-40B4-BE49-F238E27FC236}">
                <a16:creationId xmlns:a16="http://schemas.microsoft.com/office/drawing/2014/main" id="{8AF2DDFA-BCCC-9CE7-FC83-4140414D1F41}"/>
              </a:ext>
            </a:extLst>
          </xdr:cNvPr>
          <xdr:cNvSpPr txBox="1"/>
        </xdr:nvSpPr>
        <xdr:spPr>
          <a:xfrm>
            <a:off x="3878797" y="3600705"/>
            <a:ext cx="345445" cy="2797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19" name="正方形/長方形 118">
            <a:extLst>
              <a:ext uri="{FF2B5EF4-FFF2-40B4-BE49-F238E27FC236}">
                <a16:creationId xmlns:a16="http://schemas.microsoft.com/office/drawing/2014/main" id="{45A2BBD1-1BB6-9F2D-BAC9-AC9F70DF83E8}"/>
              </a:ext>
            </a:extLst>
          </xdr:cNvPr>
          <xdr:cNvSpPr/>
        </xdr:nvSpPr>
        <xdr:spPr>
          <a:xfrm>
            <a:off x="3898995" y="3619734"/>
            <a:ext cx="279263" cy="43149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0" name="テキスト ボックス 119">
            <a:extLst>
              <a:ext uri="{FF2B5EF4-FFF2-40B4-BE49-F238E27FC236}">
                <a16:creationId xmlns:a16="http://schemas.microsoft.com/office/drawing/2014/main" id="{547D25C4-0735-4546-1DAC-2D3FA06BE251}"/>
              </a:ext>
            </a:extLst>
          </xdr:cNvPr>
          <xdr:cNvSpPr txBox="1"/>
        </xdr:nvSpPr>
        <xdr:spPr>
          <a:xfrm>
            <a:off x="3875306" y="4078155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1" name="正方形/長方形 120">
            <a:extLst>
              <a:ext uri="{FF2B5EF4-FFF2-40B4-BE49-F238E27FC236}">
                <a16:creationId xmlns:a16="http://schemas.microsoft.com/office/drawing/2014/main" id="{D4A90415-FE79-95D7-4615-E6E227824D1A}"/>
              </a:ext>
            </a:extLst>
          </xdr:cNvPr>
          <xdr:cNvSpPr/>
        </xdr:nvSpPr>
        <xdr:spPr>
          <a:xfrm>
            <a:off x="3907854" y="4090449"/>
            <a:ext cx="271089" cy="24544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2" name="テキスト ボックス 121">
            <a:extLst>
              <a:ext uri="{FF2B5EF4-FFF2-40B4-BE49-F238E27FC236}">
                <a16:creationId xmlns:a16="http://schemas.microsoft.com/office/drawing/2014/main" id="{F81327FC-FEE3-1CDC-DF1F-7655DBE8D802}"/>
              </a:ext>
            </a:extLst>
          </xdr:cNvPr>
          <xdr:cNvSpPr txBox="1"/>
        </xdr:nvSpPr>
        <xdr:spPr>
          <a:xfrm>
            <a:off x="3872510" y="4356085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3" name="正方形/長方形 122">
            <a:extLst>
              <a:ext uri="{FF2B5EF4-FFF2-40B4-BE49-F238E27FC236}">
                <a16:creationId xmlns:a16="http://schemas.microsoft.com/office/drawing/2014/main" id="{76565D88-6B2B-6940-A972-A8F22DA27F4B}"/>
              </a:ext>
            </a:extLst>
          </xdr:cNvPr>
          <xdr:cNvSpPr/>
        </xdr:nvSpPr>
        <xdr:spPr>
          <a:xfrm>
            <a:off x="3919713" y="4380315"/>
            <a:ext cx="276503" cy="43475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4" name="テキスト ボックス 123">
            <a:extLst>
              <a:ext uri="{FF2B5EF4-FFF2-40B4-BE49-F238E27FC236}">
                <a16:creationId xmlns:a16="http://schemas.microsoft.com/office/drawing/2014/main" id="{3C3186C3-7CAF-45B1-C855-05ACEA14FAF2}"/>
              </a:ext>
            </a:extLst>
          </xdr:cNvPr>
          <xdr:cNvSpPr txBox="1"/>
        </xdr:nvSpPr>
        <xdr:spPr>
          <a:xfrm>
            <a:off x="3874755" y="4865548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5" name="正方形/長方形 124">
            <a:extLst>
              <a:ext uri="{FF2B5EF4-FFF2-40B4-BE49-F238E27FC236}">
                <a16:creationId xmlns:a16="http://schemas.microsoft.com/office/drawing/2014/main" id="{B0A7F341-F2B0-B0C6-7161-7B1B68891EF4}"/>
              </a:ext>
            </a:extLst>
          </xdr:cNvPr>
          <xdr:cNvSpPr/>
        </xdr:nvSpPr>
        <xdr:spPr>
          <a:xfrm>
            <a:off x="3914631" y="4856710"/>
            <a:ext cx="276503" cy="68739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6" name="テキスト ボックス 125">
            <a:extLst>
              <a:ext uri="{FF2B5EF4-FFF2-40B4-BE49-F238E27FC236}">
                <a16:creationId xmlns:a16="http://schemas.microsoft.com/office/drawing/2014/main" id="{E95BCE64-276F-4D90-69F5-DE7BB9421900}"/>
              </a:ext>
            </a:extLst>
          </xdr:cNvPr>
          <xdr:cNvSpPr txBox="1"/>
        </xdr:nvSpPr>
        <xdr:spPr>
          <a:xfrm>
            <a:off x="3866329" y="5543914"/>
            <a:ext cx="345445" cy="2794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7" name="正方形/長方形 126">
            <a:extLst>
              <a:ext uri="{FF2B5EF4-FFF2-40B4-BE49-F238E27FC236}">
                <a16:creationId xmlns:a16="http://schemas.microsoft.com/office/drawing/2014/main" id="{5C462109-B628-2C79-40A0-7340B2E7BFE5}"/>
              </a:ext>
            </a:extLst>
          </xdr:cNvPr>
          <xdr:cNvSpPr/>
        </xdr:nvSpPr>
        <xdr:spPr>
          <a:xfrm>
            <a:off x="3909547" y="5584297"/>
            <a:ext cx="271089" cy="904501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28" name="テキスト ボックス 127">
            <a:extLst>
              <a:ext uri="{FF2B5EF4-FFF2-40B4-BE49-F238E27FC236}">
                <a16:creationId xmlns:a16="http://schemas.microsoft.com/office/drawing/2014/main" id="{D06B57F6-0727-7F69-697E-1C0BB441056C}"/>
              </a:ext>
            </a:extLst>
          </xdr:cNvPr>
          <xdr:cNvSpPr txBox="1"/>
        </xdr:nvSpPr>
        <xdr:spPr>
          <a:xfrm>
            <a:off x="3883226" y="6529740"/>
            <a:ext cx="345445" cy="2866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29" name="正方形/長方形 128">
            <a:extLst>
              <a:ext uri="{FF2B5EF4-FFF2-40B4-BE49-F238E27FC236}">
                <a16:creationId xmlns:a16="http://schemas.microsoft.com/office/drawing/2014/main" id="{2C1C0F64-024E-17A6-1EEB-89E6342A8589}"/>
              </a:ext>
            </a:extLst>
          </xdr:cNvPr>
          <xdr:cNvSpPr/>
        </xdr:nvSpPr>
        <xdr:spPr>
          <a:xfrm>
            <a:off x="3912936" y="6545999"/>
            <a:ext cx="271089" cy="165354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0" name="テキスト ボックス 129">
            <a:extLst>
              <a:ext uri="{FF2B5EF4-FFF2-40B4-BE49-F238E27FC236}">
                <a16:creationId xmlns:a16="http://schemas.microsoft.com/office/drawing/2014/main" id="{D5D33F24-12CE-0B43-F85A-DD342A280EB5}"/>
              </a:ext>
            </a:extLst>
          </xdr:cNvPr>
          <xdr:cNvSpPr txBox="1"/>
        </xdr:nvSpPr>
        <xdr:spPr>
          <a:xfrm>
            <a:off x="3878143" y="8201142"/>
            <a:ext cx="345445" cy="2771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1" name="正方形/長方形 130">
            <a:extLst>
              <a:ext uri="{FF2B5EF4-FFF2-40B4-BE49-F238E27FC236}">
                <a16:creationId xmlns:a16="http://schemas.microsoft.com/office/drawing/2014/main" id="{6F5D4228-E0A2-FA3A-7CF7-B2C9CBF9E047}"/>
              </a:ext>
            </a:extLst>
          </xdr:cNvPr>
          <xdr:cNvSpPr/>
        </xdr:nvSpPr>
        <xdr:spPr>
          <a:xfrm>
            <a:off x="3907854" y="8234531"/>
            <a:ext cx="271089" cy="141866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2" name="テキスト ボックス 131">
            <a:extLst>
              <a:ext uri="{FF2B5EF4-FFF2-40B4-BE49-F238E27FC236}">
                <a16:creationId xmlns:a16="http://schemas.microsoft.com/office/drawing/2014/main" id="{4C612687-1C0D-5796-6510-0F562356CCCD}"/>
              </a:ext>
            </a:extLst>
          </xdr:cNvPr>
          <xdr:cNvSpPr txBox="1"/>
        </xdr:nvSpPr>
        <xdr:spPr>
          <a:xfrm>
            <a:off x="3860696" y="9657648"/>
            <a:ext cx="345445" cy="27718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3" name="正方形/長方形 132">
            <a:extLst>
              <a:ext uri="{FF2B5EF4-FFF2-40B4-BE49-F238E27FC236}">
                <a16:creationId xmlns:a16="http://schemas.microsoft.com/office/drawing/2014/main" id="{6A2FED08-0C6B-2D1B-C02F-5221D915B17A}"/>
              </a:ext>
            </a:extLst>
          </xdr:cNvPr>
          <xdr:cNvSpPr/>
        </xdr:nvSpPr>
        <xdr:spPr>
          <a:xfrm>
            <a:off x="3911242" y="9710400"/>
            <a:ext cx="271089" cy="117288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4" name="テキスト ボックス 133">
            <a:extLst>
              <a:ext uri="{FF2B5EF4-FFF2-40B4-BE49-F238E27FC236}">
                <a16:creationId xmlns:a16="http://schemas.microsoft.com/office/drawing/2014/main" id="{5AF8CCB6-C44A-D1C0-4A09-5F9915402D79}"/>
              </a:ext>
            </a:extLst>
          </xdr:cNvPr>
          <xdr:cNvSpPr txBox="1"/>
        </xdr:nvSpPr>
        <xdr:spPr>
          <a:xfrm>
            <a:off x="3890782" y="10882421"/>
            <a:ext cx="345445" cy="28660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5" name="正方形/長方形 134">
            <a:extLst>
              <a:ext uri="{FF2B5EF4-FFF2-40B4-BE49-F238E27FC236}">
                <a16:creationId xmlns:a16="http://schemas.microsoft.com/office/drawing/2014/main" id="{1F556AD5-2D1A-02D7-485C-74D4F5349AC9}"/>
              </a:ext>
            </a:extLst>
          </xdr:cNvPr>
          <xdr:cNvSpPr/>
        </xdr:nvSpPr>
        <xdr:spPr>
          <a:xfrm>
            <a:off x="3914631" y="10912899"/>
            <a:ext cx="271089" cy="1419394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6" name="テキスト ボックス 135">
            <a:extLst>
              <a:ext uri="{FF2B5EF4-FFF2-40B4-BE49-F238E27FC236}">
                <a16:creationId xmlns:a16="http://schemas.microsoft.com/office/drawing/2014/main" id="{8C660660-D16C-FD6E-BD9F-3080B2AEA0BA}"/>
              </a:ext>
            </a:extLst>
          </xdr:cNvPr>
          <xdr:cNvSpPr txBox="1"/>
        </xdr:nvSpPr>
        <xdr:spPr>
          <a:xfrm>
            <a:off x="3879836" y="12332203"/>
            <a:ext cx="345445" cy="28660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7" name="正方形/長方形 136">
            <a:extLst>
              <a:ext uri="{FF2B5EF4-FFF2-40B4-BE49-F238E27FC236}">
                <a16:creationId xmlns:a16="http://schemas.microsoft.com/office/drawing/2014/main" id="{237A9B6C-238A-8584-D002-835DB21691A4}"/>
              </a:ext>
            </a:extLst>
          </xdr:cNvPr>
          <xdr:cNvSpPr/>
        </xdr:nvSpPr>
        <xdr:spPr>
          <a:xfrm>
            <a:off x="3909546" y="12360636"/>
            <a:ext cx="271089" cy="114927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38" name="テキスト ボックス 137">
            <a:extLst>
              <a:ext uri="{FF2B5EF4-FFF2-40B4-BE49-F238E27FC236}">
                <a16:creationId xmlns:a16="http://schemas.microsoft.com/office/drawing/2014/main" id="{6B830B3F-17BB-B8A5-C7E5-E860222090F0}"/>
              </a:ext>
            </a:extLst>
          </xdr:cNvPr>
          <xdr:cNvSpPr txBox="1"/>
        </xdr:nvSpPr>
        <xdr:spPr>
          <a:xfrm>
            <a:off x="3868572" y="13789164"/>
            <a:ext cx="345445" cy="51963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21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39" name="正方形/長方形 138">
            <a:extLst>
              <a:ext uri="{FF2B5EF4-FFF2-40B4-BE49-F238E27FC236}">
                <a16:creationId xmlns:a16="http://schemas.microsoft.com/office/drawing/2014/main" id="{DE6ED34F-96C7-A983-FD73-36621FE22A31}"/>
              </a:ext>
            </a:extLst>
          </xdr:cNvPr>
          <xdr:cNvSpPr/>
        </xdr:nvSpPr>
        <xdr:spPr>
          <a:xfrm>
            <a:off x="3894072" y="13543265"/>
            <a:ext cx="271955" cy="67496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40" name="テキスト ボックス 139">
            <a:extLst>
              <a:ext uri="{FF2B5EF4-FFF2-40B4-BE49-F238E27FC236}">
                <a16:creationId xmlns:a16="http://schemas.microsoft.com/office/drawing/2014/main" id="{49CDB59D-ABD4-A7C8-1CF2-9287B0F9489A}"/>
              </a:ext>
            </a:extLst>
          </xdr:cNvPr>
          <xdr:cNvSpPr txBox="1"/>
        </xdr:nvSpPr>
        <xdr:spPr>
          <a:xfrm>
            <a:off x="3870817" y="14745070"/>
            <a:ext cx="345445" cy="277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22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43" name="正方形/長方形 142">
            <a:extLst>
              <a:ext uri="{FF2B5EF4-FFF2-40B4-BE49-F238E27FC236}">
                <a16:creationId xmlns:a16="http://schemas.microsoft.com/office/drawing/2014/main" id="{63B73BA3-F300-623F-F7BB-DC5693A07AD2}"/>
              </a:ext>
            </a:extLst>
          </xdr:cNvPr>
          <xdr:cNvSpPr/>
        </xdr:nvSpPr>
        <xdr:spPr>
          <a:xfrm>
            <a:off x="3888989" y="14272218"/>
            <a:ext cx="302491" cy="1034457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122425</xdr:colOff>
      <xdr:row>46</xdr:row>
      <xdr:rowOff>68579</xdr:rowOff>
    </xdr:from>
    <xdr:to>
      <xdr:col>9</xdr:col>
      <xdr:colOff>2142565</xdr:colOff>
      <xdr:row>50</xdr:row>
      <xdr:rowOff>116540</xdr:rowOff>
    </xdr:to>
    <xdr:sp macro="" textlink="">
      <xdr:nvSpPr>
        <xdr:cNvPr id="2" name="正方形/長方形 1">
          <a:extLst>
            <a:ext uri="{FF2B5EF4-FFF2-40B4-BE49-F238E27FC236}">
              <a16:creationId xmlns:a16="http://schemas.microsoft.com/office/drawing/2014/main" id="{D68BD0E3-ED01-4FB4-83C7-2DB8EC28CCBB}"/>
            </a:ext>
          </a:extLst>
        </xdr:cNvPr>
        <xdr:cNvSpPr/>
      </xdr:nvSpPr>
      <xdr:spPr>
        <a:xfrm>
          <a:off x="8104375" y="11384279"/>
          <a:ext cx="2020140" cy="1038561"/>
        </a:xfrm>
        <a:prstGeom prst="rect">
          <a:avLst/>
        </a:prstGeom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駒寄　山車　お囃子</a:t>
          </a:r>
          <a:endParaRPr kumimoji="1" lang="en-US" altLang="ja-JP" sz="1400">
            <a:solidFill>
              <a:schemeClr val="dk1"/>
            </a:solidFill>
            <a:latin typeface="BIZ UDP明朝 Medium" panose="02020500000000000000" pitchFamily="18" charset="-128"/>
            <a:ea typeface="BIZ UDP明朝 Medium" panose="02020500000000000000" pitchFamily="18" charset="-128"/>
            <a:cs typeface="+mn-cs"/>
          </a:endParaRPr>
        </a:p>
        <a:p>
          <a:pPr marL="0" indent="0" algn="ctr"/>
          <a:r>
            <a:rPr kumimoji="1" lang="ja-JP" altLang="en-US" sz="1400">
              <a:solidFill>
                <a:schemeClr val="dk1"/>
              </a:solidFill>
              <a:latin typeface="BIZ UDP明朝 Medium" panose="02020500000000000000" pitchFamily="18" charset="-128"/>
              <a:ea typeface="BIZ UDP明朝 Medium" panose="02020500000000000000" pitchFamily="18" charset="-128"/>
              <a:cs typeface="+mn-cs"/>
            </a:rPr>
            <a:t>（会館脇に駐車）</a:t>
          </a:r>
        </a:p>
      </xdr:txBody>
    </xdr:sp>
    <xdr:clientData/>
  </xdr:twoCellAnchor>
  <xdr:twoCellAnchor editAs="oneCell">
    <xdr:from>
      <xdr:col>3</xdr:col>
      <xdr:colOff>2449287</xdr:colOff>
      <xdr:row>57</xdr:row>
      <xdr:rowOff>217715</xdr:rowOff>
    </xdr:from>
    <xdr:to>
      <xdr:col>4</xdr:col>
      <xdr:colOff>76213</xdr:colOff>
      <xdr:row>60</xdr:row>
      <xdr:rowOff>91030</xdr:rowOff>
    </xdr:to>
    <xdr:pic>
      <xdr:nvPicPr>
        <xdr:cNvPr id="31" name="図 30">
          <a:extLst>
            <a:ext uri="{FF2B5EF4-FFF2-40B4-BE49-F238E27FC236}">
              <a16:creationId xmlns:a16="http://schemas.microsoft.com/office/drawing/2014/main" id="{30136C10-9D7F-41E6-AED1-5ACAA30530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3573237" y="14257565"/>
          <a:ext cx="589201" cy="616266"/>
        </a:xfrm>
        <a:prstGeom prst="rect">
          <a:avLst/>
        </a:prstGeom>
      </xdr:spPr>
    </xdr:pic>
    <xdr:clientData/>
  </xdr:twoCellAnchor>
  <xdr:twoCellAnchor editAs="oneCell">
    <xdr:from>
      <xdr:col>2</xdr:col>
      <xdr:colOff>10885</xdr:colOff>
      <xdr:row>53</xdr:row>
      <xdr:rowOff>54428</xdr:rowOff>
    </xdr:from>
    <xdr:to>
      <xdr:col>3</xdr:col>
      <xdr:colOff>435553</xdr:colOff>
      <xdr:row>55</xdr:row>
      <xdr:rowOff>11454</xdr:rowOff>
    </xdr:to>
    <xdr:pic>
      <xdr:nvPicPr>
        <xdr:cNvPr id="32" name="図 31">
          <a:extLst>
            <a:ext uri="{FF2B5EF4-FFF2-40B4-BE49-F238E27FC236}">
              <a16:creationId xmlns:a16="http://schemas.microsoft.com/office/drawing/2014/main" id="{7A1CF76D-F5D3-410D-9582-D9E5BFFB4E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839560" y="13103678"/>
          <a:ext cx="719943" cy="452326"/>
        </a:xfrm>
        <a:prstGeom prst="rect">
          <a:avLst/>
        </a:prstGeom>
      </xdr:spPr>
    </xdr:pic>
    <xdr:clientData/>
  </xdr:twoCellAnchor>
  <xdr:twoCellAnchor editAs="oneCell">
    <xdr:from>
      <xdr:col>3</xdr:col>
      <xdr:colOff>2625645</xdr:colOff>
      <xdr:row>10</xdr:row>
      <xdr:rowOff>191513</xdr:rowOff>
    </xdr:from>
    <xdr:to>
      <xdr:col>4</xdr:col>
      <xdr:colOff>138513</xdr:colOff>
      <xdr:row>12</xdr:row>
      <xdr:rowOff>69677</xdr:rowOff>
    </xdr:to>
    <xdr:pic>
      <xdr:nvPicPr>
        <xdr:cNvPr id="33" name="図 32">
          <a:extLst>
            <a:ext uri="{FF2B5EF4-FFF2-40B4-BE49-F238E27FC236}">
              <a16:creationId xmlns:a16="http://schemas.microsoft.com/office/drawing/2014/main" id="{30047625-BFA6-4730-8E92-7164D798CA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556727" flipH="1" flipV="1">
          <a:off x="3746233" y="2824895"/>
          <a:ext cx="471221" cy="371223"/>
        </a:xfrm>
        <a:prstGeom prst="rect">
          <a:avLst/>
        </a:prstGeom>
      </xdr:spPr>
    </xdr:pic>
    <xdr:clientData/>
  </xdr:twoCellAnchor>
  <xdr:twoCellAnchor editAs="oneCell">
    <xdr:from>
      <xdr:col>8</xdr:col>
      <xdr:colOff>21773</xdr:colOff>
      <xdr:row>26</xdr:row>
      <xdr:rowOff>153681</xdr:rowOff>
    </xdr:from>
    <xdr:to>
      <xdr:col>9</xdr:col>
      <xdr:colOff>68984</xdr:colOff>
      <xdr:row>28</xdr:row>
      <xdr:rowOff>131842</xdr:rowOff>
    </xdr:to>
    <xdr:pic>
      <xdr:nvPicPr>
        <xdr:cNvPr id="34" name="図 33">
          <a:extLst>
            <a:ext uri="{FF2B5EF4-FFF2-40B4-BE49-F238E27FC236}">
              <a16:creationId xmlns:a16="http://schemas.microsoft.com/office/drawing/2014/main" id="{9E95D6D5-5422-4E93-AFE3-3BC516B0A9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756415" flipH="1" flipV="1">
          <a:off x="7659489" y="6534524"/>
          <a:ext cx="471220" cy="372182"/>
        </a:xfrm>
        <a:prstGeom prst="rect">
          <a:avLst/>
        </a:prstGeom>
      </xdr:spPr>
    </xdr:pic>
    <xdr:clientData/>
  </xdr:twoCellAnchor>
  <xdr:twoCellAnchor editAs="oneCell">
    <xdr:from>
      <xdr:col>7</xdr:col>
      <xdr:colOff>268942</xdr:colOff>
      <xdr:row>5</xdr:row>
      <xdr:rowOff>143436</xdr:rowOff>
    </xdr:from>
    <xdr:to>
      <xdr:col>9</xdr:col>
      <xdr:colOff>196861</xdr:colOff>
      <xdr:row>7</xdr:row>
      <xdr:rowOff>61791</xdr:rowOff>
    </xdr:to>
    <xdr:pic>
      <xdr:nvPicPr>
        <xdr:cNvPr id="35" name="図 34">
          <a:extLst>
            <a:ext uri="{FF2B5EF4-FFF2-40B4-BE49-F238E27FC236}">
              <a16:creationId xmlns:a16="http://schemas.microsoft.com/office/drawing/2014/main" id="{C750634F-CDEF-4DA7-A3D3-FB9CA3CFC3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789886" flipV="1">
          <a:off x="7660342" y="1553136"/>
          <a:ext cx="518469" cy="413655"/>
        </a:xfrm>
        <a:prstGeom prst="rect">
          <a:avLst/>
        </a:prstGeom>
      </xdr:spPr>
    </xdr:pic>
    <xdr:clientData/>
  </xdr:twoCellAnchor>
  <xdr:oneCellAnchor>
    <xdr:from>
      <xdr:col>7</xdr:col>
      <xdr:colOff>20989</xdr:colOff>
      <xdr:row>43</xdr:row>
      <xdr:rowOff>211206</xdr:rowOff>
    </xdr:from>
    <xdr:ext cx="327654" cy="264560"/>
    <xdr:sp macro="" textlink="">
      <xdr:nvSpPr>
        <xdr:cNvPr id="36" name="テキスト ボックス 35">
          <a:extLst>
            <a:ext uri="{FF2B5EF4-FFF2-40B4-BE49-F238E27FC236}">
              <a16:creationId xmlns:a16="http://schemas.microsoft.com/office/drawing/2014/main" id="{25E8AD51-6F57-4BBD-82EA-4AD454E4D9FC}"/>
            </a:ext>
          </a:extLst>
        </xdr:cNvPr>
        <xdr:cNvSpPr txBox="1"/>
      </xdr:nvSpPr>
      <xdr:spPr>
        <a:xfrm>
          <a:off x="7431439" y="10783956"/>
          <a:ext cx="32765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solidFill>
                <a:schemeClr val="bg1"/>
              </a:solidFill>
            </a:rPr>
            <a:t>18</a:t>
          </a:r>
          <a:endParaRPr kumimoji="1" lang="ja-JP" altLang="en-US" sz="1100">
            <a:solidFill>
              <a:schemeClr val="bg1"/>
            </a:solidFill>
          </a:endParaRPr>
        </a:p>
      </xdr:txBody>
    </xdr:sp>
    <xdr:clientData/>
  </xdr:oneCellAnchor>
  <xdr:twoCellAnchor editAs="oneCell">
    <xdr:from>
      <xdr:col>0</xdr:col>
      <xdr:colOff>24565</xdr:colOff>
      <xdr:row>49</xdr:row>
      <xdr:rowOff>46520</xdr:rowOff>
    </xdr:from>
    <xdr:to>
      <xdr:col>1</xdr:col>
      <xdr:colOff>122165</xdr:colOff>
      <xdr:row>50</xdr:row>
      <xdr:rowOff>237153</xdr:rowOff>
    </xdr:to>
    <xdr:pic>
      <xdr:nvPicPr>
        <xdr:cNvPr id="37" name="図 36">
          <a:extLst>
            <a:ext uri="{FF2B5EF4-FFF2-40B4-BE49-F238E27FC236}">
              <a16:creationId xmlns:a16="http://schemas.microsoft.com/office/drawing/2014/main" id="{CB755A7F-24D5-4755-9455-6A63B57927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>
          <a:off x="24565" y="12048020"/>
          <a:ext cx="388953" cy="437162"/>
        </a:xfrm>
        <a:prstGeom prst="rect">
          <a:avLst/>
        </a:prstGeom>
      </xdr:spPr>
    </xdr:pic>
    <xdr:clientData/>
  </xdr:twoCellAnchor>
  <xdr:twoCellAnchor editAs="oneCell">
    <xdr:from>
      <xdr:col>6</xdr:col>
      <xdr:colOff>2367047</xdr:colOff>
      <xdr:row>21</xdr:row>
      <xdr:rowOff>54836</xdr:rowOff>
    </xdr:from>
    <xdr:to>
      <xdr:col>7</xdr:col>
      <xdr:colOff>81</xdr:colOff>
      <xdr:row>23</xdr:row>
      <xdr:rowOff>63309</xdr:rowOff>
    </xdr:to>
    <xdr:pic>
      <xdr:nvPicPr>
        <xdr:cNvPr id="122" name="図 121">
          <a:extLst>
            <a:ext uri="{FF2B5EF4-FFF2-40B4-BE49-F238E27FC236}">
              <a16:creationId xmlns:a16="http://schemas.microsoft.com/office/drawing/2014/main" id="{1157853C-D8E5-4D66-BAA4-831D01BF7D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6200000" flipV="1">
          <a:off x="6944334" y="5221624"/>
          <a:ext cx="503773" cy="419097"/>
        </a:xfrm>
        <a:prstGeom prst="rect">
          <a:avLst/>
        </a:prstGeom>
      </xdr:spPr>
    </xdr:pic>
    <xdr:clientData/>
  </xdr:twoCellAnchor>
  <xdr:oneCellAnchor>
    <xdr:from>
      <xdr:col>9</xdr:col>
      <xdr:colOff>1948540</xdr:colOff>
      <xdr:row>55</xdr:row>
      <xdr:rowOff>76199</xdr:rowOff>
    </xdr:from>
    <xdr:ext cx="718582" cy="457769"/>
    <xdr:pic>
      <xdr:nvPicPr>
        <xdr:cNvPr id="123" name="図 122">
          <a:extLst>
            <a:ext uri="{FF2B5EF4-FFF2-40B4-BE49-F238E27FC236}">
              <a16:creationId xmlns:a16="http://schemas.microsoft.com/office/drawing/2014/main" id="{8647A585-76BF-4EAD-B2F2-8AA31F4AF2F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9853468" flipV="1">
          <a:off x="9930490" y="13620749"/>
          <a:ext cx="718582" cy="457769"/>
        </a:xfrm>
        <a:prstGeom prst="rect">
          <a:avLst/>
        </a:prstGeom>
      </xdr:spPr>
    </xdr:pic>
    <xdr:clientData/>
  </xdr:oneCellAnchor>
  <xdr:oneCellAnchor>
    <xdr:from>
      <xdr:col>3</xdr:col>
      <xdr:colOff>2603233</xdr:colOff>
      <xdr:row>14</xdr:row>
      <xdr:rowOff>146690</xdr:rowOff>
    </xdr:from>
    <xdr:ext cx="480185" cy="357776"/>
    <xdr:pic>
      <xdr:nvPicPr>
        <xdr:cNvPr id="124" name="図 123">
          <a:extLst>
            <a:ext uri="{FF2B5EF4-FFF2-40B4-BE49-F238E27FC236}">
              <a16:creationId xmlns:a16="http://schemas.microsoft.com/office/drawing/2014/main" id="{D15D8E62-83A0-4C36-92BE-A1402CE150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698497" flipH="1" flipV="1">
          <a:off x="3723821" y="3766190"/>
          <a:ext cx="480185" cy="357776"/>
        </a:xfrm>
        <a:prstGeom prst="rect">
          <a:avLst/>
        </a:prstGeom>
      </xdr:spPr>
    </xdr:pic>
    <xdr:clientData/>
  </xdr:oneCellAnchor>
  <xdr:twoCellAnchor>
    <xdr:from>
      <xdr:col>0</xdr:col>
      <xdr:colOff>256706</xdr:colOff>
      <xdr:row>0</xdr:row>
      <xdr:rowOff>378278</xdr:rowOff>
    </xdr:from>
    <xdr:to>
      <xdr:col>9</xdr:col>
      <xdr:colOff>2226513</xdr:colOff>
      <xdr:row>61</xdr:row>
      <xdr:rowOff>212950</xdr:rowOff>
    </xdr:to>
    <xdr:grpSp>
      <xdr:nvGrpSpPr>
        <xdr:cNvPr id="154" name="グループ化 153">
          <a:extLst>
            <a:ext uri="{FF2B5EF4-FFF2-40B4-BE49-F238E27FC236}">
              <a16:creationId xmlns:a16="http://schemas.microsoft.com/office/drawing/2014/main" id="{2AF1CF0F-B7DE-82DD-07DC-4698D679697A}"/>
            </a:ext>
          </a:extLst>
        </xdr:cNvPr>
        <xdr:cNvGrpSpPr/>
      </xdr:nvGrpSpPr>
      <xdr:grpSpPr>
        <a:xfrm>
          <a:off x="256706" y="378278"/>
          <a:ext cx="9728352" cy="14797581"/>
          <a:chOff x="663828" y="667431"/>
          <a:chExt cx="10111713" cy="15044056"/>
        </a:xfrm>
      </xdr:grpSpPr>
      <xdr:sp macro="" textlink="">
        <xdr:nvSpPr>
          <xdr:cNvPr id="155" name="四角形: 角を丸くする 154">
            <a:extLst>
              <a:ext uri="{FF2B5EF4-FFF2-40B4-BE49-F238E27FC236}">
                <a16:creationId xmlns:a16="http://schemas.microsoft.com/office/drawing/2014/main" id="{CA558BE8-E970-3DCD-89EF-F8D4C71D0303}"/>
              </a:ext>
            </a:extLst>
          </xdr:cNvPr>
          <xdr:cNvSpPr/>
        </xdr:nvSpPr>
        <xdr:spPr>
          <a:xfrm>
            <a:off x="701236" y="667431"/>
            <a:ext cx="277627" cy="15044056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6" name="テキスト ボックス 155">
            <a:extLst>
              <a:ext uri="{FF2B5EF4-FFF2-40B4-BE49-F238E27FC236}">
                <a16:creationId xmlns:a16="http://schemas.microsoft.com/office/drawing/2014/main" id="{FE86737E-889E-9780-1157-E85A89B1EC31}"/>
              </a:ext>
            </a:extLst>
          </xdr:cNvPr>
          <xdr:cNvSpPr txBox="1"/>
        </xdr:nvSpPr>
        <xdr:spPr>
          <a:xfrm>
            <a:off x="709421" y="693170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57" name="正方形/長方形 156">
            <a:extLst>
              <a:ext uri="{FF2B5EF4-FFF2-40B4-BE49-F238E27FC236}">
                <a16:creationId xmlns:a16="http://schemas.microsoft.com/office/drawing/2014/main" id="{CC308AA8-0072-9BB3-2D7B-3DAF5611002E}"/>
              </a:ext>
            </a:extLst>
          </xdr:cNvPr>
          <xdr:cNvSpPr/>
        </xdr:nvSpPr>
        <xdr:spPr>
          <a:xfrm>
            <a:off x="724954" y="708250"/>
            <a:ext cx="234563" cy="144613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58" name="テキスト ボックス 157">
            <a:extLst>
              <a:ext uri="{FF2B5EF4-FFF2-40B4-BE49-F238E27FC236}">
                <a16:creationId xmlns:a16="http://schemas.microsoft.com/office/drawing/2014/main" id="{A42FE684-50C6-4752-EEB8-4D141540322B}"/>
              </a:ext>
            </a:extLst>
          </xdr:cNvPr>
          <xdr:cNvSpPr txBox="1"/>
        </xdr:nvSpPr>
        <xdr:spPr>
          <a:xfrm>
            <a:off x="719983" y="2157694"/>
            <a:ext cx="281340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59" name="正方形/長方形 158">
            <a:extLst>
              <a:ext uri="{FF2B5EF4-FFF2-40B4-BE49-F238E27FC236}">
                <a16:creationId xmlns:a16="http://schemas.microsoft.com/office/drawing/2014/main" id="{92039397-CFF9-DD97-7F0C-721B8B89E6FD}"/>
              </a:ext>
            </a:extLst>
          </xdr:cNvPr>
          <xdr:cNvSpPr/>
        </xdr:nvSpPr>
        <xdr:spPr>
          <a:xfrm>
            <a:off x="728267" y="2195001"/>
            <a:ext cx="230481" cy="12215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0" name="テキスト ボックス 159">
            <a:extLst>
              <a:ext uri="{FF2B5EF4-FFF2-40B4-BE49-F238E27FC236}">
                <a16:creationId xmlns:a16="http://schemas.microsoft.com/office/drawing/2014/main" id="{DBC5BFB7-9465-1960-D74D-25D8FE48E472}"/>
              </a:ext>
            </a:extLst>
          </xdr:cNvPr>
          <xdr:cNvSpPr txBox="1"/>
        </xdr:nvSpPr>
        <xdr:spPr>
          <a:xfrm>
            <a:off x="673685" y="3427920"/>
            <a:ext cx="278816" cy="24601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61" name="正方形/長方形 160">
            <a:extLst>
              <a:ext uri="{FF2B5EF4-FFF2-40B4-BE49-F238E27FC236}">
                <a16:creationId xmlns:a16="http://schemas.microsoft.com/office/drawing/2014/main" id="{02C0DAC6-776C-1833-75A7-603435349B96}"/>
              </a:ext>
            </a:extLst>
          </xdr:cNvPr>
          <xdr:cNvSpPr/>
        </xdr:nvSpPr>
        <xdr:spPr>
          <a:xfrm>
            <a:off x="723297" y="3443867"/>
            <a:ext cx="234563" cy="115338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2" name="テキスト ボックス 161">
            <a:extLst>
              <a:ext uri="{FF2B5EF4-FFF2-40B4-BE49-F238E27FC236}">
                <a16:creationId xmlns:a16="http://schemas.microsoft.com/office/drawing/2014/main" id="{1DD0C559-0AB7-0A1B-26AC-3C06C11D0378}"/>
              </a:ext>
            </a:extLst>
          </xdr:cNvPr>
          <xdr:cNvSpPr txBox="1"/>
        </xdr:nvSpPr>
        <xdr:spPr>
          <a:xfrm>
            <a:off x="10410679" y="5074624"/>
            <a:ext cx="364862" cy="33007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11</a:t>
            </a:r>
            <a:endParaRPr kumimoji="1" lang="ja-JP" altLang="en-US" sz="1200"/>
          </a:p>
        </xdr:txBody>
      </xdr:sp>
      <xdr:sp macro="" textlink="">
        <xdr:nvSpPr>
          <xdr:cNvPr id="163" name="正方形/長方形 162">
            <a:extLst>
              <a:ext uri="{FF2B5EF4-FFF2-40B4-BE49-F238E27FC236}">
                <a16:creationId xmlns:a16="http://schemas.microsoft.com/office/drawing/2014/main" id="{DBBF2E8D-396C-F094-5573-96D081421FE2}"/>
              </a:ext>
            </a:extLst>
          </xdr:cNvPr>
          <xdr:cNvSpPr/>
        </xdr:nvSpPr>
        <xdr:spPr>
          <a:xfrm>
            <a:off x="726611" y="4634458"/>
            <a:ext cx="225890" cy="12894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4" name="テキスト ボックス 163">
            <a:extLst>
              <a:ext uri="{FF2B5EF4-FFF2-40B4-BE49-F238E27FC236}">
                <a16:creationId xmlns:a16="http://schemas.microsoft.com/office/drawing/2014/main" id="{83DC296C-F7F9-D81B-34FC-C0B700215AAF}"/>
              </a:ext>
            </a:extLst>
          </xdr:cNvPr>
          <xdr:cNvSpPr txBox="1"/>
        </xdr:nvSpPr>
        <xdr:spPr>
          <a:xfrm>
            <a:off x="675736" y="594783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12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65" name="正方形/長方形 164">
            <a:extLst>
              <a:ext uri="{FF2B5EF4-FFF2-40B4-BE49-F238E27FC236}">
                <a16:creationId xmlns:a16="http://schemas.microsoft.com/office/drawing/2014/main" id="{6E3CD4A1-6710-5C44-EAEE-5ABEA270C857}"/>
              </a:ext>
            </a:extLst>
          </xdr:cNvPr>
          <xdr:cNvSpPr/>
        </xdr:nvSpPr>
        <xdr:spPr>
          <a:xfrm>
            <a:off x="719253" y="5948129"/>
            <a:ext cx="241569" cy="122419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6" name="テキスト ボックス 165">
            <a:extLst>
              <a:ext uri="{FF2B5EF4-FFF2-40B4-BE49-F238E27FC236}">
                <a16:creationId xmlns:a16="http://schemas.microsoft.com/office/drawing/2014/main" id="{B6A64AB0-552E-47D5-5C38-F277034E3128}"/>
              </a:ext>
            </a:extLst>
          </xdr:cNvPr>
          <xdr:cNvSpPr txBox="1"/>
        </xdr:nvSpPr>
        <xdr:spPr>
          <a:xfrm>
            <a:off x="671231" y="718058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13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67" name="正方形/長方形 166">
            <a:extLst>
              <a:ext uri="{FF2B5EF4-FFF2-40B4-BE49-F238E27FC236}">
                <a16:creationId xmlns:a16="http://schemas.microsoft.com/office/drawing/2014/main" id="{082C4B4C-FA87-E13B-1C00-E41341F3A220}"/>
              </a:ext>
            </a:extLst>
          </xdr:cNvPr>
          <xdr:cNvSpPr/>
        </xdr:nvSpPr>
        <xdr:spPr>
          <a:xfrm>
            <a:off x="722863" y="7204256"/>
            <a:ext cx="234563" cy="121969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68" name="テキスト ボックス 167">
            <a:extLst>
              <a:ext uri="{FF2B5EF4-FFF2-40B4-BE49-F238E27FC236}">
                <a16:creationId xmlns:a16="http://schemas.microsoft.com/office/drawing/2014/main" id="{A841A1B9-C290-F09A-359B-F9120DA72ABE}"/>
              </a:ext>
            </a:extLst>
          </xdr:cNvPr>
          <xdr:cNvSpPr txBox="1"/>
        </xdr:nvSpPr>
        <xdr:spPr>
          <a:xfrm>
            <a:off x="666448" y="8458051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14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69" name="正方形/長方形 168">
            <a:extLst>
              <a:ext uri="{FF2B5EF4-FFF2-40B4-BE49-F238E27FC236}">
                <a16:creationId xmlns:a16="http://schemas.microsoft.com/office/drawing/2014/main" id="{A67735AD-39C5-C1B0-1A24-8046F8A96C22}"/>
              </a:ext>
            </a:extLst>
          </xdr:cNvPr>
          <xdr:cNvSpPr/>
        </xdr:nvSpPr>
        <xdr:spPr>
          <a:xfrm>
            <a:off x="722970" y="8455475"/>
            <a:ext cx="231299" cy="1451886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0" name="テキスト ボックス 169">
            <a:extLst>
              <a:ext uri="{FF2B5EF4-FFF2-40B4-BE49-F238E27FC236}">
                <a16:creationId xmlns:a16="http://schemas.microsoft.com/office/drawing/2014/main" id="{DD4258AE-CCC8-DB92-2030-139205C9CDCF}"/>
              </a:ext>
            </a:extLst>
          </xdr:cNvPr>
          <xdr:cNvSpPr txBox="1"/>
        </xdr:nvSpPr>
        <xdr:spPr>
          <a:xfrm>
            <a:off x="663828" y="9943578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15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71" name="正方形/長方形 170">
            <a:extLst>
              <a:ext uri="{FF2B5EF4-FFF2-40B4-BE49-F238E27FC236}">
                <a16:creationId xmlns:a16="http://schemas.microsoft.com/office/drawing/2014/main" id="{05953450-AE84-D5AC-DB62-EC7106FCF862}"/>
              </a:ext>
            </a:extLst>
          </xdr:cNvPr>
          <xdr:cNvSpPr/>
        </xdr:nvSpPr>
        <xdr:spPr>
          <a:xfrm>
            <a:off x="716641" y="9952945"/>
            <a:ext cx="242183" cy="1220562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2" name="テキスト ボックス 171">
            <a:extLst>
              <a:ext uri="{FF2B5EF4-FFF2-40B4-BE49-F238E27FC236}">
                <a16:creationId xmlns:a16="http://schemas.microsoft.com/office/drawing/2014/main" id="{36118186-63AD-B95B-279D-9FDFD4C00297}"/>
              </a:ext>
            </a:extLst>
          </xdr:cNvPr>
          <xdr:cNvSpPr txBox="1"/>
        </xdr:nvSpPr>
        <xdr:spPr>
          <a:xfrm>
            <a:off x="669429" y="1119319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>
                    <a:lumMod val="95000"/>
                  </a:schemeClr>
                </a:solidFill>
              </a:rPr>
              <a:t>16</a:t>
            </a:r>
            <a:endParaRPr kumimoji="1" lang="ja-JP" altLang="en-US" sz="1200">
              <a:solidFill>
                <a:schemeClr val="bg1">
                  <a:lumMod val="95000"/>
                </a:schemeClr>
              </a:solidFill>
            </a:endParaRPr>
          </a:p>
        </xdr:txBody>
      </xdr:sp>
      <xdr:sp macro="" textlink="">
        <xdr:nvSpPr>
          <xdr:cNvPr id="173" name="正方形/長方形 172">
            <a:extLst>
              <a:ext uri="{FF2B5EF4-FFF2-40B4-BE49-F238E27FC236}">
                <a16:creationId xmlns:a16="http://schemas.microsoft.com/office/drawing/2014/main" id="{F5639032-EF8F-01C3-3C4F-0BB407DD94F9}"/>
              </a:ext>
            </a:extLst>
          </xdr:cNvPr>
          <xdr:cNvSpPr/>
        </xdr:nvSpPr>
        <xdr:spPr>
          <a:xfrm>
            <a:off x="716237" y="11201666"/>
            <a:ext cx="242183" cy="172525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4" name="テキスト ボックス 173">
            <a:extLst>
              <a:ext uri="{FF2B5EF4-FFF2-40B4-BE49-F238E27FC236}">
                <a16:creationId xmlns:a16="http://schemas.microsoft.com/office/drawing/2014/main" id="{399B131C-3DDC-209C-009C-987771C47B2A}"/>
              </a:ext>
            </a:extLst>
          </xdr:cNvPr>
          <xdr:cNvSpPr txBox="1"/>
        </xdr:nvSpPr>
        <xdr:spPr>
          <a:xfrm>
            <a:off x="667669" y="12946760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17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75" name="正方形/長方形 174">
            <a:extLst>
              <a:ext uri="{FF2B5EF4-FFF2-40B4-BE49-F238E27FC236}">
                <a16:creationId xmlns:a16="http://schemas.microsoft.com/office/drawing/2014/main" id="{0CEDC3A6-6201-3457-43C0-D25AF3F8C023}"/>
              </a:ext>
            </a:extLst>
          </xdr:cNvPr>
          <xdr:cNvSpPr/>
        </xdr:nvSpPr>
        <xdr:spPr>
          <a:xfrm>
            <a:off x="711267" y="12950548"/>
            <a:ext cx="246883" cy="98529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6" name="テキスト ボックス 175">
            <a:extLst>
              <a:ext uri="{FF2B5EF4-FFF2-40B4-BE49-F238E27FC236}">
                <a16:creationId xmlns:a16="http://schemas.microsoft.com/office/drawing/2014/main" id="{E6D057A7-DC40-3D0B-568D-ED790C98FC82}"/>
              </a:ext>
            </a:extLst>
          </xdr:cNvPr>
          <xdr:cNvSpPr txBox="1"/>
        </xdr:nvSpPr>
        <xdr:spPr>
          <a:xfrm>
            <a:off x="674430" y="1393365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18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77" name="正方形/長方形 176">
            <a:extLst>
              <a:ext uri="{FF2B5EF4-FFF2-40B4-BE49-F238E27FC236}">
                <a16:creationId xmlns:a16="http://schemas.microsoft.com/office/drawing/2014/main" id="{A17C3149-8660-AB94-374A-C4263D85FF5A}"/>
              </a:ext>
            </a:extLst>
          </xdr:cNvPr>
          <xdr:cNvSpPr/>
        </xdr:nvSpPr>
        <xdr:spPr>
          <a:xfrm>
            <a:off x="716672" y="13968414"/>
            <a:ext cx="242183" cy="722256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78" name="テキスト ボックス 177">
            <a:extLst>
              <a:ext uri="{FF2B5EF4-FFF2-40B4-BE49-F238E27FC236}">
                <a16:creationId xmlns:a16="http://schemas.microsoft.com/office/drawing/2014/main" id="{8F0EC799-879E-1424-2299-93233AA2DAFA}"/>
              </a:ext>
            </a:extLst>
          </xdr:cNvPr>
          <xdr:cNvSpPr txBox="1"/>
        </xdr:nvSpPr>
        <xdr:spPr>
          <a:xfrm>
            <a:off x="680027" y="14683003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79" name="正方形/長方形 178">
            <a:extLst>
              <a:ext uri="{FF2B5EF4-FFF2-40B4-BE49-F238E27FC236}">
                <a16:creationId xmlns:a16="http://schemas.microsoft.com/office/drawing/2014/main" id="{8FB30A57-87A9-83B0-1F8C-19CE67AC8B03}"/>
              </a:ext>
            </a:extLst>
          </xdr:cNvPr>
          <xdr:cNvSpPr/>
        </xdr:nvSpPr>
        <xdr:spPr>
          <a:xfrm>
            <a:off x="710463" y="14715116"/>
            <a:ext cx="242183" cy="46433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0" name="テキスト ボックス 179">
            <a:extLst>
              <a:ext uri="{FF2B5EF4-FFF2-40B4-BE49-F238E27FC236}">
                <a16:creationId xmlns:a16="http://schemas.microsoft.com/office/drawing/2014/main" id="{1BE1D5E7-355B-8119-6423-BBDC1660A110}"/>
              </a:ext>
            </a:extLst>
          </xdr:cNvPr>
          <xdr:cNvSpPr txBox="1"/>
        </xdr:nvSpPr>
        <xdr:spPr>
          <a:xfrm>
            <a:off x="678316" y="15198055"/>
            <a:ext cx="364862" cy="2802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20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181" name="正方形/長方形 180">
            <a:extLst>
              <a:ext uri="{FF2B5EF4-FFF2-40B4-BE49-F238E27FC236}">
                <a16:creationId xmlns:a16="http://schemas.microsoft.com/office/drawing/2014/main" id="{0817C1AA-4835-443B-0FAD-0E1E6FCE6550}"/>
              </a:ext>
            </a:extLst>
          </xdr:cNvPr>
          <xdr:cNvSpPr/>
        </xdr:nvSpPr>
        <xdr:spPr>
          <a:xfrm>
            <a:off x="710252" y="15209189"/>
            <a:ext cx="242183" cy="47100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  <xdr:twoCellAnchor>
    <xdr:from>
      <xdr:col>9</xdr:col>
      <xdr:colOff>2498674</xdr:colOff>
      <xdr:row>17</xdr:row>
      <xdr:rowOff>14654</xdr:rowOff>
    </xdr:from>
    <xdr:to>
      <xdr:col>11</xdr:col>
      <xdr:colOff>6389</xdr:colOff>
      <xdr:row>18</xdr:row>
      <xdr:rowOff>82799</xdr:rowOff>
    </xdr:to>
    <xdr:sp macro="" textlink="">
      <xdr:nvSpPr>
        <xdr:cNvPr id="190" name="テキスト ボックス 189">
          <a:extLst>
            <a:ext uri="{FF2B5EF4-FFF2-40B4-BE49-F238E27FC236}">
              <a16:creationId xmlns:a16="http://schemas.microsoft.com/office/drawing/2014/main" id="{AC2AEB9C-76B8-5920-214C-DBA1B0D1A3AE}"/>
            </a:ext>
          </a:extLst>
        </xdr:cNvPr>
        <xdr:cNvSpPr txBox="1"/>
      </xdr:nvSpPr>
      <xdr:spPr>
        <a:xfrm>
          <a:off x="10243232" y="4418135"/>
          <a:ext cx="335907" cy="3172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/>
            <a:t>11</a:t>
          </a:r>
          <a:endParaRPr kumimoji="1" lang="ja-JP" altLang="en-US" sz="1200"/>
        </a:p>
      </xdr:txBody>
    </xdr:sp>
    <xdr:clientData/>
  </xdr:twoCellAnchor>
  <xdr:twoCellAnchor>
    <xdr:from>
      <xdr:col>9</xdr:col>
      <xdr:colOff>2509148</xdr:colOff>
      <xdr:row>23</xdr:row>
      <xdr:rowOff>51288</xdr:rowOff>
    </xdr:from>
    <xdr:to>
      <xdr:col>11</xdr:col>
      <xdr:colOff>16863</xdr:colOff>
      <xdr:row>24</xdr:row>
      <xdr:rowOff>65942</xdr:rowOff>
    </xdr:to>
    <xdr:sp macro="" textlink="">
      <xdr:nvSpPr>
        <xdr:cNvPr id="192" name="テキスト ボックス 191">
          <a:extLst>
            <a:ext uri="{FF2B5EF4-FFF2-40B4-BE49-F238E27FC236}">
              <a16:creationId xmlns:a16="http://schemas.microsoft.com/office/drawing/2014/main" id="{7854C256-35EC-81A6-FD63-7A333A1CCD57}"/>
            </a:ext>
          </a:extLst>
        </xdr:cNvPr>
        <xdr:cNvSpPr txBox="1"/>
      </xdr:nvSpPr>
      <xdr:spPr>
        <a:xfrm>
          <a:off x="10253706" y="5949461"/>
          <a:ext cx="335907" cy="26376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>
                  <a:lumMod val="95000"/>
                </a:schemeClr>
              </a:solidFill>
            </a:rPr>
            <a:t>12</a:t>
          </a:r>
          <a:endParaRPr kumimoji="1" lang="ja-JP" altLang="en-US" sz="1200">
            <a:solidFill>
              <a:schemeClr val="bg1">
                <a:lumMod val="95000"/>
              </a:schemeClr>
            </a:solidFill>
          </a:endParaRPr>
        </a:p>
      </xdr:txBody>
    </xdr:sp>
    <xdr:clientData/>
  </xdr:twoCellAnchor>
  <xdr:twoCellAnchor>
    <xdr:from>
      <xdr:col>9</xdr:col>
      <xdr:colOff>2497648</xdr:colOff>
      <xdr:row>27</xdr:row>
      <xdr:rowOff>242150</xdr:rowOff>
    </xdr:from>
    <xdr:to>
      <xdr:col>11</xdr:col>
      <xdr:colOff>5363</xdr:colOff>
      <xdr:row>29</xdr:row>
      <xdr:rowOff>26600</xdr:rowOff>
    </xdr:to>
    <xdr:sp macro="" textlink="">
      <xdr:nvSpPr>
        <xdr:cNvPr id="194" name="テキスト ボックス 193">
          <a:extLst>
            <a:ext uri="{FF2B5EF4-FFF2-40B4-BE49-F238E27FC236}">
              <a16:creationId xmlns:a16="http://schemas.microsoft.com/office/drawing/2014/main" id="{92721E92-35CE-AD5A-D744-A9CE11A3739D}"/>
            </a:ext>
          </a:extLst>
        </xdr:cNvPr>
        <xdr:cNvSpPr txBox="1"/>
      </xdr:nvSpPr>
      <xdr:spPr>
        <a:xfrm>
          <a:off x="10242206" y="7136785"/>
          <a:ext cx="335907" cy="2826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>
                  <a:lumMod val="95000"/>
                </a:schemeClr>
              </a:solidFill>
            </a:rPr>
            <a:t>13</a:t>
          </a:r>
          <a:endParaRPr kumimoji="1" lang="ja-JP" altLang="en-US" sz="1200">
            <a:solidFill>
              <a:schemeClr val="bg1">
                <a:lumMod val="95000"/>
              </a:schemeClr>
            </a:solidFill>
          </a:endParaRPr>
        </a:p>
      </xdr:txBody>
    </xdr:sp>
    <xdr:clientData/>
  </xdr:twoCellAnchor>
  <xdr:twoCellAnchor>
    <xdr:from>
      <xdr:col>9</xdr:col>
      <xdr:colOff>2500544</xdr:colOff>
      <xdr:row>32</xdr:row>
      <xdr:rowOff>235890</xdr:rowOff>
    </xdr:from>
    <xdr:to>
      <xdr:col>11</xdr:col>
      <xdr:colOff>8259</xdr:colOff>
      <xdr:row>34</xdr:row>
      <xdr:rowOff>0</xdr:rowOff>
    </xdr:to>
    <xdr:sp macro="" textlink="">
      <xdr:nvSpPr>
        <xdr:cNvPr id="196" name="テキスト ボックス 195">
          <a:extLst>
            <a:ext uri="{FF2B5EF4-FFF2-40B4-BE49-F238E27FC236}">
              <a16:creationId xmlns:a16="http://schemas.microsoft.com/office/drawing/2014/main" id="{3268F532-065F-5914-D897-7DEF04A5CBA8}"/>
            </a:ext>
          </a:extLst>
        </xdr:cNvPr>
        <xdr:cNvSpPr txBox="1"/>
      </xdr:nvSpPr>
      <xdr:spPr>
        <a:xfrm>
          <a:off x="10245102" y="8376102"/>
          <a:ext cx="335907" cy="26234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>
                  <a:lumMod val="95000"/>
                </a:schemeClr>
              </a:solidFill>
            </a:rPr>
            <a:t>14</a:t>
          </a:r>
          <a:endParaRPr kumimoji="1" lang="ja-JP" altLang="en-US" sz="1200">
            <a:solidFill>
              <a:schemeClr val="bg1">
                <a:lumMod val="95000"/>
              </a:schemeClr>
            </a:solidFill>
          </a:endParaRPr>
        </a:p>
      </xdr:txBody>
    </xdr:sp>
    <xdr:clientData/>
  </xdr:twoCellAnchor>
  <xdr:twoCellAnchor>
    <xdr:from>
      <xdr:col>9</xdr:col>
      <xdr:colOff>2498117</xdr:colOff>
      <xdr:row>38</xdr:row>
      <xdr:rowOff>220795</xdr:rowOff>
    </xdr:from>
    <xdr:to>
      <xdr:col>11</xdr:col>
      <xdr:colOff>5832</xdr:colOff>
      <xdr:row>40</xdr:row>
      <xdr:rowOff>5245</xdr:rowOff>
    </xdr:to>
    <xdr:sp macro="" textlink="">
      <xdr:nvSpPr>
        <xdr:cNvPr id="198" name="テキスト ボックス 197">
          <a:extLst>
            <a:ext uri="{FF2B5EF4-FFF2-40B4-BE49-F238E27FC236}">
              <a16:creationId xmlns:a16="http://schemas.microsoft.com/office/drawing/2014/main" id="{C5448E94-7C04-8161-E8E3-726DBAB55FC6}"/>
            </a:ext>
          </a:extLst>
        </xdr:cNvPr>
        <xdr:cNvSpPr txBox="1"/>
      </xdr:nvSpPr>
      <xdr:spPr>
        <a:xfrm>
          <a:off x="10242675" y="9855699"/>
          <a:ext cx="335907" cy="28268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>
                  <a:lumMod val="95000"/>
                </a:schemeClr>
              </a:solidFill>
            </a:rPr>
            <a:t>15</a:t>
          </a:r>
          <a:endParaRPr kumimoji="1" lang="ja-JP" altLang="en-US" sz="1200">
            <a:solidFill>
              <a:schemeClr val="bg1">
                <a:lumMod val="95000"/>
              </a:schemeClr>
            </a:solidFill>
          </a:endParaRPr>
        </a:p>
      </xdr:txBody>
    </xdr:sp>
    <xdr:clientData/>
  </xdr:twoCellAnchor>
  <xdr:twoCellAnchor>
    <xdr:from>
      <xdr:col>9</xdr:col>
      <xdr:colOff>2495979</xdr:colOff>
      <xdr:row>43</xdr:row>
      <xdr:rowOff>245463</xdr:rowOff>
    </xdr:from>
    <xdr:to>
      <xdr:col>11</xdr:col>
      <xdr:colOff>3694</xdr:colOff>
      <xdr:row>45</xdr:row>
      <xdr:rowOff>29912</xdr:rowOff>
    </xdr:to>
    <xdr:sp macro="" textlink="">
      <xdr:nvSpPr>
        <xdr:cNvPr id="200" name="テキスト ボックス 199">
          <a:extLst>
            <a:ext uri="{FF2B5EF4-FFF2-40B4-BE49-F238E27FC236}">
              <a16:creationId xmlns:a16="http://schemas.microsoft.com/office/drawing/2014/main" id="{07A0CD6D-58A4-AEEC-2190-A96E64D7E7F7}"/>
            </a:ext>
          </a:extLst>
        </xdr:cNvPr>
        <xdr:cNvSpPr txBox="1"/>
      </xdr:nvSpPr>
      <xdr:spPr>
        <a:xfrm>
          <a:off x="10240537" y="11125944"/>
          <a:ext cx="335907" cy="28268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>
                  <a:lumMod val="95000"/>
                </a:schemeClr>
              </a:solidFill>
            </a:rPr>
            <a:t>16</a:t>
          </a:r>
          <a:endParaRPr kumimoji="1" lang="ja-JP" altLang="en-US" sz="1200">
            <a:solidFill>
              <a:schemeClr val="bg1">
                <a:lumMod val="95000"/>
              </a:schemeClr>
            </a:solidFill>
          </a:endParaRPr>
        </a:p>
      </xdr:txBody>
    </xdr:sp>
    <xdr:clientData/>
  </xdr:twoCellAnchor>
  <xdr:twoCellAnchor>
    <xdr:from>
      <xdr:col>9</xdr:col>
      <xdr:colOff>2516329</xdr:colOff>
      <xdr:row>50</xdr:row>
      <xdr:rowOff>215211</xdr:rowOff>
    </xdr:from>
    <xdr:to>
      <xdr:col>11</xdr:col>
      <xdr:colOff>24044</xdr:colOff>
      <xdr:row>51</xdr:row>
      <xdr:rowOff>248776</xdr:rowOff>
    </xdr:to>
    <xdr:sp macro="" textlink="">
      <xdr:nvSpPr>
        <xdr:cNvPr id="202" name="テキスト ボックス 201">
          <a:extLst>
            <a:ext uri="{FF2B5EF4-FFF2-40B4-BE49-F238E27FC236}">
              <a16:creationId xmlns:a16="http://schemas.microsoft.com/office/drawing/2014/main" id="{B6ED219A-3F4B-C3A1-67DF-F07E6F9F68BF}"/>
            </a:ext>
          </a:extLst>
        </xdr:cNvPr>
        <xdr:cNvSpPr txBox="1"/>
      </xdr:nvSpPr>
      <xdr:spPr>
        <a:xfrm>
          <a:off x="10260887" y="12839499"/>
          <a:ext cx="335907" cy="28268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/>
              </a:solidFill>
            </a:rPr>
            <a:t>17</a:t>
          </a:r>
          <a:endParaRPr kumimoji="1" lang="ja-JP" altLang="en-US" sz="12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2500611</xdr:colOff>
      <xdr:row>55</xdr:row>
      <xdr:rowOff>21981</xdr:rowOff>
    </xdr:from>
    <xdr:to>
      <xdr:col>11</xdr:col>
      <xdr:colOff>8326</xdr:colOff>
      <xdr:row>56</xdr:row>
      <xdr:rowOff>30122</xdr:rowOff>
    </xdr:to>
    <xdr:sp macro="" textlink="">
      <xdr:nvSpPr>
        <xdr:cNvPr id="204" name="テキスト ボックス 203">
          <a:extLst>
            <a:ext uri="{FF2B5EF4-FFF2-40B4-BE49-F238E27FC236}">
              <a16:creationId xmlns:a16="http://schemas.microsoft.com/office/drawing/2014/main" id="{C10D5C20-54F3-D777-3A80-2397624C32C0}"/>
            </a:ext>
          </a:extLst>
        </xdr:cNvPr>
        <xdr:cNvSpPr txBox="1"/>
      </xdr:nvSpPr>
      <xdr:spPr>
        <a:xfrm>
          <a:off x="10245169" y="13891846"/>
          <a:ext cx="335907" cy="25725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/>
              </a:solidFill>
            </a:rPr>
            <a:t>18</a:t>
          </a:r>
          <a:endParaRPr kumimoji="1" lang="ja-JP" altLang="en-US" sz="12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2504211</xdr:colOff>
      <xdr:row>60</xdr:row>
      <xdr:rowOff>6616</xdr:rowOff>
    </xdr:from>
    <xdr:to>
      <xdr:col>11</xdr:col>
      <xdr:colOff>11926</xdr:colOff>
      <xdr:row>61</xdr:row>
      <xdr:rowOff>40181</xdr:rowOff>
    </xdr:to>
    <xdr:sp macro="" textlink="">
      <xdr:nvSpPr>
        <xdr:cNvPr id="208" name="テキスト ボックス 207">
          <a:extLst>
            <a:ext uri="{FF2B5EF4-FFF2-40B4-BE49-F238E27FC236}">
              <a16:creationId xmlns:a16="http://schemas.microsoft.com/office/drawing/2014/main" id="{6D4BCE3B-0F99-8589-EBEE-39B257BF9FEA}"/>
            </a:ext>
          </a:extLst>
        </xdr:cNvPr>
        <xdr:cNvSpPr txBox="1"/>
      </xdr:nvSpPr>
      <xdr:spPr>
        <a:xfrm>
          <a:off x="10248769" y="15122058"/>
          <a:ext cx="335907" cy="28268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kumimoji="1" lang="en-US" altLang="ja-JP" sz="1200">
              <a:solidFill>
                <a:schemeClr val="bg1"/>
              </a:solidFill>
            </a:rPr>
            <a:t>20</a:t>
          </a:r>
          <a:endParaRPr kumimoji="1" lang="ja-JP" altLang="en-US" sz="1200">
            <a:solidFill>
              <a:schemeClr val="bg1"/>
            </a:solidFill>
          </a:endParaRPr>
        </a:p>
      </xdr:txBody>
    </xdr:sp>
    <xdr:clientData/>
  </xdr:twoCellAnchor>
  <xdr:twoCellAnchor>
    <xdr:from>
      <xdr:col>9</xdr:col>
      <xdr:colOff>2491142</xdr:colOff>
      <xdr:row>0</xdr:row>
      <xdr:rowOff>375557</xdr:rowOff>
    </xdr:from>
    <xdr:to>
      <xdr:col>10</xdr:col>
      <xdr:colOff>277280</xdr:colOff>
      <xdr:row>61</xdr:row>
      <xdr:rowOff>210229</xdr:rowOff>
    </xdr:to>
    <xdr:grpSp>
      <xdr:nvGrpSpPr>
        <xdr:cNvPr id="210" name="グループ化 209">
          <a:extLst>
            <a:ext uri="{FF2B5EF4-FFF2-40B4-BE49-F238E27FC236}">
              <a16:creationId xmlns:a16="http://schemas.microsoft.com/office/drawing/2014/main" id="{E4E5D826-1122-F932-976B-D4EC4A2B9512}"/>
            </a:ext>
          </a:extLst>
        </xdr:cNvPr>
        <xdr:cNvGrpSpPr/>
      </xdr:nvGrpSpPr>
      <xdr:grpSpPr>
        <a:xfrm>
          <a:off x="10249687" y="375557"/>
          <a:ext cx="331911" cy="14797581"/>
          <a:chOff x="10230205" y="375557"/>
          <a:chExt cx="334075" cy="14550797"/>
        </a:xfrm>
      </xdr:grpSpPr>
      <xdr:sp macro="" textlink="">
        <xdr:nvSpPr>
          <xdr:cNvPr id="183" name="四角形: 角を丸くする 182">
            <a:extLst>
              <a:ext uri="{FF2B5EF4-FFF2-40B4-BE49-F238E27FC236}">
                <a16:creationId xmlns:a16="http://schemas.microsoft.com/office/drawing/2014/main" id="{16CF364C-CBC0-6C94-8DBD-0681E9CAF05E}"/>
              </a:ext>
            </a:extLst>
          </xdr:cNvPr>
          <xdr:cNvSpPr/>
        </xdr:nvSpPr>
        <xdr:spPr>
          <a:xfrm>
            <a:off x="10286488" y="375557"/>
            <a:ext cx="246982" cy="14550797"/>
          </a:xfrm>
          <a:prstGeom prst="roundRect">
            <a:avLst/>
          </a:prstGeom>
          <a:gradFill flip="none" rotWithShape="1">
            <a:gsLst>
              <a:gs pos="0">
                <a:schemeClr val="accent6">
                  <a:lumMod val="67000"/>
                </a:schemeClr>
              </a:gs>
              <a:gs pos="48000">
                <a:schemeClr val="accent6">
                  <a:lumMod val="97000"/>
                  <a:lumOff val="3000"/>
                </a:schemeClr>
              </a:gs>
              <a:gs pos="100000">
                <a:schemeClr val="accent6">
                  <a:lumMod val="60000"/>
                  <a:lumOff val="40000"/>
                </a:schemeClr>
              </a:gs>
            </a:gsLst>
            <a:lin ang="16200000" scaled="1"/>
            <a:tileRect/>
          </a:gradFill>
          <a:ln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4" name="テキスト ボックス 183">
            <a:extLst>
              <a:ext uri="{FF2B5EF4-FFF2-40B4-BE49-F238E27FC236}">
                <a16:creationId xmlns:a16="http://schemas.microsoft.com/office/drawing/2014/main" id="{57D26421-FA0A-B470-C4DF-5F7DE8394E4C}"/>
              </a:ext>
            </a:extLst>
          </xdr:cNvPr>
          <xdr:cNvSpPr txBox="1"/>
        </xdr:nvSpPr>
        <xdr:spPr>
          <a:xfrm>
            <a:off x="10294070" y="401139"/>
            <a:ext cx="250422" cy="2784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8</a:t>
            </a:r>
            <a:endParaRPr kumimoji="1" lang="ja-JP" altLang="en-US" sz="1200"/>
          </a:p>
        </xdr:txBody>
      </xdr:sp>
      <xdr:sp macro="" textlink="">
        <xdr:nvSpPr>
          <xdr:cNvPr id="185" name="正方形/長方形 184">
            <a:extLst>
              <a:ext uri="{FF2B5EF4-FFF2-40B4-BE49-F238E27FC236}">
                <a16:creationId xmlns:a16="http://schemas.microsoft.com/office/drawing/2014/main" id="{BA6FEB81-94A4-4043-B477-F281D4B8F5BC}"/>
              </a:ext>
            </a:extLst>
          </xdr:cNvPr>
          <xdr:cNvSpPr/>
        </xdr:nvSpPr>
        <xdr:spPr>
          <a:xfrm>
            <a:off x="10298254" y="416127"/>
            <a:ext cx="217294" cy="141008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6" name="テキスト ボックス 185">
            <a:extLst>
              <a:ext uri="{FF2B5EF4-FFF2-40B4-BE49-F238E27FC236}">
                <a16:creationId xmlns:a16="http://schemas.microsoft.com/office/drawing/2014/main" id="{F2FFE101-8822-4BA7-DD95-27B2A13B0E5C}"/>
              </a:ext>
            </a:extLst>
          </xdr:cNvPr>
          <xdr:cNvSpPr txBox="1"/>
        </xdr:nvSpPr>
        <xdr:spPr>
          <a:xfrm>
            <a:off x="10293649" y="1829508"/>
            <a:ext cx="260628" cy="27169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9</a:t>
            </a:r>
            <a:endParaRPr kumimoji="1" lang="ja-JP" altLang="en-US" sz="1200"/>
          </a:p>
        </xdr:txBody>
      </xdr:sp>
      <xdr:sp macro="" textlink="">
        <xdr:nvSpPr>
          <xdr:cNvPr id="187" name="正方形/長方形 186">
            <a:extLst>
              <a:ext uri="{FF2B5EF4-FFF2-40B4-BE49-F238E27FC236}">
                <a16:creationId xmlns:a16="http://schemas.microsoft.com/office/drawing/2014/main" id="{531ADCAA-BF50-72A5-CF8E-6AC084D534D3}"/>
              </a:ext>
            </a:extLst>
          </xdr:cNvPr>
          <xdr:cNvSpPr/>
        </xdr:nvSpPr>
        <xdr:spPr>
          <a:xfrm>
            <a:off x="10301323" y="1859783"/>
            <a:ext cx="213513" cy="118682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88" name="テキスト ボックス 187">
            <a:extLst>
              <a:ext uri="{FF2B5EF4-FFF2-40B4-BE49-F238E27FC236}">
                <a16:creationId xmlns:a16="http://schemas.microsoft.com/office/drawing/2014/main" id="{0FB5CBE2-C808-89F5-ABF5-1BD25E1C5A34}"/>
              </a:ext>
            </a:extLst>
          </xdr:cNvPr>
          <xdr:cNvSpPr txBox="1"/>
        </xdr:nvSpPr>
        <xdr:spPr>
          <a:xfrm>
            <a:off x="10260965" y="3051156"/>
            <a:ext cx="248083" cy="23770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/>
              <a:t>10</a:t>
            </a:r>
            <a:endParaRPr kumimoji="1" lang="ja-JP" altLang="en-US" sz="1200"/>
          </a:p>
        </xdr:txBody>
      </xdr:sp>
      <xdr:sp macro="" textlink="">
        <xdr:nvSpPr>
          <xdr:cNvPr id="189" name="正方形/長方形 188">
            <a:extLst>
              <a:ext uri="{FF2B5EF4-FFF2-40B4-BE49-F238E27FC236}">
                <a16:creationId xmlns:a16="http://schemas.microsoft.com/office/drawing/2014/main" id="{641987C2-C22A-53C0-AD2C-87C4F90242DF}"/>
              </a:ext>
            </a:extLst>
          </xdr:cNvPr>
          <xdr:cNvSpPr/>
        </xdr:nvSpPr>
        <xdr:spPr>
          <a:xfrm>
            <a:off x="10296719" y="3067006"/>
            <a:ext cx="217294" cy="1160629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1" name="正方形/長方形 190">
            <a:extLst>
              <a:ext uri="{FF2B5EF4-FFF2-40B4-BE49-F238E27FC236}">
                <a16:creationId xmlns:a16="http://schemas.microsoft.com/office/drawing/2014/main" id="{09EF8981-EC8C-00E7-900C-4BF5FD148F84}"/>
              </a:ext>
            </a:extLst>
          </xdr:cNvPr>
          <xdr:cNvSpPr/>
        </xdr:nvSpPr>
        <xdr:spPr>
          <a:xfrm>
            <a:off x="10299789" y="4260605"/>
            <a:ext cx="209260" cy="1403105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3" name="正方形/長方形 192">
            <a:extLst>
              <a:ext uri="{FF2B5EF4-FFF2-40B4-BE49-F238E27FC236}">
                <a16:creationId xmlns:a16="http://schemas.microsoft.com/office/drawing/2014/main" id="{A0703928-1BA6-C712-EDF7-03C805898DAF}"/>
              </a:ext>
            </a:extLst>
          </xdr:cNvPr>
          <xdr:cNvSpPr/>
        </xdr:nvSpPr>
        <xdr:spPr>
          <a:xfrm>
            <a:off x="10292973" y="5696682"/>
            <a:ext cx="223785" cy="1143000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5" name="正方形/長方形 194">
            <a:extLst>
              <a:ext uri="{FF2B5EF4-FFF2-40B4-BE49-F238E27FC236}">
                <a16:creationId xmlns:a16="http://schemas.microsoft.com/office/drawing/2014/main" id="{DBEDA1B6-42C5-8D8A-AE1E-CBA732A5F9FA}"/>
              </a:ext>
            </a:extLst>
          </xdr:cNvPr>
          <xdr:cNvSpPr/>
        </xdr:nvSpPr>
        <xdr:spPr>
          <a:xfrm>
            <a:off x="10296317" y="6894634"/>
            <a:ext cx="217294" cy="1150327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7" name="正方形/長方形 196">
            <a:extLst>
              <a:ext uri="{FF2B5EF4-FFF2-40B4-BE49-F238E27FC236}">
                <a16:creationId xmlns:a16="http://schemas.microsoft.com/office/drawing/2014/main" id="{ABA65DF3-B406-FCA7-29B8-BAAA7D55A460}"/>
              </a:ext>
            </a:extLst>
          </xdr:cNvPr>
          <xdr:cNvSpPr/>
        </xdr:nvSpPr>
        <xdr:spPr>
          <a:xfrm>
            <a:off x="10296416" y="8085260"/>
            <a:ext cx="214271" cy="1395778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199" name="正方形/長方形 198">
            <a:extLst>
              <a:ext uri="{FF2B5EF4-FFF2-40B4-BE49-F238E27FC236}">
                <a16:creationId xmlns:a16="http://schemas.microsoft.com/office/drawing/2014/main" id="{0B76973C-3003-59FC-3E93-2A03D9815513}"/>
              </a:ext>
            </a:extLst>
          </xdr:cNvPr>
          <xdr:cNvSpPr/>
        </xdr:nvSpPr>
        <xdr:spPr>
          <a:xfrm>
            <a:off x="10290553" y="9506683"/>
            <a:ext cx="224353" cy="1157653"/>
          </a:xfrm>
          <a:prstGeom prst="rect">
            <a:avLst/>
          </a:prstGeom>
          <a:noFill/>
          <a:ln>
            <a:solidFill>
              <a:schemeClr val="accent6">
                <a:lumMod val="7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1" name="正方形/長方形 200">
            <a:extLst>
              <a:ext uri="{FF2B5EF4-FFF2-40B4-BE49-F238E27FC236}">
                <a16:creationId xmlns:a16="http://schemas.microsoft.com/office/drawing/2014/main" id="{89D29775-76B3-A7FF-3E04-5DD1EE7DB520}"/>
              </a:ext>
            </a:extLst>
          </xdr:cNvPr>
          <xdr:cNvSpPr/>
        </xdr:nvSpPr>
        <xdr:spPr>
          <a:xfrm>
            <a:off x="10290179" y="10711962"/>
            <a:ext cx="224353" cy="1589942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3" name="正方形/長方形 202">
            <a:extLst>
              <a:ext uri="{FF2B5EF4-FFF2-40B4-BE49-F238E27FC236}">
                <a16:creationId xmlns:a16="http://schemas.microsoft.com/office/drawing/2014/main" id="{3AE4AA0D-258D-AA3D-A742-5DEEA2851663}"/>
              </a:ext>
            </a:extLst>
          </xdr:cNvPr>
          <xdr:cNvSpPr/>
        </xdr:nvSpPr>
        <xdr:spPr>
          <a:xfrm>
            <a:off x="10293949" y="12338539"/>
            <a:ext cx="220333" cy="945173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5" name="正方形/長方形 204">
            <a:extLst>
              <a:ext uri="{FF2B5EF4-FFF2-40B4-BE49-F238E27FC236}">
                <a16:creationId xmlns:a16="http://schemas.microsoft.com/office/drawing/2014/main" id="{550439D9-37FA-FC7D-9A2E-8BDC46705872}"/>
              </a:ext>
            </a:extLst>
          </xdr:cNvPr>
          <xdr:cNvSpPr/>
        </xdr:nvSpPr>
        <xdr:spPr>
          <a:xfrm>
            <a:off x="10290582" y="13316683"/>
            <a:ext cx="224353" cy="688731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6" name="テキスト ボックス 205">
            <a:extLst>
              <a:ext uri="{FF2B5EF4-FFF2-40B4-BE49-F238E27FC236}">
                <a16:creationId xmlns:a16="http://schemas.microsoft.com/office/drawing/2014/main" id="{7D997809-24B0-7E80-EF7F-87EE2B2F7F70}"/>
              </a:ext>
            </a:extLst>
          </xdr:cNvPr>
          <xdr:cNvSpPr txBox="1"/>
        </xdr:nvSpPr>
        <xdr:spPr>
          <a:xfrm>
            <a:off x="10230205" y="14067693"/>
            <a:ext cx="334075" cy="2307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kumimoji="1" lang="en-US" altLang="ja-JP" sz="1200">
                <a:solidFill>
                  <a:schemeClr val="bg1"/>
                </a:solidFill>
              </a:rPr>
              <a:t>19</a:t>
            </a:r>
            <a:endParaRPr kumimoji="1" lang="ja-JP" altLang="en-US" sz="1200">
              <a:solidFill>
                <a:schemeClr val="bg1"/>
              </a:solidFill>
            </a:endParaRPr>
          </a:p>
        </xdr:txBody>
      </xdr:sp>
      <xdr:sp macro="" textlink="">
        <xdr:nvSpPr>
          <xdr:cNvPr id="207" name="正方形/長方形 206">
            <a:extLst>
              <a:ext uri="{FF2B5EF4-FFF2-40B4-BE49-F238E27FC236}">
                <a16:creationId xmlns:a16="http://schemas.microsoft.com/office/drawing/2014/main" id="{A5FE2CBE-6A44-5760-5DC8-7CAE8C153A86}"/>
              </a:ext>
            </a:extLst>
          </xdr:cNvPr>
          <xdr:cNvSpPr/>
        </xdr:nvSpPr>
        <xdr:spPr>
          <a:xfrm>
            <a:off x="10293204" y="14045710"/>
            <a:ext cx="215979" cy="443279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  <xdr:sp macro="" textlink="">
        <xdr:nvSpPr>
          <xdr:cNvPr id="209" name="正方形/長方形 208">
            <a:extLst>
              <a:ext uri="{FF2B5EF4-FFF2-40B4-BE49-F238E27FC236}">
                <a16:creationId xmlns:a16="http://schemas.microsoft.com/office/drawing/2014/main" id="{53E0F36D-5A0D-0A95-E204-734243B8F7C0}"/>
              </a:ext>
            </a:extLst>
          </xdr:cNvPr>
          <xdr:cNvSpPr/>
        </xdr:nvSpPr>
        <xdr:spPr>
          <a:xfrm>
            <a:off x="10293008" y="14521962"/>
            <a:ext cx="215979" cy="373288"/>
          </a:xfrm>
          <a:prstGeom prst="rect">
            <a:avLst/>
          </a:prstGeom>
          <a:noFill/>
          <a:ln>
            <a:solidFill>
              <a:schemeClr val="accent6">
                <a:lumMod val="50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kumimoji="1" lang="ja-JP" altLang="en-US" sz="1200"/>
          </a:p>
        </xdr:txBody>
      </xdr:sp>
    </xdr:grp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20934</xdr:colOff>
      <xdr:row>1</xdr:row>
      <xdr:rowOff>0</xdr:rowOff>
    </xdr:from>
    <xdr:to>
      <xdr:col>8</xdr:col>
      <xdr:colOff>293076</xdr:colOff>
      <xdr:row>21</xdr:row>
      <xdr:rowOff>150767</xdr:rowOff>
    </xdr:to>
    <xdr:pic>
      <xdr:nvPicPr>
        <xdr:cNvPr id="2" name="図 1">
          <a:extLst>
            <a:ext uri="{FF2B5EF4-FFF2-40B4-BE49-F238E27FC236}">
              <a16:creationId xmlns:a16="http://schemas.microsoft.com/office/drawing/2014/main" id="{D0A7E27F-1FC1-4F9E-8E70-77368C5F33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>
          <a:off x="8181954" y="228600"/>
          <a:ext cx="272142" cy="4722767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42</xdr:row>
      <xdr:rowOff>11995</xdr:rowOff>
    </xdr:from>
    <xdr:to>
      <xdr:col>8</xdr:col>
      <xdr:colOff>268040</xdr:colOff>
      <xdr:row>60</xdr:row>
      <xdr:rowOff>205761</xdr:rowOff>
    </xdr:to>
    <xdr:pic>
      <xdr:nvPicPr>
        <xdr:cNvPr id="3" name="図 2">
          <a:extLst>
            <a:ext uri="{FF2B5EF4-FFF2-40B4-BE49-F238E27FC236}">
              <a16:creationId xmlns:a16="http://schemas.microsoft.com/office/drawing/2014/main" id="{02E58143-D286-4838-8BCA-DC200223D87C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>
          <a:off x="8161020" y="9613195"/>
          <a:ext cx="268040" cy="4308566"/>
        </a:xfrm>
        <a:prstGeom prst="rect">
          <a:avLst/>
        </a:prstGeom>
      </xdr:spPr>
    </xdr:pic>
    <xdr:clientData/>
  </xdr:twoCellAnchor>
  <xdr:twoCellAnchor editAs="oneCell">
    <xdr:from>
      <xdr:col>8</xdr:col>
      <xdr:colOff>20934</xdr:colOff>
      <xdr:row>21</xdr:row>
      <xdr:rowOff>121284</xdr:rowOff>
    </xdr:from>
    <xdr:to>
      <xdr:col>8</xdr:col>
      <xdr:colOff>306140</xdr:colOff>
      <xdr:row>42</xdr:row>
      <xdr:rowOff>12866</xdr:rowOff>
    </xdr:to>
    <xdr:pic>
      <xdr:nvPicPr>
        <xdr:cNvPr id="4" name="図 3">
          <a:extLst>
            <a:ext uri="{FF2B5EF4-FFF2-40B4-BE49-F238E27FC236}">
              <a16:creationId xmlns:a16="http://schemas.microsoft.com/office/drawing/2014/main" id="{E4C9FC93-850F-49FD-A684-F7EB8E061E0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>
          <a:off x="8181954" y="4921884"/>
          <a:ext cx="285206" cy="4692182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1</xdr:row>
      <xdr:rowOff>0</xdr:rowOff>
    </xdr:from>
    <xdr:to>
      <xdr:col>9</xdr:col>
      <xdr:colOff>318379</xdr:colOff>
      <xdr:row>21</xdr:row>
      <xdr:rowOff>148294</xdr:rowOff>
    </xdr:to>
    <xdr:pic>
      <xdr:nvPicPr>
        <xdr:cNvPr id="5" name="図 4">
          <a:extLst>
            <a:ext uri="{FF2B5EF4-FFF2-40B4-BE49-F238E27FC236}">
              <a16:creationId xmlns:a16="http://schemas.microsoft.com/office/drawing/2014/main" id="{5E8A62A2-6F25-48DB-A47F-FC8A0936EF18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b="20348"/>
        <a:stretch/>
      </xdr:blipFill>
      <xdr:spPr>
        <a:xfrm flipH="1">
          <a:off x="8831580" y="228600"/>
          <a:ext cx="318379" cy="4720294"/>
        </a:xfrm>
        <a:prstGeom prst="rect">
          <a:avLst/>
        </a:prstGeom>
      </xdr:spPr>
    </xdr:pic>
    <xdr:clientData/>
  </xdr:twoCellAnchor>
  <xdr:twoCellAnchor editAs="oneCell">
    <xdr:from>
      <xdr:col>9</xdr:col>
      <xdr:colOff>40820</xdr:colOff>
      <xdr:row>40</xdr:row>
      <xdr:rowOff>79213</xdr:rowOff>
    </xdr:from>
    <xdr:to>
      <xdr:col>9</xdr:col>
      <xdr:colOff>362490</xdr:colOff>
      <xdr:row>60</xdr:row>
      <xdr:rowOff>192674</xdr:rowOff>
    </xdr:to>
    <xdr:pic>
      <xdr:nvPicPr>
        <xdr:cNvPr id="6" name="図 5">
          <a:extLst>
            <a:ext uri="{FF2B5EF4-FFF2-40B4-BE49-F238E27FC236}">
              <a16:creationId xmlns:a16="http://schemas.microsoft.com/office/drawing/2014/main" id="{A0AB1F6D-F3AB-4196-85F1-E8896D160DC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9999" t="6250" r="1666" b="21381"/>
        <a:stretch/>
      </xdr:blipFill>
      <xdr:spPr>
        <a:xfrm flipH="1">
          <a:off x="8872400" y="9223213"/>
          <a:ext cx="321670" cy="4685461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21</xdr:row>
      <xdr:rowOff>111179</xdr:rowOff>
    </xdr:from>
    <xdr:to>
      <xdr:col>9</xdr:col>
      <xdr:colOff>320433</xdr:colOff>
      <xdr:row>40</xdr:row>
      <xdr:rowOff>126715</xdr:rowOff>
    </xdr:to>
    <xdr:pic>
      <xdr:nvPicPr>
        <xdr:cNvPr id="7" name="図 6">
          <a:extLst>
            <a:ext uri="{FF2B5EF4-FFF2-40B4-BE49-F238E27FC236}">
              <a16:creationId xmlns:a16="http://schemas.microsoft.com/office/drawing/2014/main" id="{4D5602E2-EA5F-4BE5-B28B-B41F10DBAC1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-833" t="6856" r="-7500" b="19385"/>
        <a:stretch/>
      </xdr:blipFill>
      <xdr:spPr>
        <a:xfrm flipH="1">
          <a:off x="8831580" y="4911779"/>
          <a:ext cx="320433" cy="4358936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2</xdr:row>
      <xdr:rowOff>0</xdr:rowOff>
    </xdr:from>
    <xdr:to>
      <xdr:col>11</xdr:col>
      <xdr:colOff>354874</xdr:colOff>
      <xdr:row>5</xdr:row>
      <xdr:rowOff>134038</xdr:rowOff>
    </xdr:to>
    <xdr:pic>
      <xdr:nvPicPr>
        <xdr:cNvPr id="8" name="図 7">
          <a:extLst>
            <a:ext uri="{FF2B5EF4-FFF2-40B4-BE49-F238E27FC236}">
              <a16:creationId xmlns:a16="http://schemas.microsoft.com/office/drawing/2014/main" id="{0AADE748-9D44-4B89-AF05-428B6B01C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457200"/>
          <a:ext cx="1025434" cy="819838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7</xdr:row>
      <xdr:rowOff>0</xdr:rowOff>
    </xdr:from>
    <xdr:to>
      <xdr:col>11</xdr:col>
      <xdr:colOff>92719</xdr:colOff>
      <xdr:row>9</xdr:row>
      <xdr:rowOff>76771</xdr:rowOff>
    </xdr:to>
    <xdr:pic>
      <xdr:nvPicPr>
        <xdr:cNvPr id="9" name="図 8">
          <a:extLst>
            <a:ext uri="{FF2B5EF4-FFF2-40B4-BE49-F238E27FC236}">
              <a16:creationId xmlns:a16="http://schemas.microsoft.com/office/drawing/2014/main" id="{1F967C5A-24D1-432C-9F87-AEA2856E91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flipV="1">
          <a:off x="9502140" y="1600200"/>
          <a:ext cx="763279" cy="533971"/>
        </a:xfrm>
        <a:prstGeom prst="rect">
          <a:avLst/>
        </a:prstGeom>
      </xdr:spPr>
    </xdr:pic>
    <xdr:clientData/>
  </xdr:twoCellAnchor>
  <xdr:twoCellAnchor editAs="oneCell">
    <xdr:from>
      <xdr:col>10</xdr:col>
      <xdr:colOff>0</xdr:colOff>
      <xdr:row>12</xdr:row>
      <xdr:rowOff>0</xdr:rowOff>
    </xdr:from>
    <xdr:to>
      <xdr:col>11</xdr:col>
      <xdr:colOff>85205</xdr:colOff>
      <xdr:row>14</xdr:row>
      <xdr:rowOff>227414</xdr:rowOff>
    </xdr:to>
    <xdr:pic>
      <xdr:nvPicPr>
        <xdr:cNvPr id="10" name="図 9">
          <a:extLst>
            <a:ext uri="{FF2B5EF4-FFF2-40B4-BE49-F238E27FC236}">
              <a16:creationId xmlns:a16="http://schemas.microsoft.com/office/drawing/2014/main" id="{1C121F75-7829-4B58-91FF-8C570E39F02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02140" y="2743200"/>
          <a:ext cx="755765" cy="684614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2</xdr:row>
      <xdr:rowOff>0</xdr:rowOff>
    </xdr:from>
    <xdr:to>
      <xdr:col>12</xdr:col>
      <xdr:colOff>587840</xdr:colOff>
      <xdr:row>4</xdr:row>
      <xdr:rowOff>44068</xdr:rowOff>
    </xdr:to>
    <xdr:pic>
      <xdr:nvPicPr>
        <xdr:cNvPr id="11" name="図 10">
          <a:extLst>
            <a:ext uri="{FF2B5EF4-FFF2-40B4-BE49-F238E27FC236}">
              <a16:creationId xmlns:a16="http://schemas.microsoft.com/office/drawing/2014/main" id="{753E7FAB-AAAF-47ED-A545-83611702CB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1080061" flipV="1">
          <a:off x="10843260" y="457200"/>
          <a:ext cx="587840" cy="501268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6</xdr:row>
      <xdr:rowOff>0</xdr:rowOff>
    </xdr:from>
    <xdr:to>
      <xdr:col>12</xdr:col>
      <xdr:colOff>590007</xdr:colOff>
      <xdr:row>8</xdr:row>
      <xdr:rowOff>206038</xdr:rowOff>
    </xdr:to>
    <xdr:pic>
      <xdr:nvPicPr>
        <xdr:cNvPr id="12" name="図 11">
          <a:extLst>
            <a:ext uri="{FF2B5EF4-FFF2-40B4-BE49-F238E27FC236}">
              <a16:creationId xmlns:a16="http://schemas.microsoft.com/office/drawing/2014/main" id="{C9C9F1EE-87E1-4BFD-BE70-B5756A4702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 flipH="1">
          <a:off x="10843260" y="1371600"/>
          <a:ext cx="590007" cy="663238"/>
        </a:xfrm>
        <a:prstGeom prst="rect">
          <a:avLst/>
        </a:prstGeom>
      </xdr:spPr>
    </xdr:pic>
    <xdr:clientData/>
  </xdr:twoCellAnchor>
  <xdr:twoCellAnchor editAs="oneCell">
    <xdr:from>
      <xdr:col>10</xdr:col>
      <xdr:colOff>121920</xdr:colOff>
      <xdr:row>17</xdr:row>
      <xdr:rowOff>30480</xdr:rowOff>
    </xdr:from>
    <xdr:to>
      <xdr:col>11</xdr:col>
      <xdr:colOff>91853</xdr:colOff>
      <xdr:row>20</xdr:row>
      <xdr:rowOff>20475</xdr:rowOff>
    </xdr:to>
    <xdr:pic>
      <xdr:nvPicPr>
        <xdr:cNvPr id="13" name="図 12">
          <a:extLst>
            <a:ext uri="{FF2B5EF4-FFF2-40B4-BE49-F238E27FC236}">
              <a16:creationId xmlns:a16="http://schemas.microsoft.com/office/drawing/2014/main" id="{0433264D-F885-4B6A-AA45-15A8DCA3B6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4499338" flipV="1">
          <a:off x="9606409" y="3934331"/>
          <a:ext cx="675795" cy="640493"/>
        </a:xfrm>
        <a:prstGeom prst="rect">
          <a:avLst/>
        </a:prstGeom>
      </xdr:spPr>
    </xdr:pic>
    <xdr:clientData/>
  </xdr:twoCellAnchor>
  <xdr:twoCellAnchor editAs="oneCell">
    <xdr:from>
      <xdr:col>12</xdr:col>
      <xdr:colOff>0</xdr:colOff>
      <xdr:row>11</xdr:row>
      <xdr:rowOff>0</xdr:rowOff>
    </xdr:from>
    <xdr:to>
      <xdr:col>12</xdr:col>
      <xdr:colOff>478905</xdr:colOff>
      <xdr:row>12</xdr:row>
      <xdr:rowOff>145992</xdr:rowOff>
    </xdr:to>
    <xdr:pic>
      <xdr:nvPicPr>
        <xdr:cNvPr id="14" name="図 13">
          <a:extLst>
            <a:ext uri="{FF2B5EF4-FFF2-40B4-BE49-F238E27FC236}">
              <a16:creationId xmlns:a16="http://schemas.microsoft.com/office/drawing/2014/main" id="{DAF9B163-9A1B-43A9-88F6-FEA1E451E5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1423612" flipH="1">
          <a:off x="10843260" y="2514600"/>
          <a:ext cx="478905" cy="37459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316402</xdr:colOff>
      <xdr:row>2</xdr:row>
      <xdr:rowOff>338523</xdr:rowOff>
    </xdr:from>
    <xdr:to>
      <xdr:col>7</xdr:col>
      <xdr:colOff>116470</xdr:colOff>
      <xdr:row>3</xdr:row>
      <xdr:rowOff>148022</xdr:rowOff>
    </xdr:to>
    <xdr:sp macro="" textlink="">
      <xdr:nvSpPr>
        <xdr:cNvPr id="17" name="十字形 16">
          <a:extLst>
            <a:ext uri="{FF2B5EF4-FFF2-40B4-BE49-F238E27FC236}">
              <a16:creationId xmlns:a16="http://schemas.microsoft.com/office/drawing/2014/main" id="{8808EE2F-9888-43E7-8458-C17D2845636D}"/>
            </a:ext>
          </a:extLst>
        </xdr:cNvPr>
        <xdr:cNvSpPr/>
      </xdr:nvSpPr>
      <xdr:spPr>
        <a:xfrm>
          <a:off x="6371581" y="12093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277091</xdr:colOff>
      <xdr:row>2</xdr:row>
      <xdr:rowOff>286987</xdr:rowOff>
    </xdr:from>
    <xdr:to>
      <xdr:col>4</xdr:col>
      <xdr:colOff>138630</xdr:colOff>
      <xdr:row>3</xdr:row>
      <xdr:rowOff>130104</xdr:rowOff>
    </xdr:to>
    <xdr:sp macro="" textlink="">
      <xdr:nvSpPr>
        <xdr:cNvPr id="18" name="次の値と等しい 17">
          <a:extLst>
            <a:ext uri="{FF2B5EF4-FFF2-40B4-BE49-F238E27FC236}">
              <a16:creationId xmlns:a16="http://schemas.microsoft.com/office/drawing/2014/main" id="{E78FC7C2-4095-42F8-AB43-A89230C8C024}"/>
            </a:ext>
          </a:extLst>
        </xdr:cNvPr>
        <xdr:cNvSpPr/>
      </xdr:nvSpPr>
      <xdr:spPr>
        <a:xfrm>
          <a:off x="3120984" y="1157844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9</xdr:col>
      <xdr:colOff>340152</xdr:colOff>
      <xdr:row>2</xdr:row>
      <xdr:rowOff>307845</xdr:rowOff>
    </xdr:from>
    <xdr:to>
      <xdr:col>10</xdr:col>
      <xdr:colOff>140220</xdr:colOff>
      <xdr:row>3</xdr:row>
      <xdr:rowOff>117344</xdr:rowOff>
    </xdr:to>
    <xdr:sp macro="" textlink="">
      <xdr:nvSpPr>
        <xdr:cNvPr id="19" name="十字形 18">
          <a:extLst>
            <a:ext uri="{FF2B5EF4-FFF2-40B4-BE49-F238E27FC236}">
              <a16:creationId xmlns:a16="http://schemas.microsoft.com/office/drawing/2014/main" id="{4046E4F9-BD9C-B15D-6C09-A82B29EB7463}"/>
            </a:ext>
          </a:extLst>
        </xdr:cNvPr>
        <xdr:cNvSpPr/>
      </xdr:nvSpPr>
      <xdr:spPr>
        <a:xfrm>
          <a:off x="9606616" y="1178702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336688</xdr:colOff>
      <xdr:row>2</xdr:row>
      <xdr:rowOff>317989</xdr:rowOff>
    </xdr:from>
    <xdr:to>
      <xdr:col>13</xdr:col>
      <xdr:colOff>136757</xdr:colOff>
      <xdr:row>3</xdr:row>
      <xdr:rowOff>127488</xdr:rowOff>
    </xdr:to>
    <xdr:sp macro="" textlink="">
      <xdr:nvSpPr>
        <xdr:cNvPr id="20" name="十字形 19">
          <a:extLst>
            <a:ext uri="{FF2B5EF4-FFF2-40B4-BE49-F238E27FC236}">
              <a16:creationId xmlns:a16="http://schemas.microsoft.com/office/drawing/2014/main" id="{DAC9AFA7-E2BB-1241-9710-62A2DC54B079}"/>
            </a:ext>
          </a:extLst>
        </xdr:cNvPr>
        <xdr:cNvSpPr/>
      </xdr:nvSpPr>
      <xdr:spPr>
        <a:xfrm>
          <a:off x="12814438" y="1188846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360438</xdr:colOff>
      <xdr:row>2</xdr:row>
      <xdr:rowOff>314524</xdr:rowOff>
    </xdr:from>
    <xdr:to>
      <xdr:col>16</xdr:col>
      <xdr:colOff>160507</xdr:colOff>
      <xdr:row>3</xdr:row>
      <xdr:rowOff>124023</xdr:rowOff>
    </xdr:to>
    <xdr:sp macro="" textlink="">
      <xdr:nvSpPr>
        <xdr:cNvPr id="21" name="十字形 20">
          <a:extLst>
            <a:ext uri="{FF2B5EF4-FFF2-40B4-BE49-F238E27FC236}">
              <a16:creationId xmlns:a16="http://schemas.microsoft.com/office/drawing/2014/main" id="{5CC31BE6-97E6-37C2-92BA-B081C4CF7DA4}"/>
            </a:ext>
          </a:extLst>
        </xdr:cNvPr>
        <xdr:cNvSpPr/>
      </xdr:nvSpPr>
      <xdr:spPr>
        <a:xfrm>
          <a:off x="16049474" y="118538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15</xdr:col>
      <xdr:colOff>323574</xdr:colOff>
      <xdr:row>5</xdr:row>
      <xdr:rowOff>311061</xdr:rowOff>
    </xdr:from>
    <xdr:to>
      <xdr:col>16</xdr:col>
      <xdr:colOff>123643</xdr:colOff>
      <xdr:row>6</xdr:row>
      <xdr:rowOff>120561</xdr:rowOff>
    </xdr:to>
    <xdr:sp macro="" textlink="">
      <xdr:nvSpPr>
        <xdr:cNvPr id="22" name="十字形 21">
          <a:extLst>
            <a:ext uri="{FF2B5EF4-FFF2-40B4-BE49-F238E27FC236}">
              <a16:creationId xmlns:a16="http://schemas.microsoft.com/office/drawing/2014/main" id="{9AEA527D-97F3-CA21-8510-20A04C6A46CA}"/>
            </a:ext>
          </a:extLst>
        </xdr:cNvPr>
        <xdr:cNvSpPr/>
      </xdr:nvSpPr>
      <xdr:spPr>
        <a:xfrm>
          <a:off x="16012610" y="2488204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12</xdr:col>
      <xdr:colOff>333716</xdr:colOff>
      <xdr:row>5</xdr:row>
      <xdr:rowOff>301412</xdr:rowOff>
    </xdr:from>
    <xdr:to>
      <xdr:col>13</xdr:col>
      <xdr:colOff>133785</xdr:colOff>
      <xdr:row>6</xdr:row>
      <xdr:rowOff>110912</xdr:rowOff>
    </xdr:to>
    <xdr:sp macro="" textlink="">
      <xdr:nvSpPr>
        <xdr:cNvPr id="23" name="十字形 22">
          <a:extLst>
            <a:ext uri="{FF2B5EF4-FFF2-40B4-BE49-F238E27FC236}">
              <a16:creationId xmlns:a16="http://schemas.microsoft.com/office/drawing/2014/main" id="{C4341EAE-5D53-061C-E334-B78CC138A4EF}"/>
            </a:ext>
          </a:extLst>
        </xdr:cNvPr>
        <xdr:cNvSpPr/>
      </xdr:nvSpPr>
      <xdr:spPr>
        <a:xfrm>
          <a:off x="12811466" y="2478555"/>
          <a:ext cx="235498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9</xdr:col>
      <xdr:colOff>303038</xdr:colOff>
      <xdr:row>5</xdr:row>
      <xdr:rowOff>318978</xdr:rowOff>
    </xdr:from>
    <xdr:to>
      <xdr:col>10</xdr:col>
      <xdr:colOff>103106</xdr:colOff>
      <xdr:row>6</xdr:row>
      <xdr:rowOff>128478</xdr:rowOff>
    </xdr:to>
    <xdr:sp macro="" textlink="">
      <xdr:nvSpPr>
        <xdr:cNvPr id="24" name="十字形 23">
          <a:extLst>
            <a:ext uri="{FF2B5EF4-FFF2-40B4-BE49-F238E27FC236}">
              <a16:creationId xmlns:a16="http://schemas.microsoft.com/office/drawing/2014/main" id="{F97D0DFF-CAD6-46E6-0EDE-CE80AF081FFC}"/>
            </a:ext>
          </a:extLst>
        </xdr:cNvPr>
        <xdr:cNvSpPr/>
      </xdr:nvSpPr>
      <xdr:spPr>
        <a:xfrm>
          <a:off x="9569502" y="2496121"/>
          <a:ext cx="235497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6</xdr:col>
      <xdr:colOff>313180</xdr:colOff>
      <xdr:row>5</xdr:row>
      <xdr:rowOff>322937</xdr:rowOff>
    </xdr:from>
    <xdr:to>
      <xdr:col>7</xdr:col>
      <xdr:colOff>113248</xdr:colOff>
      <xdr:row>6</xdr:row>
      <xdr:rowOff>132437</xdr:rowOff>
    </xdr:to>
    <xdr:sp macro="" textlink="">
      <xdr:nvSpPr>
        <xdr:cNvPr id="25" name="十字形 24">
          <a:extLst>
            <a:ext uri="{FF2B5EF4-FFF2-40B4-BE49-F238E27FC236}">
              <a16:creationId xmlns:a16="http://schemas.microsoft.com/office/drawing/2014/main" id="{86746914-2EB5-0C99-9B12-D55ACD786777}"/>
            </a:ext>
          </a:extLst>
        </xdr:cNvPr>
        <xdr:cNvSpPr/>
      </xdr:nvSpPr>
      <xdr:spPr>
        <a:xfrm>
          <a:off x="6368359" y="2500080"/>
          <a:ext cx="235496" cy="244928"/>
        </a:xfrm>
        <a:prstGeom prst="plus">
          <a:avLst>
            <a:gd name="adj" fmla="val 44966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3</xdr:col>
      <xdr:colOff>273628</xdr:colOff>
      <xdr:row>5</xdr:row>
      <xdr:rowOff>184563</xdr:rowOff>
    </xdr:from>
    <xdr:to>
      <xdr:col>4</xdr:col>
      <xdr:colOff>135167</xdr:colOff>
      <xdr:row>6</xdr:row>
      <xdr:rowOff>27681</xdr:rowOff>
    </xdr:to>
    <xdr:sp macro="" textlink="">
      <xdr:nvSpPr>
        <xdr:cNvPr id="26" name="次の値と等しい 25">
          <a:extLst>
            <a:ext uri="{FF2B5EF4-FFF2-40B4-BE49-F238E27FC236}">
              <a16:creationId xmlns:a16="http://schemas.microsoft.com/office/drawing/2014/main" id="{2335715A-6325-A0D1-64AF-AD971EAB59E6}"/>
            </a:ext>
          </a:extLst>
        </xdr:cNvPr>
        <xdr:cNvSpPr/>
      </xdr:nvSpPr>
      <xdr:spPr>
        <a:xfrm>
          <a:off x="3117521" y="2361706"/>
          <a:ext cx="296967" cy="278546"/>
        </a:xfrm>
        <a:prstGeom prst="mathEqual">
          <a:avLst>
            <a:gd name="adj1" fmla="val 8928"/>
            <a:gd name="adj2" fmla="val 21487"/>
          </a:avLst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>
            <a:solidFill>
              <a:schemeClr val="tx1"/>
            </a:solidFill>
          </a:endParaRPr>
        </a:p>
      </xdr:txBody>
    </xdr:sp>
    <xdr:clientData/>
  </xdr:twoCellAnchor>
  <xdr:twoCellAnchor>
    <xdr:from>
      <xdr:col>8</xdr:col>
      <xdr:colOff>353785</xdr:colOff>
      <xdr:row>7</xdr:row>
      <xdr:rowOff>54429</xdr:rowOff>
    </xdr:from>
    <xdr:to>
      <xdr:col>8</xdr:col>
      <xdr:colOff>1823357</xdr:colOff>
      <xdr:row>8</xdr:row>
      <xdr:rowOff>108857</xdr:rowOff>
    </xdr:to>
    <xdr:sp macro="" textlink="">
      <xdr:nvSpPr>
        <xdr:cNvPr id="2" name="矢印: 下 1">
          <a:extLst>
            <a:ext uri="{FF2B5EF4-FFF2-40B4-BE49-F238E27FC236}">
              <a16:creationId xmlns:a16="http://schemas.microsoft.com/office/drawing/2014/main" id="{3979B278-E6CF-2688-5D43-95FF48293AE3}"/>
            </a:ext>
          </a:extLst>
        </xdr:cNvPr>
        <xdr:cNvSpPr/>
      </xdr:nvSpPr>
      <xdr:spPr>
        <a:xfrm>
          <a:off x="7279821" y="3102429"/>
          <a:ext cx="1469572" cy="340178"/>
        </a:xfrm>
        <a:prstGeom prst="downArrow">
          <a:avLst/>
        </a:prstGeom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11</xdr:col>
      <xdr:colOff>424543</xdr:colOff>
      <xdr:row>7</xdr:row>
      <xdr:rowOff>43543</xdr:rowOff>
    </xdr:from>
    <xdr:to>
      <xdr:col>11</xdr:col>
      <xdr:colOff>1894115</xdr:colOff>
      <xdr:row>8</xdr:row>
      <xdr:rowOff>97971</xdr:rowOff>
    </xdr:to>
    <xdr:sp macro="" textlink="">
      <xdr:nvSpPr>
        <xdr:cNvPr id="3" name="矢印: 下 2">
          <a:extLst>
            <a:ext uri="{FF2B5EF4-FFF2-40B4-BE49-F238E27FC236}">
              <a16:creationId xmlns:a16="http://schemas.microsoft.com/office/drawing/2014/main" id="{CB163DF3-A605-A9DF-232E-4DA0EE9E2085}"/>
            </a:ext>
          </a:extLst>
        </xdr:cNvPr>
        <xdr:cNvSpPr/>
      </xdr:nvSpPr>
      <xdr:spPr>
        <a:xfrm>
          <a:off x="10561864" y="3091543"/>
          <a:ext cx="1469572" cy="571499"/>
        </a:xfrm>
        <a:prstGeom prst="downArrow">
          <a:avLst/>
        </a:prstGeom>
        <a:solidFill>
          <a:schemeClr val="accent2">
            <a:lumMod val="20000"/>
            <a:lumOff val="80000"/>
          </a:schemeClr>
        </a:solidFill>
      </xdr:spPr>
      <xdr:style>
        <a:lnRef idx="1">
          <a:schemeClr val="accent1"/>
        </a:lnRef>
        <a:fillRef idx="2">
          <a:schemeClr val="accent1"/>
        </a:fillRef>
        <a:effectRef idx="1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kumimoji="1" lang="ja-JP" altLang="en-US" sz="2000"/>
            <a:t>内訳</a:t>
          </a:r>
        </a:p>
      </xdr:txBody>
    </xdr:sp>
    <xdr:clientData/>
  </xdr:twoCellAnchor>
  <xdr:twoCellAnchor>
    <xdr:from>
      <xdr:col>0</xdr:col>
      <xdr:colOff>598716</xdr:colOff>
      <xdr:row>12</xdr:row>
      <xdr:rowOff>163286</xdr:rowOff>
    </xdr:from>
    <xdr:to>
      <xdr:col>5</xdr:col>
      <xdr:colOff>1796144</xdr:colOff>
      <xdr:row>21</xdr:row>
      <xdr:rowOff>408216</xdr:rowOff>
    </xdr:to>
    <xdr:sp macro="" textlink="">
      <xdr:nvSpPr>
        <xdr:cNvPr id="4" name="四角形: 1 つの角を丸める 3">
          <a:extLst>
            <a:ext uri="{FF2B5EF4-FFF2-40B4-BE49-F238E27FC236}">
              <a16:creationId xmlns:a16="http://schemas.microsoft.com/office/drawing/2014/main" id="{32C673B6-4C64-886A-EA49-976FA9564321}"/>
            </a:ext>
          </a:extLst>
        </xdr:cNvPr>
        <xdr:cNvSpPr/>
      </xdr:nvSpPr>
      <xdr:spPr>
        <a:xfrm>
          <a:off x="598716" y="4844143"/>
          <a:ext cx="5075464" cy="3224894"/>
        </a:xfrm>
        <a:prstGeom prst="round1Rect">
          <a:avLst/>
        </a:prstGeom>
        <a:solidFill>
          <a:schemeClr val="accent4">
            <a:lumMod val="20000"/>
            <a:lumOff val="8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「収支差」が意味するところは、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１９万２</a:t>
          </a:r>
          <a:r>
            <a:rPr kumimoji="1" lang="en-US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,</a:t>
          </a:r>
          <a:r>
            <a:rPr kumimoji="1" lang="ja-JP" altLang="ja-JP" sz="2000" b="1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６３１円の赤字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です。</a:t>
          </a:r>
          <a:endParaRPr kumimoji="1" lang="en-US" altLang="ja-JP" sz="20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※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ちなみに令和元年（</a:t>
          </a:r>
          <a:r>
            <a:rPr kumimoji="1" lang="en-US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2019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年）度も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　</a:t>
          </a:r>
          <a:r>
            <a:rPr kumimoji="1" lang="ja-JP" altLang="ja-JP" sz="2000">
              <a:solidFill>
                <a:srgbClr val="FF0000"/>
              </a:solidFill>
              <a:effectLst/>
              <a:latin typeface="+mn-lt"/>
              <a:ea typeface="+mn-ea"/>
              <a:cs typeface="+mn-cs"/>
            </a:rPr>
            <a:t>約５万３千円ほど赤字</a:t>
          </a:r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でした。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r"/>
          <a:r>
            <a:rPr kumimoji="1" lang="ja-JP" altLang="ja-JP" sz="20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（会計：橋本）</a:t>
          </a:r>
          <a:endParaRPr lang="ja-JP" altLang="ja-JP" sz="2000">
            <a:solidFill>
              <a:sysClr val="windowText" lastClr="000000"/>
            </a:solidFill>
            <a:effectLst/>
          </a:endParaRPr>
        </a:p>
        <a:p>
          <a:pPr algn="l"/>
          <a:endParaRPr kumimoji="1" lang="ja-JP" altLang="en-US" sz="2000">
            <a:solidFill>
              <a:sysClr val="windowText" lastClr="00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8CB0C-7EEF-4029-8104-DD8B5FB771C8}">
  <sheetPr>
    <pageSetUpPr fitToPage="1"/>
  </sheetPr>
  <dimension ref="C1:J67"/>
  <sheetViews>
    <sheetView view="pageBreakPreview" topLeftCell="A34" zoomScale="80" zoomScaleNormal="80" zoomScaleSheetLayoutView="80" workbookViewId="0">
      <selection activeCell="O19" sqref="O19"/>
    </sheetView>
  </sheetViews>
  <sheetFormatPr defaultColWidth="9" defaultRowHeight="13.5"/>
  <cols>
    <col min="1" max="1" width="7.75" style="51" customWidth="1"/>
    <col min="2" max="2" width="5.625" style="51" customWidth="1"/>
    <col min="3" max="3" width="4" style="65" customWidth="1"/>
    <col min="4" max="4" width="33.625" style="51" customWidth="1"/>
    <col min="5" max="5" width="3.875" style="51" customWidth="1"/>
    <col min="6" max="6" width="4" style="65" customWidth="1"/>
    <col min="7" max="7" width="34.75" style="51" customWidth="1"/>
    <col min="8" max="8" width="3.75" style="51" customWidth="1"/>
    <col min="9" max="9" width="4" style="65" customWidth="1"/>
    <col min="10" max="10" width="31.25" style="51" customWidth="1"/>
    <col min="11" max="11" width="4.625" style="51" customWidth="1"/>
    <col min="12" max="16384" width="9" style="51"/>
  </cols>
  <sheetData>
    <row r="1" spans="3:10" ht="36" customHeight="1">
      <c r="C1" s="284" t="s">
        <v>104</v>
      </c>
      <c r="D1" s="284"/>
      <c r="E1" s="226"/>
      <c r="F1" s="284" t="s">
        <v>114</v>
      </c>
      <c r="G1" s="284"/>
      <c r="H1" s="227"/>
      <c r="I1" s="284" t="s">
        <v>115</v>
      </c>
      <c r="J1" s="284"/>
    </row>
    <row r="2" spans="3:10" s="50" customFormat="1" ht="20.100000000000001" customHeight="1">
      <c r="C2" s="285"/>
      <c r="D2" s="285"/>
      <c r="E2" s="85"/>
      <c r="F2" s="88" t="s">
        <v>185</v>
      </c>
      <c r="G2" s="86" t="s">
        <v>110</v>
      </c>
      <c r="H2" s="85"/>
      <c r="I2" s="285"/>
      <c r="J2" s="285"/>
    </row>
    <row r="3" spans="3:10" ht="20.100000000000001" customHeight="1">
      <c r="C3" s="86"/>
      <c r="D3" s="85"/>
      <c r="E3" s="85"/>
      <c r="F3" s="88" t="s">
        <v>186</v>
      </c>
      <c r="G3" s="86" t="s">
        <v>234</v>
      </c>
      <c r="H3" s="93"/>
      <c r="I3" s="88"/>
      <c r="J3" s="85"/>
    </row>
    <row r="4" spans="3:10" ht="20.100000000000001" customHeight="1">
      <c r="C4" s="86"/>
      <c r="D4" s="85"/>
      <c r="E4" s="85"/>
      <c r="F4" s="86"/>
      <c r="G4" s="89" t="s">
        <v>116</v>
      </c>
      <c r="H4" s="85"/>
      <c r="I4" s="94"/>
      <c r="J4" s="85"/>
    </row>
    <row r="5" spans="3:10" ht="20.100000000000001" customHeight="1">
      <c r="C5" s="86"/>
      <c r="D5" s="85"/>
      <c r="E5" s="85"/>
      <c r="F5" s="90"/>
      <c r="G5" s="89" t="s">
        <v>235</v>
      </c>
      <c r="H5" s="85"/>
      <c r="I5" s="86"/>
      <c r="J5" s="85"/>
    </row>
    <row r="6" spans="3:10" ht="20.100000000000001" customHeight="1">
      <c r="C6" s="196" t="s">
        <v>226</v>
      </c>
      <c r="D6" s="85" t="s">
        <v>227</v>
      </c>
      <c r="E6" s="85"/>
      <c r="F6" s="90"/>
      <c r="G6" s="119" t="s">
        <v>220</v>
      </c>
      <c r="H6" s="85"/>
      <c r="I6" s="86"/>
      <c r="J6" s="85"/>
    </row>
    <row r="7" spans="3:10" ht="20.100000000000001" customHeight="1">
      <c r="C7" s="264"/>
      <c r="D7" s="265" t="s">
        <v>242</v>
      </c>
      <c r="E7" s="266"/>
      <c r="F7" s="264"/>
      <c r="G7" s="267"/>
      <c r="H7" s="267"/>
      <c r="I7" s="264"/>
      <c r="J7" s="267"/>
    </row>
    <row r="8" spans="3:10" ht="20.100000000000001" customHeight="1">
      <c r="C8" s="268" t="s">
        <v>185</v>
      </c>
      <c r="D8" s="269" t="s">
        <v>244</v>
      </c>
      <c r="E8" s="270"/>
      <c r="F8" s="271" t="s">
        <v>185</v>
      </c>
      <c r="G8" s="272" t="s">
        <v>179</v>
      </c>
      <c r="H8" s="273"/>
      <c r="I8" s="274"/>
      <c r="J8" s="273"/>
    </row>
    <row r="9" spans="3:10" ht="20.100000000000001" customHeight="1">
      <c r="C9" s="92"/>
      <c r="D9" s="241"/>
      <c r="E9" s="85"/>
      <c r="F9" s="86"/>
      <c r="G9" s="89" t="s">
        <v>215</v>
      </c>
      <c r="H9" s="93"/>
      <c r="I9" s="86"/>
      <c r="J9" s="93"/>
    </row>
    <row r="10" spans="3:10" ht="20.100000000000001" customHeight="1">
      <c r="C10" s="92"/>
      <c r="D10" s="241"/>
      <c r="E10" s="85"/>
      <c r="F10" s="86"/>
      <c r="G10" s="85"/>
      <c r="H10" s="85"/>
      <c r="I10" s="86"/>
      <c r="J10" s="85"/>
    </row>
    <row r="11" spans="3:10" ht="20.100000000000001" customHeight="1">
      <c r="C11" s="92"/>
      <c r="D11" s="241"/>
      <c r="E11" s="85"/>
      <c r="F11" s="86"/>
      <c r="G11" s="85"/>
      <c r="H11" s="85"/>
      <c r="I11" s="88"/>
      <c r="J11" s="85"/>
    </row>
    <row r="12" spans="3:10" ht="20.100000000000001" customHeight="1">
      <c r="C12" s="92"/>
      <c r="D12" s="241"/>
      <c r="E12" s="85"/>
      <c r="F12" s="86"/>
      <c r="G12" s="85"/>
      <c r="H12" s="85"/>
      <c r="I12" s="86"/>
      <c r="J12" s="85"/>
    </row>
    <row r="13" spans="3:10" ht="20.100000000000001" customHeight="1">
      <c r="C13" s="92"/>
      <c r="D13" s="241"/>
      <c r="E13" s="85"/>
      <c r="F13" s="86"/>
      <c r="G13" s="85"/>
      <c r="H13" s="85"/>
      <c r="I13" s="86"/>
      <c r="J13" s="85"/>
    </row>
    <row r="14" spans="3:10" ht="20.100000000000001" customHeight="1">
      <c r="C14" s="242"/>
      <c r="D14" s="241"/>
      <c r="E14" s="85"/>
      <c r="F14" s="94"/>
      <c r="G14" s="85"/>
      <c r="H14" s="85"/>
      <c r="I14" s="86"/>
      <c r="J14" s="85"/>
    </row>
    <row r="15" spans="3:10" ht="20.100000000000001" customHeight="1">
      <c r="C15" s="242"/>
      <c r="D15" s="241"/>
      <c r="E15" s="85"/>
      <c r="F15" s="94"/>
      <c r="G15" s="85"/>
      <c r="H15" s="85"/>
      <c r="I15" s="86"/>
      <c r="J15" s="85"/>
    </row>
    <row r="16" spans="3:10" ht="20.100000000000001" customHeight="1">
      <c r="C16" s="242"/>
      <c r="D16" s="241"/>
      <c r="E16" s="85"/>
      <c r="F16" s="94"/>
      <c r="G16" s="85"/>
      <c r="H16" s="85"/>
      <c r="I16" s="86"/>
      <c r="J16" s="85"/>
    </row>
    <row r="17" spans="3:10" ht="20.100000000000001" customHeight="1">
      <c r="C17" s="242"/>
      <c r="D17" s="243" t="s">
        <v>163</v>
      </c>
      <c r="E17" s="85"/>
      <c r="F17" s="94"/>
      <c r="G17" s="243" t="s">
        <v>321</v>
      </c>
      <c r="H17" s="85"/>
      <c r="I17" s="86"/>
      <c r="J17" s="85"/>
    </row>
    <row r="18" spans="3:10" ht="20.100000000000001" customHeight="1">
      <c r="C18" s="244" t="s">
        <v>185</v>
      </c>
      <c r="D18" s="245" t="s">
        <v>243</v>
      </c>
      <c r="E18" s="85"/>
      <c r="F18" s="88"/>
      <c r="G18" s="96"/>
      <c r="H18" s="85"/>
      <c r="I18" s="86"/>
      <c r="J18" s="85"/>
    </row>
    <row r="19" spans="3:10" ht="20.100000000000001" customHeight="1">
      <c r="C19" s="92"/>
      <c r="D19" s="207" t="s">
        <v>236</v>
      </c>
      <c r="E19" s="95"/>
      <c r="F19" s="88"/>
      <c r="G19" s="96"/>
      <c r="H19" s="96"/>
      <c r="I19" s="88"/>
      <c r="J19" s="96"/>
    </row>
    <row r="20" spans="3:10" ht="20.100000000000001" customHeight="1">
      <c r="C20" s="301"/>
      <c r="D20" s="312"/>
      <c r="E20" s="85"/>
      <c r="F20" s="88"/>
      <c r="G20" s="96"/>
      <c r="H20" s="97"/>
      <c r="I20" s="197"/>
      <c r="J20" s="97"/>
    </row>
    <row r="21" spans="3:10" ht="20.100000000000001" customHeight="1">
      <c r="C21" s="98"/>
      <c r="D21" s="99" t="s">
        <v>193</v>
      </c>
      <c r="E21" s="85"/>
      <c r="F21" s="157"/>
      <c r="G21" s="158" t="s">
        <v>299</v>
      </c>
      <c r="H21" s="89"/>
      <c r="I21" s="88"/>
      <c r="J21" s="89"/>
    </row>
    <row r="22" spans="3:10" ht="20.100000000000001" customHeight="1">
      <c r="C22" s="170" t="s">
        <v>187</v>
      </c>
      <c r="D22" s="171" t="s">
        <v>228</v>
      </c>
      <c r="E22" s="164"/>
      <c r="F22" s="170" t="s">
        <v>187</v>
      </c>
      <c r="G22" s="172" t="s">
        <v>174</v>
      </c>
      <c r="H22" s="166"/>
      <c r="I22" s="89"/>
      <c r="J22" s="89"/>
    </row>
    <row r="23" spans="3:10" ht="20.100000000000001" customHeight="1">
      <c r="C23" s="105" t="s">
        <v>185</v>
      </c>
      <c r="D23" s="101" t="s">
        <v>172</v>
      </c>
      <c r="E23" s="93"/>
      <c r="F23" s="100" t="s">
        <v>185</v>
      </c>
      <c r="G23" s="159" t="s">
        <v>175</v>
      </c>
      <c r="H23" s="102"/>
      <c r="I23" s="275"/>
      <c r="J23" s="276"/>
    </row>
    <row r="24" spans="3:10" ht="20.100000000000001" customHeight="1">
      <c r="C24" s="103"/>
      <c r="D24" s="101"/>
      <c r="E24" s="85"/>
      <c r="F24" s="100" t="s">
        <v>192</v>
      </c>
      <c r="G24" s="159" t="s">
        <v>176</v>
      </c>
      <c r="H24" s="104"/>
      <c r="I24" s="167"/>
      <c r="J24" s="204" t="s">
        <v>229</v>
      </c>
    </row>
    <row r="25" spans="3:10" ht="20.100000000000001" customHeight="1">
      <c r="C25" s="103"/>
      <c r="D25" s="101"/>
      <c r="E25" s="102"/>
      <c r="F25" s="100" t="s">
        <v>186</v>
      </c>
      <c r="G25" s="159" t="s">
        <v>177</v>
      </c>
      <c r="H25" s="89"/>
      <c r="I25" s="218" t="s">
        <v>186</v>
      </c>
      <c r="J25" s="159" t="s">
        <v>230</v>
      </c>
    </row>
    <row r="26" spans="3:10" ht="20.100000000000001" customHeight="1" thickBot="1">
      <c r="C26" s="219"/>
      <c r="D26" s="220"/>
      <c r="E26" s="101"/>
      <c r="F26" s="170" t="s">
        <v>187</v>
      </c>
      <c r="G26" s="159" t="s">
        <v>231</v>
      </c>
      <c r="H26" s="166"/>
      <c r="I26" s="174"/>
      <c r="J26" s="174" t="s">
        <v>221</v>
      </c>
    </row>
    <row r="27" spans="3:10" ht="20.100000000000001" customHeight="1">
      <c r="C27" s="222" t="s">
        <v>185</v>
      </c>
      <c r="D27" s="101" t="s">
        <v>173</v>
      </c>
      <c r="E27" s="85"/>
      <c r="F27" s="100" t="s">
        <v>185</v>
      </c>
      <c r="G27" s="216" t="s">
        <v>214</v>
      </c>
      <c r="H27" s="85"/>
      <c r="I27" s="173"/>
      <c r="J27" s="111" t="s">
        <v>222</v>
      </c>
    </row>
    <row r="28" spans="3:10" ht="20.100000000000001" customHeight="1" thickBot="1">
      <c r="C28" s="103"/>
      <c r="D28" s="101"/>
      <c r="E28" s="85"/>
      <c r="F28" s="160"/>
      <c r="G28" s="228" t="s">
        <v>308</v>
      </c>
      <c r="H28" s="85"/>
      <c r="I28" s="163"/>
      <c r="J28" s="229" t="s">
        <v>309</v>
      </c>
    </row>
    <row r="29" spans="3:10" ht="20.100000000000001" customHeight="1">
      <c r="C29" s="106"/>
      <c r="D29" s="107"/>
      <c r="E29" s="85"/>
      <c r="F29" s="161" t="s">
        <v>192</v>
      </c>
      <c r="G29" s="162" t="s">
        <v>178</v>
      </c>
      <c r="H29" s="85"/>
      <c r="I29" s="291" t="s">
        <v>192</v>
      </c>
      <c r="J29" s="292" t="s">
        <v>213</v>
      </c>
    </row>
    <row r="30" spans="3:10" ht="20.100000000000001" customHeight="1">
      <c r="C30" s="106" t="s">
        <v>186</v>
      </c>
      <c r="D30" s="108" t="s">
        <v>245</v>
      </c>
      <c r="E30" s="85"/>
      <c r="F30" s="88"/>
      <c r="G30" s="131" t="s">
        <v>233</v>
      </c>
      <c r="H30" s="96"/>
      <c r="I30" s="230"/>
      <c r="J30" s="292" t="s">
        <v>164</v>
      </c>
    </row>
    <row r="31" spans="3:10" ht="20.100000000000001" customHeight="1">
      <c r="C31" s="100" t="s">
        <v>187</v>
      </c>
      <c r="D31" s="108" t="s">
        <v>264</v>
      </c>
      <c r="E31" s="85"/>
      <c r="F31" s="88"/>
      <c r="G31" s="131" t="s">
        <v>232</v>
      </c>
      <c r="H31" s="96"/>
      <c r="I31" s="230"/>
      <c r="J31" s="292" t="s">
        <v>165</v>
      </c>
    </row>
    <row r="32" spans="3:10" ht="20.100000000000001" customHeight="1">
      <c r="C32" s="100" t="s">
        <v>188</v>
      </c>
      <c r="D32" s="108" t="s">
        <v>263</v>
      </c>
      <c r="E32" s="89"/>
      <c r="F32" s="88"/>
      <c r="G32" s="96"/>
      <c r="H32" s="96"/>
      <c r="I32" s="230"/>
      <c r="J32" s="295" t="s">
        <v>323</v>
      </c>
    </row>
    <row r="33" spans="3:10" ht="20.100000000000001" customHeight="1">
      <c r="C33" s="170" t="s">
        <v>217</v>
      </c>
      <c r="D33" s="174" t="s">
        <v>265</v>
      </c>
      <c r="E33" s="164"/>
      <c r="F33" s="88"/>
      <c r="G33" s="96"/>
      <c r="H33" s="169"/>
      <c r="I33" s="296"/>
      <c r="J33" s="297" t="s">
        <v>324</v>
      </c>
    </row>
    <row r="34" spans="3:10" ht="20.100000000000001" customHeight="1">
      <c r="C34" s="100" t="s">
        <v>191</v>
      </c>
      <c r="D34" s="108" t="s">
        <v>266</v>
      </c>
      <c r="E34" s="85"/>
      <c r="F34" s="88"/>
      <c r="G34" s="96"/>
      <c r="H34" s="96"/>
      <c r="I34" s="296"/>
      <c r="J34" s="295" t="s">
        <v>237</v>
      </c>
    </row>
    <row r="35" spans="3:10" ht="20.100000000000001" customHeight="1">
      <c r="C35" s="218"/>
      <c r="D35" s="108" t="s">
        <v>267</v>
      </c>
      <c r="E35" s="85"/>
      <c r="F35" s="88"/>
      <c r="G35" s="96"/>
      <c r="H35" s="96"/>
      <c r="I35" s="293" t="s">
        <v>186</v>
      </c>
      <c r="J35" s="294" t="s">
        <v>184</v>
      </c>
    </row>
    <row r="36" spans="3:10" ht="20.100000000000001" customHeight="1">
      <c r="C36" s="100" t="s">
        <v>192</v>
      </c>
      <c r="D36" s="108" t="s">
        <v>255</v>
      </c>
      <c r="E36" s="85"/>
      <c r="F36" s="109"/>
      <c r="G36" s="96"/>
      <c r="H36" s="96"/>
      <c r="I36" s="109"/>
      <c r="J36" s="96"/>
    </row>
    <row r="37" spans="3:10" ht="20.100000000000001" customHeight="1">
      <c r="C37" s="313" t="s">
        <v>196</v>
      </c>
      <c r="D37" s="314" t="s">
        <v>268</v>
      </c>
      <c r="E37" s="85"/>
      <c r="F37" s="88"/>
      <c r="G37" s="96"/>
      <c r="H37" s="96"/>
      <c r="I37" s="86"/>
      <c r="J37" s="85"/>
    </row>
    <row r="38" spans="3:10" ht="20.100000000000001" customHeight="1">
      <c r="C38" s="313" t="s">
        <v>186</v>
      </c>
      <c r="D38" s="314" t="s">
        <v>256</v>
      </c>
      <c r="E38" s="85"/>
      <c r="F38" s="88"/>
      <c r="G38" s="96"/>
      <c r="H38" s="96"/>
      <c r="I38" s="86"/>
      <c r="J38" s="85"/>
    </row>
    <row r="39" spans="3:10" ht="20.100000000000001" customHeight="1">
      <c r="C39" s="161"/>
      <c r="D39" s="217" t="s">
        <v>257</v>
      </c>
      <c r="E39" s="85"/>
      <c r="F39" s="88"/>
      <c r="G39" s="96"/>
      <c r="H39" s="96"/>
      <c r="I39" s="86"/>
      <c r="J39" s="85"/>
    </row>
    <row r="40" spans="3:10" ht="20.100000000000001" customHeight="1">
      <c r="C40" s="114"/>
      <c r="D40" s="89"/>
      <c r="E40" s="85"/>
      <c r="F40" s="110"/>
      <c r="G40" s="231" t="s">
        <v>311</v>
      </c>
      <c r="H40" s="85"/>
      <c r="I40" s="110"/>
      <c r="J40" s="232" t="s">
        <v>312</v>
      </c>
    </row>
    <row r="41" spans="3:10" ht="20.100000000000001" customHeight="1">
      <c r="C41" s="114"/>
      <c r="D41" s="89"/>
      <c r="E41" s="85"/>
      <c r="F41" s="224"/>
      <c r="G41" s="303"/>
      <c r="H41" s="85"/>
      <c r="I41" s="225" t="s">
        <v>192</v>
      </c>
      <c r="J41" s="113" t="s">
        <v>313</v>
      </c>
    </row>
    <row r="42" spans="3:10" ht="20.100000000000001" customHeight="1">
      <c r="C42" s="114"/>
      <c r="D42" s="89"/>
      <c r="E42" s="85"/>
      <c r="F42" s="224" t="s">
        <v>186</v>
      </c>
      <c r="G42" s="303" t="s">
        <v>180</v>
      </c>
      <c r="H42" s="87"/>
      <c r="I42" s="117"/>
      <c r="J42" s="249" t="s">
        <v>307</v>
      </c>
    </row>
    <row r="43" spans="3:10" ht="20.100000000000001" customHeight="1">
      <c r="C43" s="114"/>
      <c r="D43" s="89"/>
      <c r="E43" s="85"/>
      <c r="F43" s="116" t="s">
        <v>187</v>
      </c>
      <c r="G43" s="303" t="s">
        <v>251</v>
      </c>
      <c r="H43" s="96"/>
      <c r="I43" s="168"/>
      <c r="J43" s="249"/>
    </row>
    <row r="44" spans="3:10" ht="20.100000000000001" customHeight="1">
      <c r="C44" s="114"/>
      <c r="D44" s="89"/>
      <c r="E44" s="85"/>
      <c r="F44" s="168"/>
      <c r="G44" s="304"/>
      <c r="H44" s="102"/>
      <c r="I44" s="168"/>
      <c r="J44" s="113"/>
    </row>
    <row r="45" spans="3:10" ht="20.100000000000001" customHeight="1">
      <c r="C45" s="114"/>
      <c r="D45" s="89"/>
      <c r="E45" s="85"/>
      <c r="F45" s="168"/>
      <c r="G45" s="304"/>
      <c r="H45" s="96"/>
      <c r="I45" s="113"/>
      <c r="J45" s="233"/>
    </row>
    <row r="46" spans="3:10" ht="20.100000000000001" customHeight="1">
      <c r="C46" s="88"/>
      <c r="D46" s="85"/>
      <c r="E46" s="85"/>
      <c r="F46" s="118" t="s">
        <v>192</v>
      </c>
      <c r="G46" s="303" t="s">
        <v>301</v>
      </c>
      <c r="H46" s="102"/>
      <c r="I46" s="113"/>
      <c r="J46" s="115"/>
    </row>
    <row r="47" spans="3:10" ht="20.100000000000001" customHeight="1">
      <c r="C47" s="86"/>
      <c r="D47" s="85"/>
      <c r="E47" s="85"/>
      <c r="F47" s="168"/>
      <c r="G47" s="305" t="s">
        <v>302</v>
      </c>
      <c r="H47" s="85"/>
      <c r="I47" s="234"/>
      <c r="J47" s="115"/>
    </row>
    <row r="48" spans="3:10" ht="20.100000000000001" customHeight="1">
      <c r="C48" s="86"/>
      <c r="D48" s="85"/>
      <c r="E48" s="85"/>
      <c r="F48" s="298" t="s">
        <v>197</v>
      </c>
      <c r="G48" s="306" t="s">
        <v>303</v>
      </c>
      <c r="H48" s="89"/>
      <c r="I48" s="235"/>
      <c r="J48" s="235"/>
    </row>
    <row r="49" spans="3:10" ht="20.100000000000001" customHeight="1">
      <c r="C49" s="86"/>
      <c r="D49" s="85"/>
      <c r="E49" s="85"/>
      <c r="F49" s="112"/>
      <c r="G49" s="307" t="s">
        <v>325</v>
      </c>
      <c r="H49" s="85"/>
      <c r="I49" s="234"/>
      <c r="J49" s="115"/>
    </row>
    <row r="50" spans="3:10" ht="20.100000000000001" customHeight="1">
      <c r="C50" s="86"/>
      <c r="D50" s="85"/>
      <c r="E50" s="85"/>
      <c r="F50" s="118"/>
      <c r="G50" s="305" t="s">
        <v>302</v>
      </c>
      <c r="H50" s="85"/>
      <c r="I50" s="234"/>
      <c r="J50" s="115"/>
    </row>
    <row r="51" spans="3:10" ht="20.100000000000001" customHeight="1">
      <c r="C51" s="86"/>
      <c r="D51" s="85"/>
      <c r="E51" s="85"/>
      <c r="F51" s="116" t="s">
        <v>191</v>
      </c>
      <c r="G51" s="306" t="s">
        <v>305</v>
      </c>
      <c r="H51" s="89"/>
      <c r="I51" s="235"/>
      <c r="J51" s="235"/>
    </row>
    <row r="52" spans="3:10" ht="20.100000000000001" customHeight="1">
      <c r="C52" s="86"/>
      <c r="D52" s="85"/>
      <c r="E52" s="85"/>
      <c r="F52" s="112"/>
      <c r="G52" s="307" t="s">
        <v>326</v>
      </c>
      <c r="H52" s="236"/>
      <c r="I52" s="237"/>
      <c r="J52" s="238"/>
    </row>
    <row r="53" spans="3:10" ht="20.100000000000001" customHeight="1">
      <c r="C53" s="86"/>
      <c r="D53" s="85"/>
      <c r="E53" s="85"/>
      <c r="F53" s="298" t="s">
        <v>196</v>
      </c>
      <c r="G53" s="299" t="s">
        <v>306</v>
      </c>
      <c r="H53" s="89"/>
      <c r="I53" s="235"/>
      <c r="J53" s="235"/>
    </row>
    <row r="54" spans="3:10" ht="20.100000000000001" customHeight="1">
      <c r="C54" s="86"/>
      <c r="D54" s="85"/>
      <c r="E54" s="85"/>
      <c r="F54" s="208"/>
      <c r="G54" s="308" t="s">
        <v>252</v>
      </c>
      <c r="H54" s="97"/>
      <c r="I54" s="225" t="s">
        <v>186</v>
      </c>
      <c r="J54" s="246" t="s">
        <v>300</v>
      </c>
    </row>
    <row r="55" spans="3:10" ht="20.100000000000001" customHeight="1">
      <c r="C55" s="86"/>
      <c r="D55" s="85"/>
      <c r="E55" s="85"/>
      <c r="F55" s="116" t="s">
        <v>187</v>
      </c>
      <c r="G55" s="307" t="s">
        <v>328</v>
      </c>
      <c r="H55" s="89"/>
      <c r="I55" s="225"/>
      <c r="J55" s="235" t="s">
        <v>310</v>
      </c>
    </row>
    <row r="56" spans="3:10" ht="20.100000000000001" customHeight="1">
      <c r="C56" s="86"/>
      <c r="D56" s="85"/>
      <c r="E56" s="96"/>
      <c r="F56" s="298" t="s">
        <v>192</v>
      </c>
      <c r="G56" s="299" t="s">
        <v>327</v>
      </c>
      <c r="H56" s="85"/>
      <c r="I56" s="301"/>
      <c r="J56" s="300"/>
    </row>
    <row r="57" spans="3:10" ht="20.100000000000001" customHeight="1">
      <c r="C57" s="86"/>
      <c r="D57" s="85"/>
      <c r="E57" s="96"/>
      <c r="F57" s="335"/>
      <c r="G57" s="309" t="s">
        <v>322</v>
      </c>
      <c r="H57" s="85"/>
      <c r="I57" s="301"/>
      <c r="J57" s="302"/>
    </row>
    <row r="58" spans="3:10" ht="20.100000000000001" customHeight="1">
      <c r="C58" s="86"/>
      <c r="D58" s="85"/>
      <c r="E58" s="96"/>
      <c r="F58" s="239"/>
      <c r="G58" s="310" t="s">
        <v>171</v>
      </c>
      <c r="H58" s="85"/>
      <c r="I58" s="301"/>
      <c r="J58" s="302"/>
    </row>
    <row r="59" spans="3:10" ht="20.100000000000001" customHeight="1">
      <c r="C59" s="86"/>
      <c r="D59" s="85"/>
      <c r="E59" s="85"/>
      <c r="F59" s="240" t="s">
        <v>185</v>
      </c>
      <c r="G59" s="311" t="s">
        <v>103</v>
      </c>
      <c r="H59" s="85"/>
      <c r="I59" s="88"/>
      <c r="J59" s="89"/>
    </row>
    <row r="60" spans="3:10" ht="20.100000000000001" customHeight="1">
      <c r="C60" s="86"/>
      <c r="D60" s="85"/>
      <c r="E60" s="85"/>
      <c r="F60" s="315"/>
      <c r="G60" s="316"/>
      <c r="H60" s="85"/>
      <c r="I60" s="86"/>
      <c r="J60" s="85"/>
    </row>
    <row r="61" spans="3:10" ht="20.100000000000001" customHeight="1">
      <c r="C61" s="86"/>
      <c r="D61" s="85"/>
      <c r="E61" s="85"/>
      <c r="F61" s="315"/>
      <c r="G61" s="316"/>
      <c r="H61" s="85"/>
      <c r="I61" s="86"/>
      <c r="J61" s="85"/>
    </row>
    <row r="62" spans="3:10" ht="20.100000000000001" customHeight="1">
      <c r="C62" s="86"/>
      <c r="D62" s="85"/>
      <c r="E62" s="85"/>
      <c r="F62" s="315"/>
      <c r="G62" s="316"/>
      <c r="H62" s="85"/>
      <c r="I62" s="86"/>
      <c r="J62" s="85"/>
    </row>
    <row r="63" spans="3:10" ht="20.100000000000001" customHeight="1">
      <c r="C63" s="86"/>
      <c r="D63" s="85"/>
      <c r="E63" s="85"/>
      <c r="F63" s="86"/>
      <c r="G63" s="85"/>
      <c r="H63" s="85"/>
      <c r="I63" s="86"/>
      <c r="J63" s="85"/>
    </row>
    <row r="64" spans="3:10" ht="20.100000000000001" customHeight="1">
      <c r="C64" s="86"/>
      <c r="D64" s="85"/>
      <c r="E64" s="85"/>
      <c r="F64" s="86"/>
      <c r="G64" s="85"/>
      <c r="H64" s="85"/>
      <c r="I64" s="86"/>
      <c r="J64" s="85"/>
    </row>
    <row r="65" spans="3:10" ht="20.100000000000001" customHeight="1">
      <c r="C65" s="86"/>
      <c r="D65" s="85"/>
      <c r="E65" s="85"/>
      <c r="F65" s="86"/>
      <c r="G65" s="85"/>
      <c r="H65" s="85"/>
      <c r="I65" s="86"/>
      <c r="J65" s="85"/>
    </row>
    <row r="66" spans="3:10" ht="20.100000000000001" customHeight="1">
      <c r="C66" s="86"/>
      <c r="D66" s="85"/>
      <c r="E66" s="85"/>
      <c r="F66" s="86"/>
      <c r="G66" s="85"/>
      <c r="H66" s="85"/>
      <c r="I66" s="86"/>
      <c r="J66" s="85"/>
    </row>
    <row r="67" spans="3:10" ht="20.100000000000001" customHeight="1"/>
  </sheetData>
  <mergeCells count="5">
    <mergeCell ref="C1:D1"/>
    <mergeCell ref="F1:G1"/>
    <mergeCell ref="I1:J1"/>
    <mergeCell ref="C2:D2"/>
    <mergeCell ref="I2:J2"/>
  </mergeCells>
  <phoneticPr fontId="1"/>
  <pageMargins left="0.70866141732283472" right="0.31496062992125984" top="1.1417322834645669" bottom="0.55118110236220474" header="0.51181102362204722" footer="0.11811023622047245"/>
  <pageSetup paperSize="8" scale="86" orientation="portrait" cellComments="asDisplayed" r:id="rId1"/>
  <headerFooter>
    <oddHeader>&amp;L&amp;"BIZ UDP明朝 Medium,太字"&amp;22 令和８年　&amp;C&amp;"BIZ UDP明朝 Medium,太字"&amp;22 &amp;U7月１8日（土） （宵宮祭）　＜駒寄＞ 進行表</oddHead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FE502-2F53-4713-82D0-9E2BD9E408C5}">
  <sheetPr>
    <pageSetUpPr fitToPage="1"/>
  </sheetPr>
  <dimension ref="C1:O73"/>
  <sheetViews>
    <sheetView tabSelected="1" view="pageBreakPreview" zoomScale="55" zoomScaleNormal="80" zoomScaleSheetLayoutView="55" workbookViewId="0">
      <selection activeCell="L64" sqref="L48:M64"/>
    </sheetView>
  </sheetViews>
  <sheetFormatPr defaultColWidth="9" defaultRowHeight="18.75"/>
  <cols>
    <col min="1" max="1" width="3.75" style="11" customWidth="1"/>
    <col min="2" max="2" width="3.625" style="11" customWidth="1"/>
    <col min="3" max="3" width="3.875" style="84" customWidth="1"/>
    <col min="4" max="4" width="38.875" style="11" customWidth="1"/>
    <col min="5" max="5" width="3.625" style="11" customWidth="1"/>
    <col min="6" max="6" width="3.75" style="84" customWidth="1"/>
    <col min="7" max="7" width="36.625" style="11" customWidth="1"/>
    <col min="8" max="8" width="3.25" style="11" customWidth="1"/>
    <col min="9" max="9" width="4.25" style="84" customWidth="1"/>
    <col min="10" max="10" width="33.5" style="11" customWidth="1"/>
    <col min="11" max="11" width="3.625" style="11" customWidth="1"/>
    <col min="12" max="16384" width="9" style="11"/>
  </cols>
  <sheetData>
    <row r="1" spans="3:14" ht="33.6" customHeight="1">
      <c r="C1" s="284" t="s">
        <v>104</v>
      </c>
      <c r="D1" s="284"/>
      <c r="E1" s="226"/>
      <c r="F1" s="284" t="s">
        <v>114</v>
      </c>
      <c r="G1" s="284"/>
      <c r="H1" s="227"/>
      <c r="I1" s="284" t="s">
        <v>115</v>
      </c>
      <c r="J1" s="284"/>
    </row>
    <row r="2" spans="3:14" ht="20.100000000000001" customHeight="1">
      <c r="C2" s="120"/>
      <c r="D2" s="85"/>
      <c r="E2" s="85"/>
      <c r="F2" s="120"/>
      <c r="G2" s="85"/>
      <c r="H2" s="85"/>
      <c r="I2" s="120"/>
      <c r="J2" s="85"/>
    </row>
    <row r="3" spans="3:14" ht="20.100000000000001" customHeight="1">
      <c r="C3" s="120"/>
      <c r="D3" s="85"/>
      <c r="E3" s="85"/>
      <c r="H3" s="85"/>
      <c r="I3" s="120"/>
      <c r="J3" s="85"/>
    </row>
    <row r="4" spans="3:14" ht="20.100000000000001" customHeight="1">
      <c r="C4" s="121"/>
      <c r="D4" s="85"/>
      <c r="E4" s="85"/>
      <c r="F4" s="121" t="s">
        <v>186</v>
      </c>
      <c r="G4" s="86" t="s">
        <v>110</v>
      </c>
      <c r="H4" s="87"/>
      <c r="I4" s="120"/>
      <c r="J4" s="85"/>
    </row>
    <row r="5" spans="3:14" ht="20.100000000000001" customHeight="1">
      <c r="C5" s="120"/>
      <c r="D5" s="85"/>
      <c r="E5" s="85"/>
      <c r="F5" s="120"/>
      <c r="G5" s="89" t="s">
        <v>116</v>
      </c>
      <c r="H5" s="85"/>
      <c r="I5" s="120"/>
      <c r="J5" s="85"/>
    </row>
    <row r="6" spans="3:14" ht="20.100000000000001" customHeight="1">
      <c r="C6" s="176"/>
      <c r="D6" s="177" t="s">
        <v>332</v>
      </c>
      <c r="E6" s="85"/>
      <c r="F6" s="120"/>
      <c r="G6" s="122"/>
      <c r="H6" s="85"/>
      <c r="I6" s="120"/>
      <c r="J6" s="85"/>
    </row>
    <row r="7" spans="3:14" ht="20.100000000000001" customHeight="1">
      <c r="C7" s="126" t="s">
        <v>185</v>
      </c>
      <c r="D7" s="127" t="s">
        <v>246</v>
      </c>
      <c r="E7" s="164"/>
      <c r="F7" s="178"/>
      <c r="G7" s="179"/>
      <c r="H7" s="164"/>
      <c r="I7" s="178"/>
      <c r="J7" s="164"/>
    </row>
    <row r="8" spans="3:14" ht="20.100000000000001" customHeight="1">
      <c r="C8" s="126" t="s">
        <v>185</v>
      </c>
      <c r="D8" s="127" t="s">
        <v>269</v>
      </c>
      <c r="E8" s="85"/>
      <c r="F8" s="123" t="s">
        <v>185</v>
      </c>
      <c r="G8" s="175" t="s">
        <v>162</v>
      </c>
      <c r="H8" s="91"/>
      <c r="I8" s="123"/>
      <c r="J8" s="91"/>
      <c r="N8" s="82"/>
    </row>
    <row r="9" spans="3:14" ht="20.100000000000001" customHeight="1">
      <c r="C9" s="221" t="s">
        <v>186</v>
      </c>
      <c r="D9" s="174" t="s">
        <v>270</v>
      </c>
      <c r="E9" s="85"/>
      <c r="F9" s="120"/>
      <c r="G9" s="125" t="s">
        <v>170</v>
      </c>
      <c r="H9" s="85"/>
      <c r="I9" s="120"/>
      <c r="J9" s="85"/>
    </row>
    <row r="10" spans="3:14" ht="20.100000000000001" customHeight="1">
      <c r="C10" s="128" t="s">
        <v>271</v>
      </c>
      <c r="D10" s="129" t="s">
        <v>272</v>
      </c>
      <c r="E10" s="85"/>
      <c r="F10" s="205"/>
      <c r="G10" s="206"/>
      <c r="H10" s="123"/>
      <c r="I10" s="120"/>
      <c r="J10" s="85"/>
    </row>
    <row r="11" spans="3:14" ht="20.100000000000001" customHeight="1">
      <c r="C11" s="126" t="s">
        <v>198</v>
      </c>
      <c r="D11" s="181" t="s">
        <v>273</v>
      </c>
      <c r="E11" s="85"/>
      <c r="F11" s="140"/>
      <c r="G11" s="248" t="s">
        <v>319</v>
      </c>
      <c r="H11" s="123"/>
      <c r="I11" s="130"/>
      <c r="J11" s="229" t="s">
        <v>309</v>
      </c>
    </row>
    <row r="12" spans="3:14" ht="20.100000000000001" customHeight="1">
      <c r="C12" s="180" t="s">
        <v>241</v>
      </c>
      <c r="D12" s="209" t="s">
        <v>247</v>
      </c>
      <c r="E12" s="164"/>
      <c r="F12" s="247" t="s">
        <v>187</v>
      </c>
      <c r="G12" s="141" t="s">
        <v>210</v>
      </c>
      <c r="H12" s="182"/>
      <c r="I12" s="250" t="s">
        <v>188</v>
      </c>
      <c r="J12" s="183" t="s">
        <v>210</v>
      </c>
    </row>
    <row r="13" spans="3:14" ht="20.100000000000001" customHeight="1">
      <c r="C13" s="126" t="s">
        <v>189</v>
      </c>
      <c r="D13" s="127" t="s">
        <v>274</v>
      </c>
      <c r="E13" s="85"/>
      <c r="F13" s="140" t="s">
        <v>185</v>
      </c>
      <c r="G13" s="142" t="s">
        <v>224</v>
      </c>
      <c r="H13" s="123"/>
      <c r="I13" s="318" t="s">
        <v>185</v>
      </c>
      <c r="J13" s="132" t="s">
        <v>225</v>
      </c>
    </row>
    <row r="14" spans="3:14" ht="20.100000000000001" customHeight="1">
      <c r="C14" s="126" t="s">
        <v>199</v>
      </c>
      <c r="D14" s="127" t="s">
        <v>275</v>
      </c>
      <c r="E14" s="85"/>
      <c r="F14" s="140"/>
      <c r="G14" s="142" t="s">
        <v>168</v>
      </c>
      <c r="H14" s="123"/>
      <c r="I14" s="251"/>
      <c r="J14" s="132" t="s">
        <v>168</v>
      </c>
    </row>
    <row r="15" spans="3:14" ht="20.100000000000001" customHeight="1">
      <c r="C15" s="128" t="s">
        <v>200</v>
      </c>
      <c r="D15" s="129" t="s">
        <v>276</v>
      </c>
      <c r="E15" s="85"/>
      <c r="F15" s="140"/>
      <c r="G15" s="142" t="s">
        <v>238</v>
      </c>
      <c r="H15" s="123"/>
      <c r="I15" s="251"/>
      <c r="J15" s="132" t="s">
        <v>223</v>
      </c>
    </row>
    <row r="16" spans="3:14" ht="20.100000000000001" customHeight="1">
      <c r="C16" s="128"/>
      <c r="D16" s="129"/>
      <c r="E16" s="85"/>
      <c r="F16" s="140"/>
      <c r="G16" s="142"/>
      <c r="H16" s="123"/>
      <c r="I16" s="251"/>
      <c r="J16" s="342" t="s">
        <v>324</v>
      </c>
    </row>
    <row r="17" spans="3:10" ht="20.100000000000001" customHeight="1">
      <c r="C17" s="180" t="s">
        <v>201</v>
      </c>
      <c r="D17" s="181" t="s">
        <v>277</v>
      </c>
      <c r="E17" s="164"/>
      <c r="F17" s="191"/>
      <c r="G17" s="192" t="s">
        <v>239</v>
      </c>
      <c r="H17" s="182"/>
      <c r="I17" s="252"/>
      <c r="J17" s="184" t="s">
        <v>181</v>
      </c>
    </row>
    <row r="18" spans="3:10" ht="20.100000000000001" customHeight="1">
      <c r="C18" s="185"/>
      <c r="D18" s="186"/>
      <c r="E18" s="85"/>
      <c r="F18" s="340"/>
      <c r="G18" s="341" t="s">
        <v>240</v>
      </c>
      <c r="H18" s="123"/>
      <c r="I18" s="317" t="s">
        <v>185</v>
      </c>
      <c r="J18" s="343" t="s">
        <v>113</v>
      </c>
    </row>
    <row r="19" spans="3:10" ht="20.100000000000001" customHeight="1">
      <c r="C19" s="128" t="s">
        <v>202</v>
      </c>
      <c r="D19" s="129" t="s">
        <v>278</v>
      </c>
      <c r="E19" s="85"/>
      <c r="F19" s="339"/>
      <c r="G19" s="338" t="s">
        <v>182</v>
      </c>
      <c r="H19" s="123"/>
      <c r="I19" s="123"/>
      <c r="J19" s="123"/>
    </row>
    <row r="20" spans="3:10" ht="20.100000000000001" customHeight="1" thickBot="1">
      <c r="C20" s="126" t="s">
        <v>216</v>
      </c>
      <c r="D20" s="127" t="s">
        <v>279</v>
      </c>
      <c r="E20" s="85"/>
      <c r="F20" s="140" t="s">
        <v>186</v>
      </c>
      <c r="G20" s="143" t="s">
        <v>253</v>
      </c>
      <c r="H20" s="123"/>
      <c r="I20" s="123"/>
      <c r="J20" s="123"/>
    </row>
    <row r="21" spans="3:10" ht="20.100000000000001" customHeight="1">
      <c r="C21" s="223" t="s">
        <v>195</v>
      </c>
      <c r="D21" s="133" t="s">
        <v>262</v>
      </c>
      <c r="E21" s="85"/>
      <c r="F21" s="123"/>
      <c r="G21" s="123"/>
      <c r="H21" s="123"/>
      <c r="I21" s="123"/>
      <c r="J21" s="123"/>
    </row>
    <row r="22" spans="3:10" ht="20.100000000000001" customHeight="1">
      <c r="C22" s="126" t="s">
        <v>188</v>
      </c>
      <c r="D22" s="134" t="s">
        <v>280</v>
      </c>
      <c r="E22" s="85"/>
      <c r="F22" s="123"/>
      <c r="G22" s="123"/>
      <c r="H22" s="123"/>
      <c r="I22" s="123"/>
      <c r="J22" s="123"/>
    </row>
    <row r="23" spans="3:10" ht="20.100000000000001" customHeight="1">
      <c r="C23" s="180" t="s">
        <v>217</v>
      </c>
      <c r="D23" s="188" t="s">
        <v>281</v>
      </c>
      <c r="E23" s="164"/>
      <c r="F23" s="182"/>
      <c r="G23" s="182"/>
      <c r="H23" s="164"/>
      <c r="I23" s="178"/>
      <c r="J23" s="164"/>
    </row>
    <row r="24" spans="3:10" ht="20.100000000000001" customHeight="1">
      <c r="C24" s="126"/>
      <c r="D24" s="187" t="s">
        <v>112</v>
      </c>
      <c r="E24" s="85"/>
      <c r="F24" s="120"/>
      <c r="G24" s="85"/>
      <c r="H24" s="85"/>
      <c r="I24" s="120"/>
      <c r="J24" s="85"/>
    </row>
    <row r="25" spans="3:10" ht="20.100000000000001" customHeight="1">
      <c r="C25" s="126" t="s">
        <v>208</v>
      </c>
      <c r="D25" s="210" t="s">
        <v>248</v>
      </c>
      <c r="E25" s="85"/>
      <c r="F25" s="123"/>
      <c r="G25" s="123"/>
      <c r="H25" s="85"/>
      <c r="I25" s="120"/>
      <c r="J25" s="85"/>
    </row>
    <row r="26" spans="3:10" ht="20.100000000000001" customHeight="1" thickBot="1">
      <c r="C26" s="126" t="s">
        <v>218</v>
      </c>
      <c r="D26" s="135" t="s">
        <v>282</v>
      </c>
      <c r="E26" s="136"/>
      <c r="F26" s="277" t="s">
        <v>111</v>
      </c>
      <c r="G26" s="278" t="s">
        <v>167</v>
      </c>
      <c r="H26" s="85"/>
      <c r="I26" s="120"/>
      <c r="J26" s="85"/>
    </row>
    <row r="27" spans="3:10" ht="20.100000000000001" customHeight="1">
      <c r="C27" s="126" t="s">
        <v>203</v>
      </c>
      <c r="D27" s="127" t="s">
        <v>283</v>
      </c>
      <c r="E27" s="85"/>
      <c r="F27" s="123"/>
      <c r="G27" s="138"/>
      <c r="H27" s="85"/>
      <c r="I27" s="120"/>
      <c r="J27" s="85"/>
    </row>
    <row r="28" spans="3:10" ht="20.100000000000001" customHeight="1">
      <c r="C28" s="180" t="s">
        <v>190</v>
      </c>
      <c r="D28" s="181" t="s">
        <v>285</v>
      </c>
      <c r="E28" s="164"/>
      <c r="F28" s="277" t="s">
        <v>111</v>
      </c>
      <c r="G28" s="278" t="s">
        <v>166</v>
      </c>
      <c r="H28" s="85"/>
      <c r="I28" s="120"/>
      <c r="J28" s="85"/>
    </row>
    <row r="29" spans="3:10" ht="20.100000000000001" customHeight="1">
      <c r="C29" s="124"/>
      <c r="D29" s="189" t="s">
        <v>284</v>
      </c>
      <c r="E29" s="136"/>
      <c r="H29" s="85"/>
      <c r="I29" s="120"/>
      <c r="J29" s="85"/>
    </row>
    <row r="30" spans="3:10" ht="20.100000000000001" customHeight="1">
      <c r="C30" s="126" t="s">
        <v>203</v>
      </c>
      <c r="D30" s="189" t="s">
        <v>249</v>
      </c>
      <c r="E30" s="85"/>
      <c r="F30" s="123"/>
      <c r="G30" s="123"/>
      <c r="H30" s="123"/>
      <c r="I30" s="123"/>
      <c r="J30" s="123"/>
    </row>
    <row r="31" spans="3:10" ht="20.100000000000001" customHeight="1">
      <c r="C31" s="126" t="s">
        <v>204</v>
      </c>
      <c r="D31" s="127" t="s">
        <v>286</v>
      </c>
      <c r="E31" s="85"/>
      <c r="F31" s="123"/>
      <c r="G31" s="123"/>
      <c r="H31" s="123"/>
      <c r="I31" s="120"/>
      <c r="J31" s="85"/>
    </row>
    <row r="32" spans="3:10" ht="20.100000000000001" customHeight="1">
      <c r="C32" s="126"/>
      <c r="D32" s="127"/>
      <c r="E32" s="85"/>
      <c r="F32" s="140"/>
      <c r="G32" s="248" t="s">
        <v>314</v>
      </c>
      <c r="H32" s="123"/>
      <c r="I32" s="139"/>
      <c r="J32" s="229" t="s">
        <v>309</v>
      </c>
    </row>
    <row r="33" spans="3:15" ht="20.100000000000001" customHeight="1">
      <c r="C33" s="190"/>
      <c r="D33" s="171"/>
      <c r="E33" s="164"/>
      <c r="F33" s="247" t="s">
        <v>187</v>
      </c>
      <c r="G33" s="279" t="s">
        <v>210</v>
      </c>
      <c r="H33" s="253"/>
      <c r="I33" s="252" t="s">
        <v>188</v>
      </c>
      <c r="J33" s="183" t="s">
        <v>210</v>
      </c>
    </row>
    <row r="34" spans="3:15" ht="20.100000000000001" customHeight="1">
      <c r="C34" s="126" t="s">
        <v>191</v>
      </c>
      <c r="D34" s="127" t="s">
        <v>287</v>
      </c>
      <c r="E34" s="85"/>
      <c r="F34" s="140" t="s">
        <v>185</v>
      </c>
      <c r="G34" s="143" t="s">
        <v>261</v>
      </c>
      <c r="H34" s="254"/>
      <c r="I34" s="318" t="s">
        <v>185</v>
      </c>
      <c r="J34" s="319" t="s">
        <v>329</v>
      </c>
    </row>
    <row r="35" spans="3:15" ht="20.100000000000001" customHeight="1">
      <c r="C35" s="124"/>
      <c r="D35" s="127"/>
      <c r="E35" s="85"/>
      <c r="F35" s="247"/>
      <c r="G35" s="143" t="s">
        <v>317</v>
      </c>
      <c r="H35" s="254"/>
      <c r="I35" s="251"/>
      <c r="J35" s="320" t="s">
        <v>317</v>
      </c>
    </row>
    <row r="36" spans="3:15" ht="20.100000000000001" customHeight="1">
      <c r="C36" s="126" t="s">
        <v>205</v>
      </c>
      <c r="D36" s="127" t="s">
        <v>288</v>
      </c>
      <c r="E36" s="85"/>
      <c r="F36" s="247"/>
      <c r="G36" s="280" t="s">
        <v>316</v>
      </c>
      <c r="H36" s="254"/>
      <c r="I36" s="251"/>
      <c r="J36" s="321"/>
    </row>
    <row r="37" spans="3:15" ht="20.100000000000001" customHeight="1">
      <c r="C37" s="124"/>
      <c r="D37" s="127"/>
      <c r="E37" s="85"/>
      <c r="F37" s="140"/>
      <c r="G37" s="281" t="s">
        <v>330</v>
      </c>
      <c r="H37" s="255"/>
      <c r="I37" s="251"/>
      <c r="J37" s="260" t="s">
        <v>320</v>
      </c>
    </row>
    <row r="38" spans="3:15" ht="20.100000000000001" customHeight="1">
      <c r="C38" s="126" t="s">
        <v>195</v>
      </c>
      <c r="D38" s="127" t="s">
        <v>289</v>
      </c>
      <c r="E38" s="85"/>
      <c r="F38" s="140"/>
      <c r="G38" s="143" t="s">
        <v>258</v>
      </c>
      <c r="H38" s="255"/>
      <c r="I38" s="256"/>
      <c r="J38" s="322" t="s">
        <v>258</v>
      </c>
      <c r="O38" s="142"/>
    </row>
    <row r="39" spans="3:15" ht="20.100000000000001" customHeight="1">
      <c r="C39" s="180" t="s">
        <v>206</v>
      </c>
      <c r="D39" s="181" t="s">
        <v>290</v>
      </c>
      <c r="E39" s="164"/>
      <c r="F39" s="191"/>
      <c r="G39" s="193" t="s">
        <v>318</v>
      </c>
      <c r="H39" s="257"/>
      <c r="I39" s="258"/>
      <c r="J39" s="323" t="s">
        <v>318</v>
      </c>
    </row>
    <row r="40" spans="3:15" ht="20.100000000000001" customHeight="1">
      <c r="C40" s="124"/>
      <c r="D40" s="101"/>
      <c r="E40" s="85"/>
      <c r="F40" s="282"/>
      <c r="G40" s="283" t="s">
        <v>316</v>
      </c>
      <c r="H40" s="255"/>
      <c r="I40" s="256"/>
      <c r="J40" s="324" t="s">
        <v>316</v>
      </c>
    </row>
    <row r="41" spans="3:15" ht="20.100000000000001" customHeight="1">
      <c r="C41" s="126" t="s">
        <v>199</v>
      </c>
      <c r="D41" s="127" t="s">
        <v>291</v>
      </c>
      <c r="E41" s="85"/>
      <c r="F41" s="140"/>
      <c r="G41" s="143" t="s">
        <v>259</v>
      </c>
      <c r="H41" s="254"/>
      <c r="I41" s="256"/>
      <c r="J41" s="320" t="s">
        <v>259</v>
      </c>
    </row>
    <row r="42" spans="3:15" ht="20.100000000000001" customHeight="1" thickBot="1">
      <c r="C42" s="126" t="s">
        <v>207</v>
      </c>
      <c r="D42" s="127" t="s">
        <v>292</v>
      </c>
      <c r="E42" s="85"/>
      <c r="F42" s="140" t="s">
        <v>186</v>
      </c>
      <c r="G42" s="281" t="s">
        <v>260</v>
      </c>
      <c r="H42" s="259"/>
      <c r="I42" s="326" t="s">
        <v>186</v>
      </c>
      <c r="J42" s="325" t="s">
        <v>331</v>
      </c>
      <c r="L42" s="83"/>
    </row>
    <row r="43" spans="3:15" ht="20.100000000000001" customHeight="1" thickTop="1">
      <c r="C43" s="126" t="s">
        <v>198</v>
      </c>
      <c r="D43" s="127" t="s">
        <v>293</v>
      </c>
      <c r="E43" s="85"/>
      <c r="F43" s="123"/>
      <c r="G43" s="202"/>
      <c r="H43" s="144"/>
      <c r="I43" s="145"/>
      <c r="J43" s="85"/>
      <c r="L43" s="83"/>
    </row>
    <row r="44" spans="3:15" ht="20.100000000000001" customHeight="1" thickBot="1">
      <c r="C44" s="190"/>
      <c r="D44" s="101"/>
      <c r="E44" s="164"/>
      <c r="F44" s="123"/>
      <c r="G44" s="263"/>
      <c r="H44" s="144"/>
      <c r="I44" s="120"/>
      <c r="J44" s="85"/>
      <c r="L44" s="83"/>
    </row>
    <row r="45" spans="3:15" ht="20.100000000000001" customHeight="1">
      <c r="C45" s="128" t="s">
        <v>208</v>
      </c>
      <c r="D45" s="211" t="s">
        <v>294</v>
      </c>
      <c r="E45" s="85"/>
      <c r="F45" s="123"/>
      <c r="G45" s="202"/>
      <c r="H45" s="144"/>
      <c r="I45" s="146"/>
      <c r="J45" s="232" t="s">
        <v>312</v>
      </c>
      <c r="L45" s="83"/>
    </row>
    <row r="46" spans="3:15" ht="20.100000000000001" customHeight="1">
      <c r="C46" s="126" t="s">
        <v>209</v>
      </c>
      <c r="D46" s="212" t="s">
        <v>295</v>
      </c>
      <c r="E46" s="85"/>
      <c r="F46" s="120"/>
      <c r="G46" s="263"/>
      <c r="H46" s="144"/>
      <c r="I46" s="147"/>
      <c r="J46" s="249" t="s">
        <v>307</v>
      </c>
      <c r="L46" s="83"/>
    </row>
    <row r="47" spans="3:15" ht="20.100000000000001" customHeight="1">
      <c r="C47" s="126" t="s">
        <v>194</v>
      </c>
      <c r="D47" s="212" t="s">
        <v>296</v>
      </c>
      <c r="E47" s="85"/>
      <c r="F47" s="121"/>
      <c r="G47" s="202"/>
      <c r="H47" s="144"/>
      <c r="I47" s="148"/>
      <c r="J47" s="149"/>
    </row>
    <row r="48" spans="3:15" ht="20.100000000000001" customHeight="1">
      <c r="C48" s="126" t="s">
        <v>196</v>
      </c>
      <c r="D48" s="212" t="s">
        <v>297</v>
      </c>
      <c r="E48" s="85"/>
      <c r="F48" s="123"/>
      <c r="G48" s="263"/>
      <c r="H48" s="150"/>
      <c r="I48" s="151"/>
      <c r="J48" s="152"/>
    </row>
    <row r="49" spans="3:10" ht="20.100000000000001" customHeight="1" thickBot="1">
      <c r="C49" s="126" t="s">
        <v>197</v>
      </c>
      <c r="D49" s="213" t="s">
        <v>298</v>
      </c>
      <c r="E49" s="85"/>
      <c r="H49" s="150"/>
      <c r="I49" s="151"/>
      <c r="J49" s="152"/>
    </row>
    <row r="50" spans="3:10" ht="20.100000000000001" customHeight="1">
      <c r="C50" s="194"/>
      <c r="D50" s="195" t="s">
        <v>250</v>
      </c>
      <c r="E50" s="136" t="s">
        <v>111</v>
      </c>
      <c r="F50" s="137" t="s">
        <v>111</v>
      </c>
      <c r="G50" s="263" t="s">
        <v>169</v>
      </c>
      <c r="H50" s="85"/>
      <c r="I50" s="147"/>
      <c r="J50" s="115"/>
    </row>
    <row r="51" spans="3:10" ht="20.100000000000001" customHeight="1">
      <c r="C51" s="261"/>
      <c r="D51" s="262"/>
      <c r="E51" s="85"/>
      <c r="F51" s="214" t="s">
        <v>188</v>
      </c>
      <c r="G51" s="215" t="s">
        <v>212</v>
      </c>
      <c r="H51" s="85"/>
      <c r="I51" s="147"/>
      <c r="J51" s="142"/>
    </row>
    <row r="52" spans="3:10" ht="20.100000000000001" customHeight="1">
      <c r="C52" s="120"/>
      <c r="D52" s="85"/>
      <c r="E52" s="115"/>
      <c r="F52" s="327" t="s">
        <v>185</v>
      </c>
      <c r="G52" s="328" t="s">
        <v>254</v>
      </c>
      <c r="H52" s="154"/>
      <c r="I52" s="147"/>
      <c r="J52" s="115"/>
    </row>
    <row r="53" spans="3:10" ht="20.100000000000001" customHeight="1">
      <c r="C53" s="120"/>
      <c r="D53" s="85"/>
      <c r="E53" s="115"/>
      <c r="F53" s="329"/>
      <c r="G53" s="330" t="s">
        <v>219</v>
      </c>
      <c r="H53" s="136" t="s">
        <v>111</v>
      </c>
      <c r="I53" s="147"/>
      <c r="J53" s="115"/>
    </row>
    <row r="54" spans="3:10" ht="20.100000000000001" customHeight="1">
      <c r="C54" s="120"/>
      <c r="D54" s="85"/>
      <c r="E54" s="115"/>
      <c r="F54" s="331" t="s">
        <v>183</v>
      </c>
      <c r="G54" s="332"/>
      <c r="H54" s="85"/>
      <c r="I54" s="147"/>
      <c r="J54" s="115"/>
    </row>
    <row r="55" spans="3:10" ht="20.100000000000001" customHeight="1">
      <c r="C55" s="120"/>
      <c r="D55" s="85"/>
      <c r="E55" s="115"/>
      <c r="F55" s="333"/>
      <c r="G55" s="334"/>
      <c r="H55" s="85"/>
      <c r="I55" s="147"/>
      <c r="J55" s="115"/>
    </row>
    <row r="56" spans="3:10" ht="20.100000000000001" customHeight="1">
      <c r="C56" s="120"/>
      <c r="D56" s="85"/>
      <c r="E56" s="85"/>
      <c r="F56" s="123" t="s">
        <v>185</v>
      </c>
      <c r="G56" s="153" t="s">
        <v>211</v>
      </c>
      <c r="H56" s="85"/>
      <c r="I56" s="137" t="s">
        <v>111</v>
      </c>
      <c r="J56" s="202" t="s">
        <v>315</v>
      </c>
    </row>
    <row r="57" spans="3:10" ht="20.100000000000001" customHeight="1">
      <c r="C57" s="120"/>
      <c r="D57" s="85"/>
      <c r="E57" s="85"/>
      <c r="F57" s="156" t="s">
        <v>304</v>
      </c>
      <c r="G57" s="155" t="s">
        <v>333</v>
      </c>
      <c r="H57" s="93"/>
      <c r="I57" s="137"/>
      <c r="J57" s="85"/>
    </row>
    <row r="58" spans="3:10" ht="20.100000000000001" customHeight="1">
      <c r="C58" s="120"/>
      <c r="D58" s="85"/>
      <c r="E58" s="164"/>
      <c r="F58" s="198"/>
      <c r="G58" s="203" t="s">
        <v>171</v>
      </c>
      <c r="H58" s="199"/>
      <c r="I58" s="120"/>
      <c r="J58" s="120"/>
    </row>
    <row r="59" spans="3:10" ht="20.100000000000001" customHeight="1">
      <c r="C59" s="120"/>
      <c r="D59" s="85"/>
      <c r="E59" s="165"/>
      <c r="F59" s="200"/>
      <c r="G59" s="201"/>
      <c r="H59" s="165"/>
      <c r="I59" s="120"/>
      <c r="J59" s="85"/>
    </row>
    <row r="60" spans="3:10" ht="20.100000000000001" customHeight="1">
      <c r="C60" s="120"/>
      <c r="D60" s="85"/>
      <c r="E60" s="164"/>
      <c r="F60" s="337"/>
      <c r="G60" s="336" t="s">
        <v>103</v>
      </c>
      <c r="H60" s="166"/>
      <c r="I60" s="120"/>
      <c r="J60" s="85"/>
    </row>
    <row r="61" spans="3:10" ht="20.100000000000001" customHeight="1">
      <c r="C61" s="120"/>
      <c r="D61" s="85"/>
      <c r="E61" s="85"/>
      <c r="F61" s="120"/>
      <c r="G61" s="85"/>
      <c r="H61" s="85"/>
      <c r="I61" s="120"/>
      <c r="J61" s="85"/>
    </row>
    <row r="62" spans="3:10" ht="20.100000000000001" customHeight="1">
      <c r="C62" s="120"/>
      <c r="D62" s="85"/>
      <c r="E62" s="85"/>
      <c r="F62" s="120"/>
      <c r="G62" s="85"/>
      <c r="H62" s="85"/>
      <c r="I62" s="120"/>
      <c r="J62" s="85"/>
    </row>
    <row r="63" spans="3:10" ht="20.100000000000001" customHeight="1"/>
    <row r="64" spans="3:10" ht="20.100000000000001" customHeight="1"/>
    <row r="65" ht="20.100000000000001" customHeight="1"/>
    <row r="66" ht="20.100000000000001" customHeight="1"/>
    <row r="67" ht="20.100000000000001" customHeight="1"/>
    <row r="68" ht="20.100000000000001" customHeight="1"/>
    <row r="69" ht="20.100000000000001" customHeight="1"/>
    <row r="70" ht="20.100000000000001" customHeight="1"/>
    <row r="71" ht="20.100000000000001" customHeight="1"/>
    <row r="72" ht="20.100000000000001" customHeight="1"/>
    <row r="73" ht="20.100000000000001" customHeight="1"/>
  </sheetData>
  <mergeCells count="3">
    <mergeCell ref="C1:D1"/>
    <mergeCell ref="F1:G1"/>
    <mergeCell ref="I1:J1"/>
  </mergeCells>
  <phoneticPr fontId="1"/>
  <pageMargins left="0.70866141732283472" right="0.31496062992125984" top="1.1417322834645669" bottom="0.55118110236220474" header="0.51181102362204722" footer="0.11811023622047245"/>
  <pageSetup paperSize="8" scale="86" orientation="portrait" cellComments="asDisplayed" r:id="rId1"/>
  <headerFooter>
    <oddHeader>&amp;C&amp;"BIZ UDP明朝 Medium,太字"&amp;22 &amp;U7月19日（日） （本祭）　＜駒寄＞ 進行表&amp;RRev.D</oddHeader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AA6A7-6B92-4384-8987-F80208E4DDC0}">
  <sheetPr>
    <pageSetUpPr fitToPage="1"/>
  </sheetPr>
  <dimension ref="B2:G34"/>
  <sheetViews>
    <sheetView workbookViewId="0">
      <selection activeCell="M12" sqref="M12"/>
    </sheetView>
  </sheetViews>
  <sheetFormatPr defaultRowHeight="18.75"/>
  <cols>
    <col min="1" max="1" width="5.125" customWidth="1"/>
    <col min="2" max="2" width="5.125" style="76" customWidth="1"/>
    <col min="3" max="3" width="15.125" bestFit="1" customWidth="1"/>
    <col min="4" max="4" width="10.625" style="66" bestFit="1" customWidth="1"/>
    <col min="5" max="5" width="31.625" bestFit="1" customWidth="1"/>
    <col min="6" max="6" width="10.625" bestFit="1" customWidth="1"/>
    <col min="7" max="7" width="20.25" bestFit="1" customWidth="1"/>
  </cols>
  <sheetData>
    <row r="2" spans="2:7">
      <c r="B2" s="73" t="s">
        <v>133</v>
      </c>
      <c r="C2" s="286" t="s">
        <v>0</v>
      </c>
      <c r="D2" s="287"/>
      <c r="E2" s="286" t="s">
        <v>1</v>
      </c>
      <c r="F2" s="287"/>
      <c r="G2" s="73" t="s">
        <v>120</v>
      </c>
    </row>
    <row r="3" spans="2:7">
      <c r="B3" s="74">
        <f>ROW()-2</f>
        <v>1</v>
      </c>
      <c r="C3" s="77" t="s">
        <v>2</v>
      </c>
      <c r="D3" s="67">
        <v>840585</v>
      </c>
      <c r="E3" s="77" t="s">
        <v>119</v>
      </c>
      <c r="F3" s="67">
        <f>D3</f>
        <v>840585</v>
      </c>
      <c r="G3" s="70" t="s">
        <v>131</v>
      </c>
    </row>
    <row r="4" spans="2:7">
      <c r="B4" s="74">
        <f t="shared" ref="B4:B32" si="0">ROW()-2</f>
        <v>2</v>
      </c>
      <c r="C4" s="78" t="s">
        <v>117</v>
      </c>
      <c r="D4" s="68">
        <v>504000</v>
      </c>
      <c r="E4" s="78" t="s">
        <v>134</v>
      </c>
      <c r="F4" s="81">
        <v>25000</v>
      </c>
      <c r="G4" s="71"/>
    </row>
    <row r="5" spans="2:7">
      <c r="B5" s="74">
        <f t="shared" si="0"/>
        <v>3</v>
      </c>
      <c r="C5" s="78" t="s">
        <v>118</v>
      </c>
      <c r="D5" s="68">
        <v>150000</v>
      </c>
      <c r="E5" s="78" t="s">
        <v>63</v>
      </c>
      <c r="F5" s="81">
        <v>25000</v>
      </c>
      <c r="G5" s="71"/>
    </row>
    <row r="6" spans="2:7">
      <c r="B6" s="74">
        <f t="shared" si="0"/>
        <v>4</v>
      </c>
      <c r="C6" s="78" t="s">
        <v>5</v>
      </c>
      <c r="D6" s="68">
        <v>200000</v>
      </c>
      <c r="E6" s="78" t="s">
        <v>121</v>
      </c>
      <c r="F6" s="68">
        <f>D6/2</f>
        <v>100000</v>
      </c>
      <c r="G6" s="71" t="s">
        <v>161</v>
      </c>
    </row>
    <row r="7" spans="2:7">
      <c r="B7" s="74">
        <f t="shared" si="0"/>
        <v>5</v>
      </c>
      <c r="C7" s="78" t="s">
        <v>122</v>
      </c>
      <c r="D7" s="68">
        <v>10000</v>
      </c>
      <c r="E7" s="78" t="s">
        <v>124</v>
      </c>
      <c r="F7" s="81">
        <v>2140</v>
      </c>
      <c r="G7" s="71"/>
    </row>
    <row r="8" spans="2:7">
      <c r="B8" s="74">
        <f t="shared" si="0"/>
        <v>6</v>
      </c>
      <c r="C8" s="78"/>
      <c r="D8" s="68"/>
      <c r="E8" s="78" t="s">
        <v>137</v>
      </c>
      <c r="F8" s="68">
        <v>10000</v>
      </c>
      <c r="G8" s="71"/>
    </row>
    <row r="9" spans="2:7">
      <c r="B9" s="74">
        <f t="shared" si="0"/>
        <v>7</v>
      </c>
      <c r="C9" s="78"/>
      <c r="D9" s="68"/>
      <c r="E9" s="78" t="s">
        <v>141</v>
      </c>
      <c r="F9" s="81">
        <v>2000</v>
      </c>
      <c r="G9" s="71" t="s">
        <v>144</v>
      </c>
    </row>
    <row r="10" spans="2:7">
      <c r="B10" s="74">
        <f t="shared" si="0"/>
        <v>8</v>
      </c>
      <c r="C10" s="78"/>
      <c r="D10" s="68"/>
      <c r="E10" s="78" t="s">
        <v>143</v>
      </c>
      <c r="F10" s="68">
        <v>0</v>
      </c>
      <c r="G10" s="71" t="s">
        <v>140</v>
      </c>
    </row>
    <row r="11" spans="2:7">
      <c r="B11" s="74">
        <f t="shared" si="0"/>
        <v>9</v>
      </c>
      <c r="C11" s="78"/>
      <c r="D11" s="68"/>
      <c r="E11" s="78" t="s">
        <v>142</v>
      </c>
      <c r="F11" s="81">
        <v>49513</v>
      </c>
      <c r="G11" s="71" t="s">
        <v>132</v>
      </c>
    </row>
    <row r="12" spans="2:7">
      <c r="B12" s="74">
        <f t="shared" si="0"/>
        <v>10</v>
      </c>
      <c r="C12" s="78"/>
      <c r="D12" s="68"/>
      <c r="E12" s="78" t="s">
        <v>135</v>
      </c>
      <c r="F12" s="68">
        <v>14000</v>
      </c>
      <c r="G12" s="71"/>
    </row>
    <row r="13" spans="2:7">
      <c r="B13" s="74">
        <f t="shared" si="0"/>
        <v>11</v>
      </c>
      <c r="C13" s="78"/>
      <c r="D13" s="68"/>
      <c r="E13" s="78" t="s">
        <v>136</v>
      </c>
      <c r="F13" s="68">
        <v>4000</v>
      </c>
      <c r="G13" s="71"/>
    </row>
    <row r="14" spans="2:7">
      <c r="B14" s="74">
        <f t="shared" si="0"/>
        <v>12</v>
      </c>
      <c r="C14" s="78"/>
      <c r="D14" s="68"/>
      <c r="E14" s="78" t="s">
        <v>151</v>
      </c>
      <c r="F14" s="68">
        <v>58000</v>
      </c>
      <c r="G14" s="71"/>
    </row>
    <row r="15" spans="2:7">
      <c r="B15" s="74">
        <f t="shared" si="0"/>
        <v>13</v>
      </c>
      <c r="C15" s="78"/>
      <c r="D15" s="68"/>
      <c r="E15" s="78" t="s">
        <v>123</v>
      </c>
      <c r="F15" s="68">
        <v>80000</v>
      </c>
      <c r="G15" s="71"/>
    </row>
    <row r="16" spans="2:7">
      <c r="B16" s="74">
        <f t="shared" si="0"/>
        <v>14</v>
      </c>
      <c r="C16" s="78"/>
      <c r="D16" s="68"/>
      <c r="E16" s="78" t="s">
        <v>152</v>
      </c>
      <c r="F16" s="68">
        <v>350000</v>
      </c>
      <c r="G16" s="71"/>
    </row>
    <row r="17" spans="2:7">
      <c r="B17" s="74">
        <f t="shared" si="0"/>
        <v>15</v>
      </c>
      <c r="C17" s="78"/>
      <c r="D17" s="68"/>
      <c r="E17" s="78" t="s">
        <v>153</v>
      </c>
      <c r="F17" s="68">
        <v>0</v>
      </c>
      <c r="G17" s="71"/>
    </row>
    <row r="18" spans="2:7">
      <c r="B18" s="74">
        <f t="shared" si="0"/>
        <v>16</v>
      </c>
      <c r="C18" s="78"/>
      <c r="D18" s="68"/>
      <c r="E18" s="78" t="s">
        <v>154</v>
      </c>
      <c r="F18" s="68">
        <v>0</v>
      </c>
      <c r="G18" s="71" t="s">
        <v>150</v>
      </c>
    </row>
    <row r="19" spans="2:7">
      <c r="B19" s="74">
        <f t="shared" si="0"/>
        <v>17</v>
      </c>
      <c r="C19" s="78"/>
      <c r="D19" s="68"/>
      <c r="E19" s="78" t="s">
        <v>139</v>
      </c>
      <c r="F19" s="68">
        <v>15000</v>
      </c>
      <c r="G19" s="71" t="s">
        <v>159</v>
      </c>
    </row>
    <row r="20" spans="2:7">
      <c r="B20" s="74">
        <f t="shared" si="0"/>
        <v>18</v>
      </c>
      <c r="C20" s="78"/>
      <c r="D20" s="68"/>
      <c r="E20" s="78" t="s">
        <v>155</v>
      </c>
      <c r="F20" s="68">
        <v>0</v>
      </c>
      <c r="G20" s="71" t="s">
        <v>156</v>
      </c>
    </row>
    <row r="21" spans="2:7">
      <c r="B21" s="74">
        <f t="shared" si="0"/>
        <v>19</v>
      </c>
      <c r="C21" s="78"/>
      <c r="D21" s="68"/>
      <c r="E21" s="78" t="s">
        <v>158</v>
      </c>
      <c r="F21" s="68">
        <v>0</v>
      </c>
      <c r="G21" s="71" t="s">
        <v>157</v>
      </c>
    </row>
    <row r="22" spans="2:7">
      <c r="B22" s="74">
        <f t="shared" si="0"/>
        <v>20</v>
      </c>
      <c r="C22" s="78"/>
      <c r="D22" s="68"/>
      <c r="E22" s="78" t="s">
        <v>125</v>
      </c>
      <c r="F22" s="68">
        <v>5500</v>
      </c>
      <c r="G22" s="71" t="s">
        <v>138</v>
      </c>
    </row>
    <row r="23" spans="2:7">
      <c r="B23" s="74">
        <f t="shared" si="0"/>
        <v>21</v>
      </c>
      <c r="C23" s="78"/>
      <c r="D23" s="68"/>
      <c r="E23" s="78" t="s">
        <v>126</v>
      </c>
      <c r="F23" s="68">
        <v>0</v>
      </c>
      <c r="G23" s="71"/>
    </row>
    <row r="24" spans="2:7">
      <c r="B24" s="74">
        <f t="shared" si="0"/>
        <v>22</v>
      </c>
      <c r="C24" s="78"/>
      <c r="D24" s="68"/>
      <c r="E24" s="78" t="s">
        <v>7</v>
      </c>
      <c r="F24" s="68">
        <v>35000</v>
      </c>
      <c r="G24" s="71" t="s">
        <v>160</v>
      </c>
    </row>
    <row r="25" spans="2:7">
      <c r="B25" s="74">
        <f t="shared" si="0"/>
        <v>23</v>
      </c>
      <c r="C25" s="78"/>
      <c r="D25" s="68"/>
      <c r="E25" s="78" t="s">
        <v>127</v>
      </c>
      <c r="F25" s="68">
        <v>6000</v>
      </c>
      <c r="G25" s="71" t="s">
        <v>146</v>
      </c>
    </row>
    <row r="26" spans="2:7">
      <c r="B26" s="74">
        <f t="shared" si="0"/>
        <v>24</v>
      </c>
      <c r="C26" s="78"/>
      <c r="D26" s="68"/>
      <c r="E26" s="78" t="s">
        <v>128</v>
      </c>
      <c r="F26" s="68">
        <v>10000</v>
      </c>
      <c r="G26" s="71"/>
    </row>
    <row r="27" spans="2:7">
      <c r="B27" s="74">
        <f t="shared" si="0"/>
        <v>25</v>
      </c>
      <c r="C27" s="78"/>
      <c r="D27" s="68"/>
      <c r="E27" s="78" t="s">
        <v>145</v>
      </c>
      <c r="F27" s="68">
        <v>8000</v>
      </c>
      <c r="G27" s="71"/>
    </row>
    <row r="28" spans="2:7">
      <c r="B28" s="74">
        <f t="shared" si="0"/>
        <v>26</v>
      </c>
      <c r="C28" s="78"/>
      <c r="D28" s="68"/>
      <c r="E28" s="78" t="s">
        <v>129</v>
      </c>
      <c r="F28" s="68">
        <v>30000</v>
      </c>
      <c r="G28" s="71"/>
    </row>
    <row r="29" spans="2:7">
      <c r="B29" s="74">
        <f t="shared" si="0"/>
        <v>27</v>
      </c>
      <c r="C29" s="78"/>
      <c r="D29" s="68"/>
      <c r="E29" s="78"/>
      <c r="F29" s="68"/>
      <c r="G29" s="71"/>
    </row>
    <row r="30" spans="2:7">
      <c r="B30" s="74">
        <f t="shared" si="0"/>
        <v>28</v>
      </c>
      <c r="C30" s="78" t="s">
        <v>130</v>
      </c>
      <c r="D30" s="68">
        <f>SUM(D3:D29)</f>
        <v>1704585</v>
      </c>
      <c r="E30" s="78"/>
      <c r="F30" s="68">
        <f>SUM(F3:F29)</f>
        <v>1669738</v>
      </c>
      <c r="G30" s="71"/>
    </row>
    <row r="31" spans="2:7">
      <c r="B31" s="75">
        <f t="shared" si="0"/>
        <v>29</v>
      </c>
      <c r="C31" s="79" t="s">
        <v>147</v>
      </c>
      <c r="D31" s="69">
        <f>D30-D3</f>
        <v>864000</v>
      </c>
      <c r="E31" s="79" t="s">
        <v>148</v>
      </c>
      <c r="F31" s="69">
        <f>F30-F3</f>
        <v>829153</v>
      </c>
      <c r="G31" s="72"/>
    </row>
    <row r="32" spans="2:7">
      <c r="B32" s="75">
        <f t="shared" si="0"/>
        <v>30</v>
      </c>
      <c r="C32" s="79"/>
      <c r="D32" s="69"/>
      <c r="E32" s="79" t="s">
        <v>149</v>
      </c>
      <c r="F32" s="80">
        <f>D31-F31</f>
        <v>34847</v>
      </c>
      <c r="G32" s="72"/>
    </row>
    <row r="33" spans="6:6">
      <c r="F33" s="66"/>
    </row>
    <row r="34" spans="6:6">
      <c r="F34" s="66"/>
    </row>
  </sheetData>
  <mergeCells count="2">
    <mergeCell ref="C2:D2"/>
    <mergeCell ref="E2:F2"/>
  </mergeCells>
  <phoneticPr fontId="1"/>
  <pageMargins left="0.70866141732283472" right="0.70866141732283472" top="0.74803149606299213" bottom="0.74803149606299213" header="0.31496062992125984" footer="0.31496062992125984"/>
  <pageSetup paperSize="9" scale="81" orientation="portrait" r:id="rId1"/>
  <headerFooter>
    <oddHeader>&amp;C&amp;A&amp;R&amp;D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2:S96"/>
  <sheetViews>
    <sheetView zoomScale="70" zoomScaleNormal="70" workbookViewId="0">
      <selection activeCell="S29" sqref="S29"/>
    </sheetView>
  </sheetViews>
  <sheetFormatPr defaultColWidth="9" defaultRowHeight="35.1" customHeight="1"/>
  <cols>
    <col min="1" max="1" width="8" style="13" customWidth="1"/>
    <col min="2" max="2" width="10.625" style="14" customWidth="1"/>
    <col min="3" max="3" width="20.625" style="13" customWidth="1"/>
    <col min="4" max="5" width="5.625" style="13" customWidth="1"/>
    <col min="6" max="6" width="30.625" style="14" customWidth="1"/>
    <col min="7" max="8" width="5.625" style="13" customWidth="1"/>
    <col min="9" max="9" width="30.625" style="14" customWidth="1"/>
    <col min="10" max="11" width="5.625" style="13" customWidth="1"/>
    <col min="12" max="12" width="30.625" style="14" customWidth="1"/>
    <col min="13" max="14" width="5.625" style="13" customWidth="1"/>
    <col min="15" max="15" width="30.625" style="14" customWidth="1"/>
    <col min="16" max="17" width="5.625" style="13" customWidth="1"/>
    <col min="18" max="18" width="30.625" style="14" customWidth="1"/>
    <col min="19" max="19" width="5.625" style="13" customWidth="1"/>
    <col min="20" max="16384" width="9" style="13"/>
  </cols>
  <sheetData>
    <row r="2" spans="1:19" ht="35.1" customHeight="1">
      <c r="F2" s="15" t="s">
        <v>99</v>
      </c>
      <c r="I2" s="15" t="s">
        <v>91</v>
      </c>
      <c r="L2" s="15" t="s">
        <v>97</v>
      </c>
      <c r="O2" s="15" t="s">
        <v>98</v>
      </c>
    </row>
    <row r="3" spans="1:19" ht="35.1" customHeight="1">
      <c r="B3" s="288" t="s">
        <v>0</v>
      </c>
      <c r="C3" s="289">
        <f>SUM(F4:R4)</f>
        <v>1648821</v>
      </c>
      <c r="E3" s="18"/>
      <c r="F3" s="16" t="s">
        <v>2</v>
      </c>
      <c r="I3" s="16" t="s">
        <v>3</v>
      </c>
      <c r="L3" s="16" t="s">
        <v>4</v>
      </c>
      <c r="O3" s="16" t="s">
        <v>5</v>
      </c>
      <c r="R3" s="16" t="s">
        <v>55</v>
      </c>
    </row>
    <row r="4" spans="1:19" s="19" customFormat="1" ht="35.1" customHeight="1">
      <c r="B4" s="288"/>
      <c r="C4" s="289"/>
      <c r="F4" s="20">
        <v>856821</v>
      </c>
      <c r="I4" s="17">
        <v>475000</v>
      </c>
      <c r="L4" s="17">
        <v>176000</v>
      </c>
      <c r="O4" s="20">
        <v>141000</v>
      </c>
      <c r="R4" s="20">
        <v>0</v>
      </c>
    </row>
    <row r="5" spans="1:19" ht="35.1" customHeight="1">
      <c r="B5" s="61" t="s">
        <v>109</v>
      </c>
      <c r="C5" s="62">
        <f>C3-F4</f>
        <v>792000</v>
      </c>
      <c r="I5" s="21"/>
      <c r="L5" s="21"/>
      <c r="O5" s="21"/>
    </row>
    <row r="6" spans="1:19" ht="35.1" customHeight="1">
      <c r="B6" s="290" t="s">
        <v>1</v>
      </c>
      <c r="C6" s="289">
        <f>SUM(F7:R7)</f>
        <v>1841452</v>
      </c>
      <c r="F6" s="23" t="s">
        <v>9</v>
      </c>
      <c r="H6" s="24"/>
      <c r="I6" s="22" t="s">
        <v>95</v>
      </c>
      <c r="K6" s="25"/>
      <c r="L6" s="22" t="s">
        <v>64</v>
      </c>
      <c r="M6" s="25"/>
      <c r="O6" s="48" t="s">
        <v>10</v>
      </c>
      <c r="R6" s="23" t="s">
        <v>69</v>
      </c>
    </row>
    <row r="7" spans="1:19" ht="35.1" customHeight="1">
      <c r="A7" s="19"/>
      <c r="B7" s="290"/>
      <c r="C7" s="289"/>
      <c r="D7" s="19"/>
      <c r="F7" s="20">
        <f>F4</f>
        <v>856821</v>
      </c>
      <c r="H7" s="24"/>
      <c r="I7" s="17">
        <f>SUM(I10:I17)</f>
        <v>30000</v>
      </c>
      <c r="K7" s="25"/>
      <c r="L7" s="17">
        <f>SUM(L10:L85)+SUM(R13:R29)</f>
        <v>813631</v>
      </c>
      <c r="M7" s="25"/>
      <c r="O7" s="49">
        <f>O4</f>
        <v>141000</v>
      </c>
      <c r="R7" s="20">
        <v>0</v>
      </c>
    </row>
    <row r="8" spans="1:19" ht="40.5" customHeight="1">
      <c r="B8" s="61" t="s">
        <v>109</v>
      </c>
      <c r="C8" s="62">
        <f>C6-F7</f>
        <v>984631</v>
      </c>
      <c r="F8" s="13"/>
    </row>
    <row r="9" spans="1:19" ht="9.9499999999999993" customHeight="1">
      <c r="F9" s="13"/>
      <c r="H9" s="24"/>
      <c r="I9" s="26"/>
      <c r="K9" s="25"/>
      <c r="L9" s="27"/>
      <c r="M9" s="25"/>
      <c r="N9" s="25"/>
      <c r="O9" s="27"/>
      <c r="P9" s="25"/>
    </row>
    <row r="10" spans="1:19" ht="35.1" customHeight="1">
      <c r="F10" s="13"/>
      <c r="H10" s="24"/>
      <c r="I10" s="23" t="s">
        <v>65</v>
      </c>
      <c r="K10" s="25"/>
      <c r="L10" s="22" t="s">
        <v>63</v>
      </c>
      <c r="M10" s="28"/>
      <c r="N10" s="29"/>
      <c r="O10" s="22" t="s">
        <v>68</v>
      </c>
      <c r="P10" s="25"/>
    </row>
    <row r="11" spans="1:19" ht="35.1" customHeight="1">
      <c r="B11" s="12" t="s">
        <v>56</v>
      </c>
      <c r="C11" s="64">
        <f>C3-C6</f>
        <v>-192631</v>
      </c>
      <c r="F11" s="13"/>
      <c r="H11" s="24"/>
      <c r="I11" s="17">
        <v>2000</v>
      </c>
      <c r="K11" s="25"/>
      <c r="L11" s="46">
        <f>SUM(O10:O14)</f>
        <v>19500</v>
      </c>
      <c r="M11" s="30"/>
      <c r="N11" s="30"/>
      <c r="O11" s="31">
        <v>11000</v>
      </c>
      <c r="P11" s="25"/>
    </row>
    <row r="12" spans="1:19" ht="9.9499999999999993" customHeight="1">
      <c r="F12" s="13"/>
      <c r="H12" s="24"/>
      <c r="I12" s="26"/>
      <c r="K12" s="25"/>
      <c r="L12" s="27"/>
      <c r="M12" s="25"/>
      <c r="N12" s="32"/>
      <c r="O12" s="27"/>
      <c r="P12" s="25"/>
      <c r="Q12" s="25"/>
      <c r="R12" s="27"/>
      <c r="S12" s="25"/>
    </row>
    <row r="13" spans="1:19" ht="35.1" customHeight="1">
      <c r="F13" s="13"/>
      <c r="H13" s="24"/>
      <c r="I13" s="23" t="s">
        <v>84</v>
      </c>
      <c r="K13" s="25"/>
      <c r="L13" s="27"/>
      <c r="M13" s="25"/>
      <c r="N13" s="33"/>
      <c r="O13" s="22" t="s">
        <v>12</v>
      </c>
      <c r="P13" s="25"/>
      <c r="Q13" s="25"/>
      <c r="R13" s="63" t="s">
        <v>8</v>
      </c>
      <c r="S13" s="25"/>
    </row>
    <row r="14" spans="1:19" ht="35.1" customHeight="1">
      <c r="F14" s="13"/>
      <c r="H14" s="24"/>
      <c r="I14" s="17">
        <v>25000</v>
      </c>
      <c r="K14" s="25"/>
      <c r="L14" s="27"/>
      <c r="M14" s="25"/>
      <c r="N14" s="25"/>
      <c r="O14" s="31">
        <v>8500</v>
      </c>
      <c r="P14" s="25"/>
      <c r="Q14" s="25"/>
      <c r="R14" s="46">
        <v>60000</v>
      </c>
      <c r="S14" s="25"/>
    </row>
    <row r="15" spans="1:19" ht="9.9499999999999993" customHeight="1">
      <c r="F15" s="13"/>
      <c r="H15" s="24"/>
      <c r="I15" s="26"/>
      <c r="K15" s="25"/>
      <c r="L15" s="27"/>
      <c r="M15" s="25"/>
      <c r="N15" s="25"/>
      <c r="O15" s="27"/>
      <c r="P15" s="25"/>
      <c r="Q15" s="25"/>
      <c r="R15" s="27"/>
      <c r="S15" s="25"/>
    </row>
    <row r="16" spans="1:19" ht="35.1" customHeight="1">
      <c r="F16" s="13"/>
      <c r="H16" s="24"/>
      <c r="I16" s="22" t="s">
        <v>6</v>
      </c>
      <c r="K16" s="25"/>
      <c r="L16" s="22" t="s">
        <v>17</v>
      </c>
      <c r="M16" s="34"/>
      <c r="N16" s="29"/>
      <c r="O16" s="23" t="s">
        <v>83</v>
      </c>
      <c r="P16" s="25"/>
      <c r="Q16" s="25"/>
      <c r="R16" s="22" t="s">
        <v>96</v>
      </c>
      <c r="S16" s="25"/>
    </row>
    <row r="17" spans="8:19" ht="35.1" customHeight="1">
      <c r="H17" s="24"/>
      <c r="I17" s="17">
        <v>3000</v>
      </c>
      <c r="K17" s="25"/>
      <c r="L17" s="17">
        <f>SUM(O16:O34)</f>
        <v>62113</v>
      </c>
      <c r="M17" s="25"/>
      <c r="N17" s="35"/>
      <c r="O17" s="31">
        <v>8000</v>
      </c>
      <c r="P17" s="36"/>
      <c r="Q17" s="25"/>
      <c r="R17" s="37">
        <v>10340</v>
      </c>
      <c r="S17" s="25"/>
    </row>
    <row r="18" spans="8:19" ht="9.9499999999999993" customHeight="1">
      <c r="H18" s="24"/>
      <c r="I18" s="38"/>
      <c r="K18" s="25"/>
      <c r="L18" s="39"/>
      <c r="M18" s="25"/>
      <c r="N18" s="32"/>
      <c r="O18" s="27"/>
      <c r="P18" s="25"/>
      <c r="Q18" s="25"/>
      <c r="R18" s="40"/>
      <c r="S18" s="25"/>
    </row>
    <row r="19" spans="8:19" ht="35.1" customHeight="1">
      <c r="K19" s="36"/>
      <c r="L19" s="27"/>
      <c r="M19" s="25"/>
      <c r="N19" s="33"/>
      <c r="O19" s="23" t="s">
        <v>86</v>
      </c>
      <c r="P19" s="25"/>
      <c r="Q19" s="25"/>
      <c r="R19" s="23" t="s">
        <v>108</v>
      </c>
      <c r="S19" s="25"/>
    </row>
    <row r="20" spans="8:19" ht="35.1" customHeight="1">
      <c r="K20" s="25"/>
      <c r="L20" s="27"/>
      <c r="M20" s="25"/>
      <c r="N20" s="32"/>
      <c r="O20" s="31">
        <v>9256</v>
      </c>
      <c r="P20" s="25"/>
      <c r="Q20" s="25"/>
      <c r="R20" s="17">
        <v>5000</v>
      </c>
      <c r="S20" s="41"/>
    </row>
    <row r="21" spans="8:19" ht="9.9499999999999993" customHeight="1">
      <c r="K21" s="25"/>
      <c r="L21" s="27"/>
      <c r="M21" s="25"/>
      <c r="N21" s="32"/>
      <c r="O21" s="27"/>
      <c r="P21" s="25"/>
      <c r="Q21" s="25"/>
      <c r="R21" s="40"/>
      <c r="S21" s="25"/>
    </row>
    <row r="22" spans="8:19" ht="35.1" customHeight="1">
      <c r="K22" s="25"/>
      <c r="L22" s="27"/>
      <c r="M22" s="25"/>
      <c r="N22" s="33"/>
      <c r="O22" s="23" t="s">
        <v>92</v>
      </c>
      <c r="P22" s="25"/>
      <c r="Q22" s="25"/>
      <c r="R22" s="23" t="s">
        <v>70</v>
      </c>
      <c r="S22" s="25"/>
    </row>
    <row r="23" spans="8:19" ht="35.1" customHeight="1">
      <c r="K23" s="25"/>
      <c r="L23" s="27"/>
      <c r="M23" s="25"/>
      <c r="N23" s="32"/>
      <c r="O23" s="31">
        <f>5978+419+2016+12257</f>
        <v>20670</v>
      </c>
      <c r="P23" s="25"/>
      <c r="Q23" s="25"/>
      <c r="R23" s="17">
        <v>10000</v>
      </c>
      <c r="S23" s="41"/>
    </row>
    <row r="24" spans="8:19" ht="9.9499999999999993" customHeight="1">
      <c r="K24" s="25"/>
      <c r="L24" s="27"/>
      <c r="M24" s="25"/>
      <c r="N24" s="32"/>
      <c r="O24" s="27"/>
      <c r="P24" s="25"/>
      <c r="Q24" s="25"/>
      <c r="R24" s="40"/>
      <c r="S24" s="25"/>
    </row>
    <row r="25" spans="8:19" ht="35.1" customHeight="1">
      <c r="K25" s="25"/>
      <c r="L25" s="27"/>
      <c r="M25" s="25"/>
      <c r="N25" s="33"/>
      <c r="O25" s="23" t="s">
        <v>93</v>
      </c>
      <c r="P25" s="25"/>
      <c r="Q25" s="25"/>
      <c r="R25" s="23" t="s">
        <v>90</v>
      </c>
      <c r="S25" s="25"/>
    </row>
    <row r="26" spans="8:19" ht="35.1" customHeight="1">
      <c r="K26" s="25"/>
      <c r="L26" s="27"/>
      <c r="M26" s="25"/>
      <c r="N26" s="32"/>
      <c r="O26" s="31">
        <v>12912</v>
      </c>
      <c r="P26" s="25"/>
      <c r="Q26" s="25"/>
      <c r="R26" s="17">
        <f>1451+740</f>
        <v>2191</v>
      </c>
      <c r="S26" s="41"/>
    </row>
    <row r="27" spans="8:19" ht="9.9499999999999993" customHeight="1">
      <c r="K27" s="25"/>
      <c r="L27" s="27"/>
      <c r="M27" s="25"/>
      <c r="N27" s="32"/>
      <c r="O27" s="27"/>
      <c r="P27" s="25"/>
      <c r="Q27" s="25"/>
      <c r="R27" s="27"/>
      <c r="S27" s="25"/>
    </row>
    <row r="28" spans="8:19" ht="35.1" customHeight="1">
      <c r="K28" s="25"/>
      <c r="L28" s="27"/>
      <c r="M28" s="25"/>
      <c r="N28" s="33"/>
      <c r="O28" s="23" t="s">
        <v>85</v>
      </c>
      <c r="P28" s="25"/>
      <c r="Q28" s="25"/>
      <c r="R28" s="23" t="s">
        <v>79</v>
      </c>
      <c r="S28" s="25"/>
    </row>
    <row r="29" spans="8:19" ht="35.1" customHeight="1">
      <c r="K29" s="25"/>
      <c r="L29" s="27"/>
      <c r="M29" s="25"/>
      <c r="N29" s="32"/>
      <c r="O29" s="31"/>
      <c r="P29" s="25"/>
      <c r="Q29" s="25"/>
      <c r="R29" s="17">
        <v>11520</v>
      </c>
      <c r="S29" s="41" t="s">
        <v>94</v>
      </c>
    </row>
    <row r="30" spans="8:19" ht="9.9499999999999993" customHeight="1">
      <c r="K30" s="25"/>
      <c r="L30" s="27"/>
      <c r="M30" s="25"/>
      <c r="N30" s="32"/>
      <c r="O30" s="27"/>
      <c r="P30" s="25"/>
      <c r="Q30" s="25"/>
      <c r="R30" s="27"/>
      <c r="S30" s="25"/>
    </row>
    <row r="31" spans="8:19" ht="35.1" customHeight="1">
      <c r="K31" s="25"/>
      <c r="L31" s="27"/>
      <c r="M31" s="25"/>
      <c r="N31" s="33"/>
      <c r="O31" s="23" t="s">
        <v>19</v>
      </c>
      <c r="P31" s="25"/>
    </row>
    <row r="32" spans="8:19" ht="35.1" customHeight="1">
      <c r="K32" s="25"/>
      <c r="L32" s="27"/>
      <c r="M32" s="25"/>
      <c r="N32" s="42"/>
      <c r="O32" s="31">
        <v>8100</v>
      </c>
      <c r="P32" s="41" t="s">
        <v>74</v>
      </c>
    </row>
    <row r="33" spans="11:16" ht="35.1" customHeight="1">
      <c r="K33" s="25"/>
      <c r="L33" s="27"/>
      <c r="M33" s="25"/>
      <c r="N33" s="43"/>
      <c r="O33" s="31">
        <v>2095</v>
      </c>
      <c r="P33" s="41" t="s">
        <v>75</v>
      </c>
    </row>
    <row r="34" spans="11:16" ht="35.1" customHeight="1">
      <c r="K34" s="25"/>
      <c r="L34" s="27"/>
      <c r="M34" s="25"/>
      <c r="N34" s="43"/>
      <c r="O34" s="31">
        <v>1080</v>
      </c>
      <c r="P34" s="41" t="s">
        <v>76</v>
      </c>
    </row>
    <row r="35" spans="11:16" ht="9.9499999999999993" customHeight="1">
      <c r="K35" s="25"/>
      <c r="L35" s="27"/>
      <c r="M35" s="25"/>
      <c r="N35" s="25"/>
      <c r="O35" s="27"/>
      <c r="P35" s="25"/>
    </row>
    <row r="36" spans="11:16" ht="35.1" customHeight="1">
      <c r="K36" s="25"/>
      <c r="L36" s="22" t="s">
        <v>11</v>
      </c>
      <c r="M36" s="28"/>
      <c r="N36" s="29"/>
      <c r="O36" s="23" t="s">
        <v>71</v>
      </c>
      <c r="P36" s="25"/>
    </row>
    <row r="37" spans="11:16" ht="35.1" customHeight="1">
      <c r="K37" s="25"/>
      <c r="L37" s="17">
        <f>SUM(O36:O40)</f>
        <v>19000</v>
      </c>
      <c r="M37" s="30"/>
      <c r="N37" s="30"/>
      <c r="O37" s="47">
        <v>9500</v>
      </c>
      <c r="P37" s="25"/>
    </row>
    <row r="38" spans="11:16" ht="9.9499999999999993" customHeight="1">
      <c r="K38" s="25"/>
      <c r="L38" s="27"/>
      <c r="M38" s="25"/>
      <c r="N38" s="32"/>
      <c r="O38" s="27"/>
      <c r="P38" s="25"/>
    </row>
    <row r="39" spans="11:16" ht="35.1" customHeight="1">
      <c r="K39" s="25"/>
      <c r="L39" s="27"/>
      <c r="M39" s="25"/>
      <c r="N39" s="33"/>
      <c r="O39" s="23" t="s">
        <v>77</v>
      </c>
      <c r="P39" s="41"/>
    </row>
    <row r="40" spans="11:16" ht="35.1" customHeight="1">
      <c r="K40" s="25"/>
      <c r="L40" s="27"/>
      <c r="M40" s="25"/>
      <c r="N40" s="25"/>
      <c r="O40" s="47">
        <v>9500</v>
      </c>
      <c r="P40" s="41" t="s">
        <v>78</v>
      </c>
    </row>
    <row r="41" spans="11:16" ht="9.9499999999999993" customHeight="1">
      <c r="K41" s="25"/>
      <c r="L41" s="27"/>
      <c r="M41" s="25"/>
      <c r="N41" s="25"/>
      <c r="O41" s="27"/>
      <c r="P41" s="25"/>
    </row>
    <row r="42" spans="11:16" ht="35.1" customHeight="1">
      <c r="K42" s="25"/>
      <c r="L42" s="22" t="s">
        <v>7</v>
      </c>
      <c r="M42" s="25"/>
      <c r="N42" s="25"/>
      <c r="O42" s="22" t="s">
        <v>16</v>
      </c>
      <c r="P42" s="25"/>
    </row>
    <row r="43" spans="11:16" ht="35.1" customHeight="1">
      <c r="K43" s="25"/>
      <c r="L43" s="17">
        <f>SUM(O43)</f>
        <v>3500</v>
      </c>
      <c r="M43" s="30"/>
      <c r="N43" s="42"/>
      <c r="O43" s="31">
        <v>3500</v>
      </c>
      <c r="P43" s="25"/>
    </row>
    <row r="44" spans="11:16" ht="9.9499999999999993" customHeight="1">
      <c r="K44" s="25"/>
      <c r="L44" s="27"/>
      <c r="M44" s="25"/>
      <c r="N44" s="25"/>
      <c r="O44" s="27"/>
      <c r="P44" s="25"/>
    </row>
    <row r="45" spans="11:16" ht="35.1" customHeight="1">
      <c r="K45" s="25"/>
      <c r="L45" s="48" t="s">
        <v>67</v>
      </c>
      <c r="M45" s="28"/>
      <c r="N45" s="29"/>
      <c r="O45" s="48" t="s">
        <v>105</v>
      </c>
      <c r="P45" s="25"/>
    </row>
    <row r="46" spans="11:16" ht="35.1" customHeight="1">
      <c r="K46" s="25"/>
      <c r="L46" s="56">
        <f>SUM(O45:O49)</f>
        <v>45363</v>
      </c>
      <c r="M46" s="30"/>
      <c r="N46" s="30"/>
      <c r="O46" s="55">
        <f>(84348+45540)/900*300</f>
        <v>43296</v>
      </c>
      <c r="P46" s="25"/>
    </row>
    <row r="47" spans="11:16" ht="9.9499999999999993" customHeight="1">
      <c r="K47" s="25"/>
      <c r="L47" s="27"/>
      <c r="M47" s="25"/>
      <c r="N47" s="32"/>
      <c r="O47" s="27"/>
      <c r="P47" s="25"/>
    </row>
    <row r="48" spans="11:16" ht="35.1" customHeight="1">
      <c r="K48" s="25"/>
      <c r="L48" s="27"/>
      <c r="M48" s="25"/>
      <c r="N48" s="33"/>
      <c r="O48" s="54" t="s">
        <v>107</v>
      </c>
      <c r="P48" s="25"/>
    </row>
    <row r="49" spans="11:16" ht="35.1" customHeight="1">
      <c r="K49" s="25"/>
      <c r="L49" s="27"/>
      <c r="M49" s="25"/>
      <c r="N49" s="25"/>
      <c r="O49" s="55">
        <v>2067</v>
      </c>
      <c r="P49" s="25"/>
    </row>
    <row r="50" spans="11:16" ht="9.9499999999999993" customHeight="1">
      <c r="K50" s="25"/>
      <c r="L50" s="27"/>
      <c r="M50" s="25"/>
      <c r="N50" s="25"/>
      <c r="O50" s="27"/>
      <c r="P50" s="25"/>
    </row>
    <row r="51" spans="11:16" ht="35.1" customHeight="1">
      <c r="K51" s="25"/>
      <c r="L51" s="52" t="s">
        <v>66</v>
      </c>
      <c r="M51" s="34"/>
      <c r="N51" s="57" t="s">
        <v>58</v>
      </c>
      <c r="O51" s="23" t="s">
        <v>18</v>
      </c>
      <c r="P51" s="25"/>
    </row>
    <row r="52" spans="11:16" ht="35.1" customHeight="1">
      <c r="K52" s="25"/>
      <c r="L52" s="53">
        <v>353900</v>
      </c>
      <c r="M52" s="25"/>
      <c r="N52" s="58"/>
      <c r="O52" s="31"/>
      <c r="P52" s="25"/>
    </row>
    <row r="53" spans="11:16" ht="9.9499999999999993" customHeight="1">
      <c r="K53" s="25"/>
      <c r="L53" s="27"/>
      <c r="M53" s="25"/>
      <c r="N53" s="59"/>
      <c r="O53" s="27"/>
      <c r="P53" s="25"/>
    </row>
    <row r="54" spans="11:16" ht="35.1" customHeight="1">
      <c r="K54" s="25"/>
      <c r="L54" s="27"/>
      <c r="M54" s="25"/>
      <c r="N54" s="60" t="s">
        <v>58</v>
      </c>
      <c r="O54" s="23" t="s">
        <v>100</v>
      </c>
      <c r="P54" s="25"/>
    </row>
    <row r="55" spans="11:16" ht="35.1" customHeight="1">
      <c r="K55" s="25"/>
      <c r="L55" s="27"/>
      <c r="M55" s="25"/>
      <c r="N55" s="59"/>
      <c r="O55" s="31"/>
      <c r="P55" s="25"/>
    </row>
    <row r="56" spans="11:16" ht="9.9499999999999993" customHeight="1">
      <c r="K56" s="25"/>
      <c r="L56" s="27"/>
      <c r="M56" s="25"/>
      <c r="N56" s="59"/>
      <c r="O56" s="27"/>
      <c r="P56" s="25"/>
    </row>
    <row r="57" spans="11:16" ht="35.1" customHeight="1">
      <c r="K57" s="25"/>
      <c r="L57" s="27"/>
      <c r="M57" s="25"/>
      <c r="N57" s="60" t="s">
        <v>58</v>
      </c>
      <c r="O57" s="23" t="s">
        <v>60</v>
      </c>
      <c r="P57" s="25"/>
    </row>
    <row r="58" spans="11:16" ht="35.1" customHeight="1">
      <c r="K58" s="25"/>
      <c r="L58" s="27"/>
      <c r="M58" s="25"/>
      <c r="N58" s="59"/>
      <c r="O58" s="31"/>
      <c r="P58" s="25"/>
    </row>
    <row r="59" spans="11:16" ht="9.9499999999999993" customHeight="1">
      <c r="K59" s="25"/>
      <c r="L59" s="27"/>
      <c r="M59" s="25"/>
      <c r="N59" s="59"/>
      <c r="O59" s="27"/>
      <c r="P59" s="25"/>
    </row>
    <row r="60" spans="11:16" ht="35.1" customHeight="1">
      <c r="K60" s="25"/>
      <c r="L60" s="27"/>
      <c r="M60" s="25"/>
      <c r="N60" s="60" t="s">
        <v>59</v>
      </c>
      <c r="O60" s="23" t="s">
        <v>61</v>
      </c>
      <c r="P60" s="25"/>
    </row>
    <row r="61" spans="11:16" ht="35.1" customHeight="1">
      <c r="K61" s="25"/>
      <c r="L61" s="27"/>
      <c r="M61" s="25"/>
      <c r="N61" s="59"/>
      <c r="O61" s="31"/>
      <c r="P61" s="25"/>
    </row>
    <row r="62" spans="11:16" ht="9.9499999999999993" customHeight="1">
      <c r="K62" s="25"/>
      <c r="L62" s="27"/>
      <c r="M62" s="25"/>
      <c r="N62" s="59"/>
      <c r="O62" s="27"/>
      <c r="P62" s="25"/>
    </row>
    <row r="63" spans="11:16" ht="35.1" customHeight="1">
      <c r="K63" s="25"/>
      <c r="L63" s="27"/>
      <c r="M63" s="25"/>
      <c r="N63" s="60" t="s">
        <v>59</v>
      </c>
      <c r="O63" s="23" t="s">
        <v>62</v>
      </c>
      <c r="P63" s="25"/>
    </row>
    <row r="64" spans="11:16" ht="35.1" customHeight="1">
      <c r="K64" s="25"/>
      <c r="L64" s="27"/>
      <c r="M64" s="25"/>
      <c r="N64" s="59"/>
      <c r="O64" s="31"/>
      <c r="P64" s="25"/>
    </row>
    <row r="65" spans="11:16" ht="9.9499999999999993" customHeight="1">
      <c r="K65" s="25"/>
      <c r="L65" s="27"/>
      <c r="M65" s="25"/>
      <c r="N65" s="59"/>
      <c r="O65" s="27"/>
      <c r="P65" s="25"/>
    </row>
    <row r="66" spans="11:16" ht="35.1" customHeight="1">
      <c r="K66" s="25"/>
      <c r="L66" s="27"/>
      <c r="M66" s="25"/>
      <c r="N66" s="60" t="s">
        <v>59</v>
      </c>
      <c r="O66" s="23" t="s">
        <v>57</v>
      </c>
      <c r="P66" s="25"/>
    </row>
    <row r="67" spans="11:16" ht="35.1" customHeight="1">
      <c r="K67" s="25"/>
      <c r="L67" s="27"/>
      <c r="M67" s="25"/>
      <c r="N67" s="59"/>
      <c r="O67" s="31"/>
      <c r="P67" s="25"/>
    </row>
    <row r="68" spans="11:16" ht="9.9499999999999993" customHeight="1">
      <c r="K68" s="25"/>
      <c r="L68" s="27"/>
      <c r="M68" s="25"/>
      <c r="N68" s="59"/>
      <c r="O68" s="27"/>
      <c r="P68" s="25"/>
    </row>
    <row r="69" spans="11:16" ht="35.1" customHeight="1">
      <c r="K69" s="25"/>
      <c r="L69" s="27"/>
      <c r="M69" s="25"/>
      <c r="N69" s="60" t="s">
        <v>59</v>
      </c>
      <c r="O69" s="23" t="s">
        <v>101</v>
      </c>
      <c r="P69" s="25"/>
    </row>
    <row r="70" spans="11:16" ht="35.1" customHeight="1">
      <c r="K70" s="25"/>
      <c r="L70" s="27"/>
      <c r="M70" s="25"/>
      <c r="N70" s="59"/>
      <c r="O70" s="31"/>
      <c r="P70" s="41" t="s">
        <v>102</v>
      </c>
    </row>
    <row r="71" spans="11:16" ht="9.9499999999999993" customHeight="1">
      <c r="K71" s="25"/>
      <c r="L71" s="27"/>
      <c r="M71" s="25"/>
      <c r="N71" s="59"/>
      <c r="O71" s="27"/>
      <c r="P71" s="25"/>
    </row>
    <row r="72" spans="11:16" ht="35.1" customHeight="1">
      <c r="K72" s="25"/>
      <c r="L72" s="27"/>
      <c r="M72" s="25"/>
      <c r="N72" s="60" t="s">
        <v>59</v>
      </c>
      <c r="O72" s="23" t="s">
        <v>60</v>
      </c>
      <c r="P72" s="32"/>
    </row>
    <row r="73" spans="11:16" ht="35.1" customHeight="1">
      <c r="K73" s="25"/>
      <c r="L73" s="27"/>
      <c r="M73" s="25"/>
      <c r="N73" s="25"/>
      <c r="O73" s="31"/>
      <c r="P73" s="32"/>
    </row>
    <row r="74" spans="11:16" ht="9.9499999999999993" customHeight="1">
      <c r="K74" s="25"/>
      <c r="L74" s="27"/>
      <c r="M74" s="25"/>
      <c r="N74" s="25"/>
      <c r="O74" s="27"/>
      <c r="P74" s="25"/>
    </row>
    <row r="75" spans="11:16" ht="35.1" customHeight="1">
      <c r="K75" s="25"/>
      <c r="L75" s="23" t="s">
        <v>73</v>
      </c>
      <c r="M75" s="34"/>
      <c r="N75" s="29"/>
      <c r="O75" s="23" t="s">
        <v>72</v>
      </c>
      <c r="P75" s="25"/>
    </row>
    <row r="76" spans="11:16" ht="35.1" customHeight="1">
      <c r="K76" s="25"/>
      <c r="L76" s="17">
        <f>SUM(O75:O82)</f>
        <v>100715</v>
      </c>
      <c r="M76" s="32"/>
      <c r="N76" s="44"/>
      <c r="O76" s="31">
        <f>47895+4200</f>
        <v>52095</v>
      </c>
      <c r="P76" s="25"/>
    </row>
    <row r="77" spans="11:16" ht="9.9499999999999993" customHeight="1">
      <c r="K77" s="25"/>
      <c r="L77" s="27"/>
      <c r="M77" s="25"/>
      <c r="N77" s="32"/>
      <c r="O77" s="27"/>
      <c r="P77" s="25"/>
    </row>
    <row r="78" spans="11:16" ht="35.1" customHeight="1">
      <c r="K78" s="25"/>
      <c r="L78" s="27"/>
      <c r="M78" s="25"/>
      <c r="N78" s="33"/>
      <c r="O78" s="23" t="s">
        <v>88</v>
      </c>
      <c r="P78" s="25"/>
    </row>
    <row r="79" spans="11:16" ht="35.1" customHeight="1">
      <c r="K79" s="25"/>
      <c r="L79" s="27"/>
      <c r="M79" s="25"/>
      <c r="N79" s="32"/>
      <c r="O79" s="31">
        <f>45056</f>
        <v>45056</v>
      </c>
      <c r="P79" s="25"/>
    </row>
    <row r="80" spans="11:16" ht="9.9499999999999993" customHeight="1">
      <c r="K80" s="25"/>
      <c r="L80" s="27"/>
      <c r="M80" s="25"/>
      <c r="N80" s="32"/>
      <c r="O80" s="27"/>
      <c r="P80" s="25"/>
    </row>
    <row r="81" spans="11:16" ht="35.1" customHeight="1">
      <c r="K81" s="25"/>
      <c r="L81" s="27"/>
      <c r="M81" s="25"/>
      <c r="N81" s="33"/>
      <c r="O81" s="23" t="s">
        <v>89</v>
      </c>
      <c r="P81" s="25"/>
    </row>
    <row r="82" spans="11:16" ht="35.1" customHeight="1">
      <c r="K82" s="25"/>
      <c r="L82" s="27"/>
      <c r="M82" s="25"/>
      <c r="N82" s="25"/>
      <c r="O82" s="31">
        <f>1404+2160</f>
        <v>3564</v>
      </c>
      <c r="P82" s="25"/>
    </row>
    <row r="83" spans="11:16" ht="9.9499999999999993" customHeight="1">
      <c r="K83" s="25"/>
      <c r="L83" s="27"/>
      <c r="M83" s="25"/>
      <c r="N83" s="25"/>
      <c r="O83" s="27"/>
      <c r="P83" s="25"/>
    </row>
    <row r="84" spans="11:16" ht="35.1" customHeight="1">
      <c r="K84" s="25"/>
      <c r="L84" s="23" t="s">
        <v>14</v>
      </c>
      <c r="M84" s="28"/>
      <c r="N84" s="29"/>
      <c r="O84" s="48" t="s">
        <v>106</v>
      </c>
      <c r="P84" s="25"/>
    </row>
    <row r="85" spans="11:16" ht="34.5" customHeight="1">
      <c r="K85" s="25"/>
      <c r="L85" s="17">
        <f>SUM(O84:O96)</f>
        <v>110489</v>
      </c>
      <c r="M85" s="30"/>
      <c r="N85" s="30"/>
      <c r="O85" s="55">
        <f>(84348+45540)/900*600</f>
        <v>86592</v>
      </c>
      <c r="P85" s="25"/>
    </row>
    <row r="86" spans="11:16" ht="9.9499999999999993" customHeight="1">
      <c r="K86" s="25"/>
      <c r="L86" s="27"/>
      <c r="M86" s="25"/>
      <c r="N86" s="32"/>
      <c r="O86" s="27"/>
      <c r="P86" s="25"/>
    </row>
    <row r="87" spans="11:16" ht="35.1" customHeight="1">
      <c r="K87" s="25"/>
      <c r="L87" s="27"/>
      <c r="M87" s="25"/>
      <c r="N87" s="33"/>
      <c r="O87" s="23" t="s">
        <v>15</v>
      </c>
      <c r="P87" s="25"/>
    </row>
    <row r="88" spans="11:16" ht="35.1" customHeight="1">
      <c r="K88" s="25"/>
      <c r="L88" s="27"/>
      <c r="M88" s="25"/>
      <c r="N88" s="44"/>
      <c r="O88" s="31">
        <f>214+6264+1698+4956+358</f>
        <v>13490</v>
      </c>
      <c r="P88" s="25"/>
    </row>
    <row r="89" spans="11:16" ht="9.9499999999999993" customHeight="1">
      <c r="K89" s="25"/>
      <c r="L89" s="27"/>
      <c r="M89" s="25"/>
      <c r="N89" s="32"/>
      <c r="O89" s="27"/>
      <c r="P89" s="25"/>
    </row>
    <row r="90" spans="11:16" ht="35.1" customHeight="1">
      <c r="K90" s="25"/>
      <c r="L90" s="27"/>
      <c r="M90" s="25"/>
      <c r="N90" s="33"/>
      <c r="O90" s="23" t="s">
        <v>87</v>
      </c>
      <c r="P90" s="25"/>
    </row>
    <row r="91" spans="11:16" ht="35.1" customHeight="1">
      <c r="K91" s="25"/>
      <c r="L91" s="27"/>
      <c r="M91" s="25"/>
      <c r="N91" s="30"/>
      <c r="O91" s="31">
        <f>2306+1557</f>
        <v>3863</v>
      </c>
      <c r="P91" s="25"/>
    </row>
    <row r="92" spans="11:16" ht="9.9499999999999993" customHeight="1">
      <c r="K92" s="25"/>
      <c r="L92" s="27"/>
      <c r="M92" s="25"/>
      <c r="N92" s="32"/>
      <c r="O92" s="27"/>
      <c r="P92" s="25"/>
    </row>
    <row r="93" spans="11:16" ht="35.1" customHeight="1">
      <c r="K93" s="25"/>
      <c r="L93" s="27"/>
      <c r="M93" s="25"/>
      <c r="N93" s="33"/>
      <c r="O93" s="23" t="s">
        <v>13</v>
      </c>
      <c r="P93" s="25"/>
    </row>
    <row r="94" spans="11:16" ht="35.1" customHeight="1">
      <c r="K94" s="25"/>
      <c r="L94" s="27"/>
      <c r="M94" s="25"/>
      <c r="N94" s="42"/>
      <c r="O94" s="31">
        <v>2000</v>
      </c>
      <c r="P94" s="45" t="s">
        <v>80</v>
      </c>
    </row>
    <row r="95" spans="11:16" ht="35.1" customHeight="1">
      <c r="K95" s="25"/>
      <c r="L95" s="27"/>
      <c r="M95" s="25"/>
      <c r="N95" s="43"/>
      <c r="O95" s="31">
        <v>2700</v>
      </c>
      <c r="P95" s="41" t="s">
        <v>81</v>
      </c>
    </row>
    <row r="96" spans="11:16" ht="35.1" customHeight="1">
      <c r="K96" s="25"/>
      <c r="L96" s="27"/>
      <c r="M96" s="25"/>
      <c r="N96" s="43"/>
      <c r="O96" s="31">
        <v>1844</v>
      </c>
      <c r="P96" s="41" t="s">
        <v>82</v>
      </c>
    </row>
  </sheetData>
  <mergeCells count="4">
    <mergeCell ref="B3:B4"/>
    <mergeCell ref="C3:C4"/>
    <mergeCell ref="B6:B7"/>
    <mergeCell ref="C6:C7"/>
  </mergeCells>
  <phoneticPr fontId="1"/>
  <printOptions horizontalCentered="1" verticalCentered="1" headings="1"/>
  <pageMargins left="0.70866141732283472" right="0.70866141732283472" top="0.74803149606299213" bottom="0.35433070866141736" header="0.31496062992125984" footer="0.11811023622047245"/>
  <pageSetup paperSize="8" scale="41" orientation="portrait" r:id="rId1"/>
  <headerFooter>
    <oddHeader>&amp;C&amp;20Ｒ５年度　祭礼　予算シミュレーション&amp;R&amp;20&amp;D</oddHead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E83416-9D5D-445F-846B-8D58477D07DE}">
  <dimension ref="A2:D27"/>
  <sheetViews>
    <sheetView workbookViewId="0">
      <selection activeCell="B30" sqref="B30"/>
    </sheetView>
  </sheetViews>
  <sheetFormatPr defaultRowHeight="18.75"/>
  <cols>
    <col min="1" max="1" width="3.5" customWidth="1"/>
    <col min="2" max="2" width="29.375" bestFit="1" customWidth="1"/>
    <col min="3" max="3" width="17.25" bestFit="1" customWidth="1"/>
  </cols>
  <sheetData>
    <row r="2" spans="1:4">
      <c r="A2" s="8" t="s">
        <v>35</v>
      </c>
      <c r="D2" s="9" t="s">
        <v>51</v>
      </c>
    </row>
    <row r="3" spans="1:4">
      <c r="B3" s="1" t="s">
        <v>36</v>
      </c>
      <c r="C3" s="1" t="s">
        <v>37</v>
      </c>
      <c r="D3" s="3">
        <v>1565</v>
      </c>
    </row>
    <row r="4" spans="1:4">
      <c r="B4" s="5" t="s">
        <v>38</v>
      </c>
      <c r="C4" s="4" t="s">
        <v>28</v>
      </c>
      <c r="D4" s="3">
        <v>26000</v>
      </c>
    </row>
    <row r="5" spans="1:4">
      <c r="B5" s="1" t="s">
        <v>39</v>
      </c>
      <c r="C5" s="1" t="s">
        <v>37</v>
      </c>
      <c r="D5" s="3">
        <v>4020</v>
      </c>
    </row>
    <row r="6" spans="1:4">
      <c r="B6" s="5" t="s">
        <v>40</v>
      </c>
      <c r="C6" s="4" t="s">
        <v>23</v>
      </c>
      <c r="D6" s="3">
        <v>6238</v>
      </c>
    </row>
    <row r="7" spans="1:4">
      <c r="B7" s="5" t="s">
        <v>41</v>
      </c>
      <c r="C7" s="4" t="s">
        <v>42</v>
      </c>
      <c r="D7" s="3">
        <v>20200</v>
      </c>
    </row>
    <row r="8" spans="1:4">
      <c r="B8" s="5" t="s">
        <v>43</v>
      </c>
      <c r="C8" s="4" t="s">
        <v>42</v>
      </c>
      <c r="D8" s="3">
        <v>400</v>
      </c>
    </row>
    <row r="9" spans="1:4">
      <c r="B9" s="5" t="s">
        <v>44</v>
      </c>
      <c r="C9" s="4" t="s">
        <v>31</v>
      </c>
      <c r="D9" s="3">
        <v>3675</v>
      </c>
    </row>
    <row r="10" spans="1:4">
      <c r="B10" s="5" t="s">
        <v>45</v>
      </c>
      <c r="C10" s="4" t="s">
        <v>46</v>
      </c>
      <c r="D10" s="3">
        <v>103122</v>
      </c>
    </row>
    <row r="11" spans="1:4">
      <c r="B11" s="5" t="s">
        <v>47</v>
      </c>
      <c r="C11" s="4" t="s">
        <v>48</v>
      </c>
      <c r="D11" s="3">
        <v>33760</v>
      </c>
    </row>
    <row r="12" spans="1:4">
      <c r="C12" s="10" t="s">
        <v>52</v>
      </c>
      <c r="D12" s="3">
        <f>SUM(D3:D11)</f>
        <v>198980</v>
      </c>
    </row>
    <row r="13" spans="1:4">
      <c r="A13" s="8"/>
    </row>
    <row r="14" spans="1:4">
      <c r="A14" s="8" t="s">
        <v>34</v>
      </c>
      <c r="D14" s="9" t="s">
        <v>51</v>
      </c>
    </row>
    <row r="15" spans="1:4">
      <c r="B15" s="1" t="s">
        <v>20</v>
      </c>
      <c r="C15" s="2" t="s">
        <v>21</v>
      </c>
      <c r="D15" s="3">
        <v>13696</v>
      </c>
    </row>
    <row r="16" spans="1:4">
      <c r="B16" s="1" t="s">
        <v>22</v>
      </c>
      <c r="C16" s="2" t="s">
        <v>23</v>
      </c>
      <c r="D16" s="3">
        <v>13405</v>
      </c>
    </row>
    <row r="17" spans="2:4">
      <c r="B17" s="1" t="s">
        <v>24</v>
      </c>
      <c r="C17" s="2" t="s">
        <v>25</v>
      </c>
      <c r="D17" s="3">
        <v>10300</v>
      </c>
    </row>
    <row r="18" spans="2:4">
      <c r="B18" s="1" t="s">
        <v>26</v>
      </c>
      <c r="C18" s="4" t="s">
        <v>23</v>
      </c>
      <c r="D18" s="3">
        <v>952</v>
      </c>
    </row>
    <row r="19" spans="2:4">
      <c r="B19" s="1" t="s">
        <v>27</v>
      </c>
      <c r="C19" s="2" t="s">
        <v>28</v>
      </c>
      <c r="D19" s="3">
        <v>24000</v>
      </c>
    </row>
    <row r="20" spans="2:4">
      <c r="B20" s="1" t="s">
        <v>30</v>
      </c>
      <c r="C20" s="2" t="s">
        <v>29</v>
      </c>
      <c r="D20" s="3">
        <v>57240</v>
      </c>
    </row>
    <row r="21" spans="2:4" ht="33">
      <c r="B21" s="7" t="s">
        <v>50</v>
      </c>
      <c r="C21" s="2" t="s">
        <v>31</v>
      </c>
      <c r="D21" s="3">
        <v>13150</v>
      </c>
    </row>
    <row r="22" spans="2:4">
      <c r="B22" s="1" t="s">
        <v>32</v>
      </c>
      <c r="C22" s="2" t="s">
        <v>33</v>
      </c>
      <c r="D22" s="3">
        <v>4320</v>
      </c>
    </row>
    <row r="23" spans="2:4">
      <c r="B23" s="1" t="s">
        <v>49</v>
      </c>
      <c r="C23" s="2" t="s">
        <v>29</v>
      </c>
      <c r="D23" s="3">
        <v>4500</v>
      </c>
    </row>
    <row r="24" spans="2:4">
      <c r="C24" s="10" t="s">
        <v>52</v>
      </c>
      <c r="D24" s="3">
        <f>SUM(D15:D23)</f>
        <v>141563</v>
      </c>
    </row>
    <row r="26" spans="2:4">
      <c r="B26" s="6" t="s">
        <v>53</v>
      </c>
    </row>
    <row r="27" spans="2:4">
      <c r="B27" s="6" t="s">
        <v>54</v>
      </c>
    </row>
  </sheetData>
  <phoneticPr fontId="1"/>
  <pageMargins left="0.7" right="0.7" top="0.75" bottom="0.75" header="0.3" footer="0.3"/>
  <pageSetup paperSize="9" orientation="portrait" copies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5</vt:i4>
      </vt:variant>
      <vt:variant>
        <vt:lpstr>名前付き一覧</vt:lpstr>
      </vt:variant>
      <vt:variant>
        <vt:i4>2</vt:i4>
      </vt:variant>
    </vt:vector>
  </HeadingPairs>
  <TitlesOfParts>
    <vt:vector size="7" baseType="lpstr">
      <vt:lpstr>①宵宮祭rev.D</vt:lpstr>
      <vt:lpstr>②本祭rev.D</vt:lpstr>
      <vt:lpstr>R6 収支計画</vt:lpstr>
      <vt:lpstr>R5年度祭礼予算計画シミュレーション</vt:lpstr>
      <vt:lpstr>実績メモ</vt:lpstr>
      <vt:lpstr>①宵宮祭rev.D!Print_Area</vt:lpstr>
      <vt:lpstr>②本祭rev.D!Print_Area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橋本岳</dc:creator>
  <cp:lastModifiedBy>岳 橋本</cp:lastModifiedBy>
  <cp:lastPrinted>2026-06-25T20:26:06Z</cp:lastPrinted>
  <dcterms:created xsi:type="dcterms:W3CDTF">2015-06-05T18:19:34Z</dcterms:created>
  <dcterms:modified xsi:type="dcterms:W3CDTF">2026-06-25T20:40:24Z</dcterms:modified>
</cp:coreProperties>
</file>