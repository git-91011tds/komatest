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Works\komatest\2026-06\"/>
    </mc:Choice>
  </mc:AlternateContent>
  <xr:revisionPtr revIDLastSave="0" documentId="13_ncr:1_{2DEC38C2-0C76-4024-A860-4856C6A47AAF}" xr6:coauthVersionLast="47" xr6:coauthVersionMax="47" xr10:uidLastSave="{00000000-0000-0000-0000-000000000000}"/>
  <bookViews>
    <workbookView xWindow="21180" yWindow="3288" windowWidth="19368" windowHeight="20280" tabRatio="807" activeTab="1" xr2:uid="{00000000-000D-0000-FFFF-FFFF00000000}"/>
  </bookViews>
  <sheets>
    <sheet name="①宵宮祭rev.A" sheetId="29" r:id="rId1"/>
    <sheet name="②本祭rev.A" sheetId="30" r:id="rId2"/>
    <sheet name="R6 収支計画" sheetId="26" r:id="rId3"/>
    <sheet name="R5年度祭礼予算計画シミュレーション" sheetId="1" r:id="rId4"/>
    <sheet name="実績メモ" sheetId="2" r:id="rId5"/>
  </sheets>
  <definedNames>
    <definedName name="_xlnm.Print_Area" localSheetId="0">'①宵宮祭rev.A'!$A$1:$K$64</definedName>
    <definedName name="_xlnm.Print_Area" localSheetId="1">'②本祭rev.A'!$A$1:$K$61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6" l="1"/>
  <c r="B19" i="26"/>
  <c r="B18" i="26"/>
  <c r="B17" i="26"/>
  <c r="B32" i="26"/>
  <c r="B10" i="26"/>
  <c r="B21" i="26"/>
  <c r="B13" i="26"/>
  <c r="B8" i="26"/>
  <c r="B31" i="26"/>
  <c r="B30" i="26"/>
  <c r="B29" i="26"/>
  <c r="B28" i="26"/>
  <c r="B27" i="26"/>
  <c r="B26" i="26"/>
  <c r="B25" i="26"/>
  <c r="B24" i="26"/>
  <c r="B23" i="26"/>
  <c r="B14" i="26"/>
  <c r="B9" i="26"/>
  <c r="B11" i="26"/>
  <c r="B22" i="26"/>
  <c r="B12" i="26"/>
  <c r="B15" i="26"/>
  <c r="B16" i="26"/>
  <c r="B7" i="26"/>
  <c r="B6" i="26"/>
  <c r="B5" i="26"/>
  <c r="B4" i="26"/>
  <c r="B3" i="26"/>
  <c r="D30" i="26"/>
  <c r="D31" i="26" s="1"/>
  <c r="F6" i="26" l="1"/>
  <c r="F3" i="26"/>
  <c r="F30" i="26" l="1"/>
  <c r="F31" i="26" s="1"/>
  <c r="F32" i="26" s="1"/>
  <c r="C8" i="1" l="1"/>
  <c r="C5" i="1"/>
  <c r="L46" i="1"/>
  <c r="O85" i="1" l="1"/>
  <c r="O46" i="1"/>
  <c r="L11" i="1" l="1"/>
  <c r="L17" i="1"/>
  <c r="L37" i="1"/>
  <c r="L43" i="1"/>
  <c r="L76" i="1"/>
  <c r="L85" i="1"/>
  <c r="R26" i="1"/>
  <c r="O82" i="1"/>
  <c r="O76" i="1"/>
  <c r="O79" i="1"/>
  <c r="O88" i="1"/>
  <c r="O91" i="1"/>
  <c r="O23" i="1"/>
  <c r="I7" i="1"/>
  <c r="C3" i="1"/>
  <c r="O7" i="1"/>
  <c r="D24" i="2"/>
  <c r="D12" i="2"/>
  <c r="F7" i="1" l="1"/>
  <c r="L7" i="1" l="1"/>
  <c r="C6" i="1" l="1"/>
  <c r="C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橋本岳</author>
    <author>橋本　岳</author>
  </authors>
  <commentList>
    <comment ref="C6" authorId="0" shapeId="0" xr:uid="{FD5F95F8-9B16-4BF7-9C96-748946F6DEE7}">
      <text>
        <r>
          <rPr>
            <b/>
            <sz val="10"/>
            <color indexed="81"/>
            <rFont val="BIZ UDPゴシック"/>
            <family val="3"/>
            <charset val="128"/>
          </rPr>
          <t>・伊藤大樹（代表）
・佐野竜斗
・佐野翔斗
・橋本雲千代 ※土曜不在
・かんくろう（交通）</t>
        </r>
      </text>
    </comment>
    <comment ref="G6" authorId="1" shapeId="0" xr:uid="{4D8BDFDA-1344-47F4-B570-E10DF7B11A8D}">
      <text>
        <r>
          <rPr>
            <b/>
            <sz val="10"/>
            <color indexed="81"/>
            <rFont val="BIZ UDPゴシック"/>
            <family val="3"/>
            <charset val="128"/>
          </rPr>
          <t xml:space="preserve">タオルの持ち帰り
および配布は翌日です。
</t>
        </r>
      </text>
    </comment>
    <comment ref="C10" authorId="1" shapeId="0" xr:uid="{066576C3-10B4-4953-9D2C-91C2502372F7}">
      <text>
        <r>
          <rPr>
            <b/>
            <sz val="10"/>
            <color indexed="81"/>
            <rFont val="BIZ UDPゴシック"/>
            <family val="3"/>
            <charset val="128"/>
          </rPr>
          <t>②御仮屋設営
　駒寄、南郷、二丁目　（各２名）</t>
        </r>
      </text>
    </comment>
    <comment ref="F15" authorId="0" shapeId="0" xr:uid="{63A5E411-0CB8-4EE7-A16F-EDC487C4F401}">
      <text>
        <r>
          <rPr>
            <b/>
            <sz val="10"/>
            <color indexed="81"/>
            <rFont val="BIZ UDPゴシック"/>
            <family val="3"/>
            <charset val="128"/>
          </rPr>
          <t>【祭礼役員】 連合３町内の接待
10:30～11:00
【駒寄神輿長ほか２名】
　　皆ヶ作、南郷、一丁目への
　　挨拶まわり</t>
        </r>
      </text>
    </comment>
    <comment ref="F21" authorId="1" shapeId="0" xr:uid="{4EF34D89-EAAB-49CF-96EB-9E909FF20DC8}">
      <text>
        <r>
          <rPr>
            <b/>
            <sz val="10"/>
            <color indexed="81"/>
            <rFont val="BIZ UDPゴシック"/>
            <family val="3"/>
            <charset val="128"/>
          </rPr>
          <t>宮司が各町内に出向き
御神輿修祓、安全祈願</t>
        </r>
      </text>
    </comment>
    <comment ref="I23" authorId="0" shapeId="0" xr:uid="{89B2D0CD-4E40-4778-8337-2D0C41DF1318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【大野】山車の配置
　：会館脇に
【少年部】ジャグほか準備</t>
        </r>
      </text>
    </comment>
    <comment ref="E26" authorId="1" shapeId="0" xr:uid="{07B65722-CB06-47A2-B1AE-54A89B9B6854}">
      <text>
        <r>
          <rPr>
            <b/>
            <sz val="10"/>
            <color indexed="81"/>
            <rFont val="BIZ UDPゴシック"/>
            <family val="3"/>
            <charset val="128"/>
          </rPr>
          <t xml:space="preserve">15:45
【神社神輿担ぎ手】駒寄会館に集合
</t>
        </r>
      </text>
    </comment>
    <comment ref="I35" authorId="0" shapeId="0" xr:uid="{CAB2AC08-EF1D-4148-BA17-6B2C726520F2}">
      <text>
        <r>
          <rPr>
            <b/>
            <sz val="10"/>
            <color indexed="81"/>
            <rFont val="BIZ UDPゴシック"/>
            <family val="3"/>
            <charset val="128"/>
          </rPr>
          <t>【少年部】お菓子＆ジュース配布</t>
        </r>
      </text>
    </comment>
    <comment ref="F39" authorId="0" shapeId="0" xr:uid="{89A54C4B-8EF5-445C-B3DE-5E5F4E4E1636}">
      <text>
        <r>
          <rPr>
            <b/>
            <sz val="10"/>
            <color indexed="81"/>
            <rFont val="BIZ UDPゴシック"/>
            <family val="3"/>
            <charset val="128"/>
          </rPr>
          <t>今年の担当は
【駒寄】</t>
        </r>
      </text>
    </comment>
    <comment ref="I43" authorId="0" shapeId="0" xr:uid="{AD27DAEB-A7F7-428C-AE11-81DEEFDB1921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【大野】山車の移動</t>
        </r>
      </text>
    </comment>
    <comment ref="F44" authorId="0" shapeId="0" xr:uid="{3C30F78B-4D4E-4D1F-BBF0-F033C0441CD3}">
      <text>
        <r>
          <rPr>
            <b/>
            <sz val="10"/>
            <color indexed="81"/>
            <rFont val="BIZ UDPゴシック"/>
            <family val="3"/>
            <charset val="128"/>
          </rPr>
          <t>【祭礼役員】リヤカー
・ジャグ（小）×１, 
紙コップ、ゴミ袋</t>
        </r>
      </text>
    </comment>
    <comment ref="F46" authorId="0" shapeId="0" xr:uid="{CB7E515D-965B-48AF-AF14-0DDC5B7209AC}">
      <text>
        <r>
          <rPr>
            <b/>
            <sz val="10"/>
            <color indexed="81"/>
            <rFont val="BIZ UDPゴシック"/>
            <family val="3"/>
            <charset val="128"/>
          </rPr>
          <t>【祭礼役員】リヤカー
・ジャグ（小）×１, 
紙コップ、ゴミ袋</t>
        </r>
      </text>
    </comment>
    <comment ref="F49" authorId="0" shapeId="0" xr:uid="{89049B3B-9BE8-4F0B-AB27-F855210B4244}">
      <text>
        <r>
          <rPr>
            <b/>
            <sz val="10"/>
            <color indexed="81"/>
            <rFont val="BIZ UDPゴシック"/>
            <family val="3"/>
            <charset val="128"/>
          </rPr>
          <t>御仮屋前を通過する際、各町内神輿は神社神輿にさす</t>
        </r>
      </text>
    </comment>
    <comment ref="F50" authorId="0" shapeId="0" xr:uid="{ED365A1F-4CFA-4185-9502-EA6BBFF573A6}">
      <text>
        <r>
          <rPr>
            <b/>
            <sz val="10"/>
            <color indexed="81"/>
            <rFont val="BIZ UDPゴシック"/>
            <family val="3"/>
            <charset val="128"/>
          </rPr>
          <t>【祭礼役員】リヤカー
・ジャグ（小）×１, 
紙コップ、ゴミ袋</t>
        </r>
      </text>
    </comment>
    <comment ref="F52" authorId="0" shapeId="0" xr:uid="{CD7E4F17-660D-498B-837C-5870131F26F3}">
      <text>
        <r>
          <rPr>
            <b/>
            <sz val="10"/>
            <color indexed="81"/>
            <rFont val="BIZ UDPゴシック"/>
            <family val="3"/>
            <charset val="128"/>
          </rPr>
          <t>【祭礼役員】リヤカー
・ジャグ（小）×１, 
紙コップ、ゴミ袋</t>
        </r>
      </text>
    </comment>
    <comment ref="I58" authorId="0" shapeId="0" xr:uid="{E8AA172C-0FDC-4A8A-8A4A-AFF8491083CD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【大野】山車の移動
　※駒寄の神輿が
　　　マンション前を通過
　　　した後に収納を開始。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橋本　岳</author>
    <author>橋本岳</author>
  </authors>
  <commentList>
    <comment ref="C9" authorId="0" shapeId="0" xr:uid="{FCB0B204-D09A-4BBE-86F7-3B0BC962C516}">
      <text>
        <r>
          <rPr>
            <b/>
            <sz val="10"/>
            <color indexed="81"/>
            <rFont val="BIZ UDPゴシック"/>
            <family val="3"/>
            <charset val="128"/>
          </rPr>
          <t>出御後、御仮屋撤去作業
（駒寄、南郷、二丁目）各２名</t>
        </r>
      </text>
    </comment>
    <comment ref="I12" authorId="1" shapeId="0" xr:uid="{53ABE54E-8C74-4CBF-900D-8D9943610A87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【大野】山車の運航
【少年部】ジャグほか準備</t>
        </r>
      </text>
    </comment>
    <comment ref="D21" authorId="1" shapeId="0" xr:uid="{74CD0C19-446E-4DCA-B1F0-07C2091872F4}">
      <text>
        <r>
          <rPr>
            <b/>
            <sz val="10"/>
            <color indexed="81"/>
            <rFont val="BIZ UDPゴシック"/>
            <family val="3"/>
            <charset val="128"/>
          </rPr>
          <t>11:50頃
　 駒寄会館前にて
　「神輿くぐり」　受付</t>
        </r>
      </text>
    </comment>
    <comment ref="I31" authorId="1" shapeId="0" xr:uid="{A2B55912-5DFC-4009-8B23-CEB36DFDB615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【大野】山車の運航
【少年部】山車の準備
 ・ジャグほか準備</t>
        </r>
      </text>
    </comment>
    <comment ref="I42" authorId="1" shapeId="0" xr:uid="{15518343-3925-4C8D-9CA1-5AB624FCF572}">
      <text>
        <r>
          <rPr>
            <b/>
            <sz val="10"/>
            <color indexed="81"/>
            <rFont val="BIZ UDPゴシック"/>
            <family val="3"/>
            <charset val="128"/>
          </rPr>
          <t>　【少年部】お菓子＆ジュース配布</t>
        </r>
      </text>
    </comment>
    <comment ref="D46" authorId="0" shapeId="0" xr:uid="{EB24DAC1-8223-4C2C-872F-EBF943E485FE}">
      <text>
        <r>
          <rPr>
            <b/>
            <sz val="10"/>
            <color indexed="81"/>
            <rFont val="BIZ UDPゴシック"/>
            <family val="3"/>
            <charset val="128"/>
          </rPr>
          <t>16:00～16:30
　神社神輿　宮入
　（ごはん亭～神社）　</t>
        </r>
      </text>
    </comment>
    <comment ref="I53" authorId="1" shapeId="0" xr:uid="{8437D72F-17FD-473A-AA31-8A0BD4F92EDF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【大野】山車の移動</t>
        </r>
      </text>
    </comment>
    <comment ref="F58" authorId="1" shapeId="0" xr:uid="{A4907553-BA2A-4BE5-9E2A-7FB18B2F4E1F}">
      <text>
        <r>
          <rPr>
            <b/>
            <sz val="10"/>
            <color indexed="81"/>
            <rFont val="BIZ UDPゴシック"/>
            <family val="3"/>
            <charset val="128"/>
          </rPr>
          <t>お風呂券の配布</t>
        </r>
      </text>
    </comment>
  </commentList>
</comments>
</file>

<file path=xl/sharedStrings.xml><?xml version="1.0" encoding="utf-8"?>
<sst xmlns="http://schemas.openxmlformats.org/spreadsheetml/2006/main" count="438" uniqueCount="328">
  <si>
    <t>収入</t>
    <rPh sb="0" eb="2">
      <t>シュウニュウ</t>
    </rPh>
    <phoneticPr fontId="1"/>
  </si>
  <si>
    <t>支出</t>
    <rPh sb="0" eb="2">
      <t>シシュツ</t>
    </rPh>
    <phoneticPr fontId="1"/>
  </si>
  <si>
    <t>前年度繰越金</t>
    <rPh sb="0" eb="3">
      <t>ゼンネンド</t>
    </rPh>
    <rPh sb="3" eb="6">
      <t>クリコシキン</t>
    </rPh>
    <phoneticPr fontId="1"/>
  </si>
  <si>
    <t>会員寄付金</t>
    <rPh sb="0" eb="2">
      <t>カイイン</t>
    </rPh>
    <rPh sb="2" eb="5">
      <t>キフキン</t>
    </rPh>
    <phoneticPr fontId="1"/>
  </si>
  <si>
    <t>奉納金</t>
    <rPh sb="0" eb="3">
      <t>ホウノウキン</t>
    </rPh>
    <phoneticPr fontId="1"/>
  </si>
  <si>
    <t>門付け</t>
    <rPh sb="0" eb="2">
      <t>カドヅ</t>
    </rPh>
    <phoneticPr fontId="1"/>
  </si>
  <si>
    <t>保存会支援</t>
    <rPh sb="0" eb="3">
      <t>ホゾンカイ</t>
    </rPh>
    <rPh sb="3" eb="5">
      <t>シエン</t>
    </rPh>
    <phoneticPr fontId="1"/>
  </si>
  <si>
    <t>祭礼用具</t>
    <rPh sb="0" eb="2">
      <t>サイレイ</t>
    </rPh>
    <rPh sb="2" eb="4">
      <t>ヨウグ</t>
    </rPh>
    <phoneticPr fontId="1"/>
  </si>
  <si>
    <t>少年部諸費用</t>
    <rPh sb="0" eb="2">
      <t>ショウネン</t>
    </rPh>
    <rPh sb="2" eb="3">
      <t>ブ</t>
    </rPh>
    <rPh sb="3" eb="4">
      <t>ショ</t>
    </rPh>
    <rPh sb="4" eb="6">
      <t>ヒヨウ</t>
    </rPh>
    <phoneticPr fontId="1"/>
  </si>
  <si>
    <t>次年度繰越金</t>
    <rPh sb="0" eb="3">
      <t>ジネンド</t>
    </rPh>
    <rPh sb="3" eb="5">
      <t>クリコシ</t>
    </rPh>
    <rPh sb="5" eb="6">
      <t>キン</t>
    </rPh>
    <phoneticPr fontId="1"/>
  </si>
  <si>
    <t>門付け分配金</t>
    <rPh sb="0" eb="2">
      <t>カドヅ</t>
    </rPh>
    <rPh sb="3" eb="5">
      <t>ブンパイ</t>
    </rPh>
    <rPh sb="5" eb="6">
      <t>キン</t>
    </rPh>
    <phoneticPr fontId="1"/>
  </si>
  <si>
    <t>お供物</t>
    <phoneticPr fontId="1"/>
  </si>
  <si>
    <t>ビール券 10</t>
    <rPh sb="3" eb="4">
      <t>ケン</t>
    </rPh>
    <phoneticPr fontId="1"/>
  </si>
  <si>
    <t>その他</t>
    <rPh sb="2" eb="3">
      <t>タ</t>
    </rPh>
    <phoneticPr fontId="1"/>
  </si>
  <si>
    <t>消耗品</t>
    <rPh sb="0" eb="3">
      <t>ショウモウヒン</t>
    </rPh>
    <phoneticPr fontId="1"/>
  </si>
  <si>
    <t>乾電池</t>
    <rPh sb="0" eb="3">
      <t>カンデンチ</t>
    </rPh>
    <phoneticPr fontId="1"/>
  </si>
  <si>
    <t>緒綬(おぶさ)</t>
    <rPh sb="0" eb="1">
      <t>オ</t>
    </rPh>
    <rPh sb="1" eb="2">
      <t>ジュ</t>
    </rPh>
    <phoneticPr fontId="1"/>
  </si>
  <si>
    <t>祭礼準備／片付</t>
    <rPh sb="0" eb="2">
      <t>サイレイ</t>
    </rPh>
    <rPh sb="2" eb="4">
      <t>ジュンビ</t>
    </rPh>
    <rPh sb="5" eb="7">
      <t>カタヅ</t>
    </rPh>
    <phoneticPr fontId="1"/>
  </si>
  <si>
    <t>祭礼役員昼食　30</t>
    <phoneticPr fontId="1"/>
  </si>
  <si>
    <t>駒寄反省会</t>
    <phoneticPr fontId="1"/>
  </si>
  <si>
    <t>食材費他</t>
    <rPh sb="0" eb="2">
      <t>ショクザイ</t>
    </rPh>
    <rPh sb="2" eb="3">
      <t>ヒ</t>
    </rPh>
    <rPh sb="3" eb="4">
      <t>タ</t>
    </rPh>
    <phoneticPr fontId="4"/>
  </si>
  <si>
    <t>イオン</t>
    <phoneticPr fontId="4"/>
  </si>
  <si>
    <t>米、豆腐他</t>
    <rPh sb="0" eb="1">
      <t>コメ</t>
    </rPh>
    <rPh sb="2" eb="4">
      <t>トウフ</t>
    </rPh>
    <rPh sb="4" eb="5">
      <t>タ</t>
    </rPh>
    <phoneticPr fontId="4"/>
  </si>
  <si>
    <t>セブンイレブン</t>
    <phoneticPr fontId="4"/>
  </si>
  <si>
    <t>食材各種</t>
    <rPh sb="0" eb="2">
      <t>ショクザイ</t>
    </rPh>
    <rPh sb="2" eb="4">
      <t>カクシュ</t>
    </rPh>
    <phoneticPr fontId="4"/>
  </si>
  <si>
    <t>京急ストア追浜店</t>
    <rPh sb="0" eb="2">
      <t>ケイキュウ</t>
    </rPh>
    <rPh sb="5" eb="8">
      <t>オッパマテン</t>
    </rPh>
    <phoneticPr fontId="4"/>
  </si>
  <si>
    <t>たまご</t>
    <phoneticPr fontId="4"/>
  </si>
  <si>
    <t>巻き物　12</t>
    <rPh sb="0" eb="1">
      <t>マ</t>
    </rPh>
    <rPh sb="2" eb="3">
      <t>モノ</t>
    </rPh>
    <phoneticPr fontId="4"/>
  </si>
  <si>
    <t>いさみ鮨</t>
    <rPh sb="3" eb="4">
      <t>スシ</t>
    </rPh>
    <phoneticPr fontId="4"/>
  </si>
  <si>
    <t>岡本肉店</t>
    <rPh sb="0" eb="2">
      <t>オカモト</t>
    </rPh>
    <rPh sb="2" eb="4">
      <t>ニクテン</t>
    </rPh>
    <phoneticPr fontId="4"/>
  </si>
  <si>
    <t>オードブル他</t>
    <rPh sb="5" eb="6">
      <t>タ</t>
    </rPh>
    <phoneticPr fontId="4"/>
  </si>
  <si>
    <t>魚広</t>
    <rPh sb="0" eb="1">
      <t>ウオ</t>
    </rPh>
    <rPh sb="1" eb="2">
      <t>ヒロ</t>
    </rPh>
    <phoneticPr fontId="4"/>
  </si>
  <si>
    <t>たくあん</t>
    <phoneticPr fontId="4"/>
  </si>
  <si>
    <t>八百武</t>
    <rPh sb="0" eb="3">
      <t>ヤオタケ</t>
    </rPh>
    <phoneticPr fontId="4"/>
  </si>
  <si>
    <t>令和元年度（2019年度）</t>
    <rPh sb="0" eb="2">
      <t>レイワ</t>
    </rPh>
    <rPh sb="2" eb="4">
      <t>ガンネン</t>
    </rPh>
    <rPh sb="3" eb="4">
      <t>ネン</t>
    </rPh>
    <rPh sb="4" eb="5">
      <t>ド</t>
    </rPh>
    <rPh sb="10" eb="12">
      <t>ネンド</t>
    </rPh>
    <phoneticPr fontId="1"/>
  </si>
  <si>
    <t>平成25年度（2013年度）</t>
    <rPh sb="0" eb="2">
      <t>ヘイセイ</t>
    </rPh>
    <rPh sb="4" eb="5">
      <t>ネン</t>
    </rPh>
    <rPh sb="5" eb="6">
      <t>ド</t>
    </rPh>
    <rPh sb="11" eb="13">
      <t>ネンド</t>
    </rPh>
    <phoneticPr fontId="1"/>
  </si>
  <si>
    <t>宵宮用　乾き物</t>
    <rPh sb="0" eb="2">
      <t>ヨイミヤ</t>
    </rPh>
    <rPh sb="2" eb="3">
      <t>ヨウ</t>
    </rPh>
    <rPh sb="4" eb="5">
      <t>カワ</t>
    </rPh>
    <rPh sb="6" eb="7">
      <t>モノ</t>
    </rPh>
    <phoneticPr fontId="4"/>
  </si>
  <si>
    <t>京急ストア船越店</t>
    <rPh sb="0" eb="2">
      <t>ケイキュウ</t>
    </rPh>
    <rPh sb="5" eb="8">
      <t>フナコシテン</t>
    </rPh>
    <phoneticPr fontId="4"/>
  </si>
  <si>
    <t>宵宮用　巻物寿司　13</t>
    <rPh sb="0" eb="2">
      <t>ヨイミヤ</t>
    </rPh>
    <rPh sb="2" eb="3">
      <t>ヨウ</t>
    </rPh>
    <rPh sb="4" eb="6">
      <t>マキモノ</t>
    </rPh>
    <rPh sb="6" eb="8">
      <t>スシ</t>
    </rPh>
    <phoneticPr fontId="4"/>
  </si>
  <si>
    <t>ほんだし、味噌、茶菓子</t>
    <rPh sb="5" eb="7">
      <t>ミソ</t>
    </rPh>
    <rPh sb="8" eb="11">
      <t>チャガシ</t>
    </rPh>
    <phoneticPr fontId="4"/>
  </si>
  <si>
    <t>評議員さん作業時のお茶菓子</t>
    <rPh sb="0" eb="3">
      <t>ヒョウギイン</t>
    </rPh>
    <rPh sb="5" eb="7">
      <t>サギョウ</t>
    </rPh>
    <rPh sb="7" eb="8">
      <t>ジ</t>
    </rPh>
    <rPh sb="10" eb="13">
      <t>チャガシ</t>
    </rPh>
    <phoneticPr fontId="4"/>
  </si>
  <si>
    <t>野菜各種</t>
    <rPh sb="0" eb="2">
      <t>ヤサイ</t>
    </rPh>
    <rPh sb="2" eb="4">
      <t>カクシュ</t>
    </rPh>
    <phoneticPr fontId="4"/>
  </si>
  <si>
    <t>やおぎん</t>
    <phoneticPr fontId="4"/>
  </si>
  <si>
    <t>タクアン追加分</t>
    <rPh sb="4" eb="7">
      <t>ツイカブン</t>
    </rPh>
    <phoneticPr fontId="4"/>
  </si>
  <si>
    <t>ちくわ、さつま揚げ、こんにゃく</t>
    <rPh sb="7" eb="8">
      <t>ア</t>
    </rPh>
    <phoneticPr fontId="4"/>
  </si>
  <si>
    <t>食品各種</t>
    <rPh sb="0" eb="2">
      <t>ショクヒン</t>
    </rPh>
    <rPh sb="2" eb="4">
      <t>カクシュ</t>
    </rPh>
    <phoneticPr fontId="4"/>
  </si>
  <si>
    <t>やました</t>
    <phoneticPr fontId="4"/>
  </si>
  <si>
    <t>コロッケ他つまみ</t>
    <rPh sb="4" eb="5">
      <t>タ</t>
    </rPh>
    <phoneticPr fontId="4"/>
  </si>
  <si>
    <t>岡本肉店</t>
    <rPh sb="0" eb="2">
      <t>オカモト</t>
    </rPh>
    <rPh sb="2" eb="3">
      <t>ニク</t>
    </rPh>
    <rPh sb="3" eb="4">
      <t>テン</t>
    </rPh>
    <phoneticPr fontId="4"/>
  </si>
  <si>
    <t>コロッケ75個</t>
    <rPh sb="6" eb="7">
      <t>コ</t>
    </rPh>
    <phoneticPr fontId="4"/>
  </si>
  <si>
    <t>はんぺん、ちくわ、こんにゃく
氷</t>
    <rPh sb="15" eb="16">
      <t>コオリ</t>
    </rPh>
    <phoneticPr fontId="4"/>
  </si>
  <si>
    <t>(円)</t>
    <rPh sb="1" eb="2">
      <t>エン</t>
    </rPh>
    <phoneticPr fontId="1"/>
  </si>
  <si>
    <t>合計：</t>
    <rPh sb="0" eb="2">
      <t>ゴウケイ</t>
    </rPh>
    <phoneticPr fontId="1"/>
  </si>
  <si>
    <t>H25年度の町内寄付金=518,000円。令和元年度の町内寄付金=475,000円。</t>
    <rPh sb="3" eb="5">
      <t>ネンド</t>
    </rPh>
    <rPh sb="6" eb="8">
      <t>チョウナイ</t>
    </rPh>
    <rPh sb="8" eb="10">
      <t>キフ</t>
    </rPh>
    <rPh sb="10" eb="11">
      <t>キン</t>
    </rPh>
    <rPh sb="19" eb="20">
      <t>エン</t>
    </rPh>
    <rPh sb="21" eb="23">
      <t>レイワ</t>
    </rPh>
    <rPh sb="23" eb="25">
      <t>ガンネン</t>
    </rPh>
    <rPh sb="25" eb="26">
      <t>ド</t>
    </rPh>
    <phoneticPr fontId="1"/>
  </si>
  <si>
    <r>
      <t>（H25</t>
    </r>
    <r>
      <rPr>
        <sz val="10"/>
        <color theme="1"/>
        <rFont val="Segoe UI Symbol"/>
        <family val="2"/>
        <charset val="1"/>
      </rPr>
      <t>→</t>
    </r>
    <r>
      <rPr>
        <sz val="10"/>
        <color theme="1"/>
        <rFont val="Yu Gothic"/>
        <family val="2"/>
        <charset val="128"/>
        <scheme val="minor"/>
      </rPr>
      <t>R1で）収入は、47,000円ほど落ち込んでいます。</t>
    </r>
    <rPh sb="9" eb="11">
      <t>シュウニュウ</t>
    </rPh>
    <rPh sb="19" eb="20">
      <t>エン</t>
    </rPh>
    <rPh sb="22" eb="23">
      <t>オ</t>
    </rPh>
    <rPh sb="24" eb="25">
      <t>コ</t>
    </rPh>
    <phoneticPr fontId="1"/>
  </si>
  <si>
    <t>連合渡御・当番</t>
    <rPh sb="0" eb="2">
      <t>レンゴウ</t>
    </rPh>
    <rPh sb="5" eb="7">
      <t>トウバン</t>
    </rPh>
    <phoneticPr fontId="1"/>
  </si>
  <si>
    <t>収支差</t>
    <rPh sb="0" eb="2">
      <t>シュウシ</t>
    </rPh>
    <rPh sb="2" eb="3">
      <t>サ</t>
    </rPh>
    <phoneticPr fontId="1"/>
  </si>
  <si>
    <t>お菓子（少年部）</t>
    <rPh sb="1" eb="3">
      <t>カシ</t>
    </rPh>
    <rPh sb="4" eb="7">
      <t>ショウネンブ</t>
    </rPh>
    <phoneticPr fontId="1"/>
  </si>
  <si>
    <t>土曜</t>
    <rPh sb="0" eb="2">
      <t>ドヨウ</t>
    </rPh>
    <phoneticPr fontId="1"/>
  </si>
  <si>
    <t>日曜</t>
    <rPh sb="0" eb="2">
      <t>ニチヨウ</t>
    </rPh>
    <phoneticPr fontId="1"/>
  </si>
  <si>
    <t>直会</t>
    <rPh sb="0" eb="2">
      <t>ナオライ</t>
    </rPh>
    <phoneticPr fontId="1"/>
  </si>
  <si>
    <t>昼食（少年部）</t>
    <rPh sb="0" eb="2">
      <t>チュウショク</t>
    </rPh>
    <rPh sb="3" eb="5">
      <t>ショウネン</t>
    </rPh>
    <rPh sb="5" eb="6">
      <t>ブ</t>
    </rPh>
    <phoneticPr fontId="1"/>
  </si>
  <si>
    <t>昼食</t>
    <rPh sb="0" eb="2">
      <t>チュウショク</t>
    </rPh>
    <phoneticPr fontId="1"/>
  </si>
  <si>
    <t>渉外費</t>
    <rPh sb="0" eb="2">
      <t>ショウガイ</t>
    </rPh>
    <rPh sb="2" eb="3">
      <t>ヒ</t>
    </rPh>
    <phoneticPr fontId="1"/>
  </si>
  <si>
    <t>変動費</t>
    <rPh sb="0" eb="2">
      <t>ヘンドウ</t>
    </rPh>
    <rPh sb="2" eb="3">
      <t>ヒ</t>
    </rPh>
    <phoneticPr fontId="1"/>
  </si>
  <si>
    <t>道路使用許可（雑費）</t>
    <rPh sb="0" eb="2">
      <t>ドウロ</t>
    </rPh>
    <rPh sb="2" eb="6">
      <t>シヨウキョカ</t>
    </rPh>
    <rPh sb="7" eb="9">
      <t>ザッピ</t>
    </rPh>
    <phoneticPr fontId="1"/>
  </si>
  <si>
    <t>飲食①</t>
    <rPh sb="0" eb="2">
      <t>インショク</t>
    </rPh>
    <phoneticPr fontId="1"/>
  </si>
  <si>
    <t>寄付返礼費</t>
    <rPh sb="0" eb="2">
      <t>キフ</t>
    </rPh>
    <rPh sb="2" eb="4">
      <t>ヘンレイ</t>
    </rPh>
    <rPh sb="4" eb="5">
      <t>ヒ</t>
    </rPh>
    <phoneticPr fontId="1"/>
  </si>
  <si>
    <t>焼酎6・日本酒 1</t>
    <rPh sb="0" eb="2">
      <t>ショウチュウ</t>
    </rPh>
    <rPh sb="4" eb="7">
      <t>ニホンシュ</t>
    </rPh>
    <phoneticPr fontId="1"/>
  </si>
  <si>
    <t>連合渡御・反省会</t>
    <rPh sb="0" eb="2">
      <t>レンゴウ</t>
    </rPh>
    <rPh sb="2" eb="4">
      <t>トギョ</t>
    </rPh>
    <rPh sb="5" eb="7">
      <t>ハンセイ</t>
    </rPh>
    <rPh sb="7" eb="8">
      <t>カイ</t>
    </rPh>
    <phoneticPr fontId="1"/>
  </si>
  <si>
    <t>クリーニング 雑費</t>
    <rPh sb="7" eb="9">
      <t>ザッピ</t>
    </rPh>
    <phoneticPr fontId="1"/>
  </si>
  <si>
    <t>鏡餅・赤飯</t>
    <rPh sb="0" eb="2">
      <t>カガミモチ</t>
    </rPh>
    <rPh sb="3" eb="5">
      <t>セキハン</t>
    </rPh>
    <phoneticPr fontId="1"/>
  </si>
  <si>
    <t>焼酎・日本酒・お茶</t>
    <rPh sb="0" eb="2">
      <t>ショウチュウ</t>
    </rPh>
    <rPh sb="3" eb="6">
      <t>ニホンシュ</t>
    </rPh>
    <rPh sb="8" eb="9">
      <t>チャ</t>
    </rPh>
    <phoneticPr fontId="1"/>
  </si>
  <si>
    <t>飲食②（お酒）</t>
    <rPh sb="0" eb="2">
      <t>インショク</t>
    </rPh>
    <rPh sb="5" eb="6">
      <t>サケ</t>
    </rPh>
    <phoneticPr fontId="1"/>
  </si>
  <si>
    <t>かりがね寿司：中セット×5</t>
    <rPh sb="4" eb="6">
      <t>スシ</t>
    </rPh>
    <rPh sb="7" eb="8">
      <t>チュウ</t>
    </rPh>
    <phoneticPr fontId="1"/>
  </si>
  <si>
    <t>業務スーパ：つまみ類</t>
    <rPh sb="0" eb="2">
      <t>ギョウム</t>
    </rPh>
    <rPh sb="9" eb="10">
      <t>ルイ</t>
    </rPh>
    <phoneticPr fontId="1"/>
  </si>
  <si>
    <t>ローソン：ロックアイス</t>
    <phoneticPr fontId="1"/>
  </si>
  <si>
    <t>三宝（野菜・果物）</t>
    <rPh sb="0" eb="2">
      <t>サンボウ</t>
    </rPh>
    <rPh sb="3" eb="5">
      <t>ヤサイ</t>
    </rPh>
    <rPh sb="6" eb="8">
      <t>クダモノ</t>
    </rPh>
    <phoneticPr fontId="1"/>
  </si>
  <si>
    <t xml:space="preserve">八百武 </t>
    <phoneticPr fontId="1"/>
  </si>
  <si>
    <t>その他 雑費</t>
    <rPh sb="2" eb="3">
      <t>タ</t>
    </rPh>
    <rPh sb="4" eb="6">
      <t>ザッピ</t>
    </rPh>
    <phoneticPr fontId="1"/>
  </si>
  <si>
    <t>はりてる：さらし２反</t>
    <rPh sb="9" eb="10">
      <t>タン</t>
    </rPh>
    <phoneticPr fontId="1"/>
  </si>
  <si>
    <t>すずき金物：平麻６束</t>
    <rPh sb="3" eb="5">
      <t>カナモノ</t>
    </rPh>
    <phoneticPr fontId="1"/>
  </si>
  <si>
    <t>ホームズ：藁縄大巻３分</t>
    <phoneticPr fontId="1"/>
  </si>
  <si>
    <t>田浦と祭礼打合せ会費</t>
    <rPh sb="8" eb="10">
      <t>カイヒ</t>
    </rPh>
    <phoneticPr fontId="1"/>
  </si>
  <si>
    <t>分担金（神社、連合）</t>
    <rPh sb="0" eb="3">
      <t>ブンタンキン</t>
    </rPh>
    <rPh sb="4" eb="6">
      <t>ジンジャ</t>
    </rPh>
    <rPh sb="7" eb="9">
      <t>レンゴウ</t>
    </rPh>
    <phoneticPr fontId="1"/>
  </si>
  <si>
    <t>準備③ 祭礼前日</t>
    <rPh sb="0" eb="2">
      <t>ジュンビ</t>
    </rPh>
    <rPh sb="4" eb="6">
      <t>サイレイ</t>
    </rPh>
    <rPh sb="6" eb="8">
      <t>ゼンジツ</t>
    </rPh>
    <phoneticPr fontId="1"/>
  </si>
  <si>
    <t>６月後半打合せ</t>
    <rPh sb="1" eb="2">
      <t>ガツ</t>
    </rPh>
    <rPh sb="2" eb="4">
      <t>コウハン</t>
    </rPh>
    <phoneticPr fontId="1"/>
  </si>
  <si>
    <t>筆ペンほか</t>
    <rPh sb="0" eb="1">
      <t>フデ</t>
    </rPh>
    <phoneticPr fontId="1"/>
  </si>
  <si>
    <t>ビール 14ケース</t>
    <phoneticPr fontId="1"/>
  </si>
  <si>
    <t>ロックアイス</t>
    <phoneticPr fontId="1"/>
  </si>
  <si>
    <t>蚊取り、ネオパラ 雑費</t>
    <rPh sb="0" eb="2">
      <t>カト</t>
    </rPh>
    <rPh sb="9" eb="11">
      <t>ザッピ</t>
    </rPh>
    <phoneticPr fontId="1"/>
  </si>
  <si>
    <t>（R1）175世帯</t>
    <rPh sb="7" eb="9">
      <t>セタイ</t>
    </rPh>
    <phoneticPr fontId="1"/>
  </si>
  <si>
    <t>準備①（半纏準備時）</t>
    <rPh sb="0" eb="2">
      <t>ジュンビ</t>
    </rPh>
    <rPh sb="4" eb="6">
      <t>ハンテン</t>
    </rPh>
    <rPh sb="6" eb="8">
      <t>ジュンビ</t>
    </rPh>
    <rPh sb="8" eb="9">
      <t>ジ</t>
    </rPh>
    <phoneticPr fontId="1"/>
  </si>
  <si>
    <t>準備② ７月９日</t>
    <rPh sb="0" eb="2">
      <t>ジュンビ</t>
    </rPh>
    <rPh sb="5" eb="6">
      <t>ガツ</t>
    </rPh>
    <rPh sb="7" eb="8">
      <t>ニチ</t>
    </rPh>
    <phoneticPr fontId="1"/>
  </si>
  <si>
    <t>足袋：南郷ヘルプ担ぎ手用</t>
    <rPh sb="3" eb="5">
      <t>ナンゴウ</t>
    </rPh>
    <phoneticPr fontId="1"/>
  </si>
  <si>
    <t>固定費？</t>
    <rPh sb="0" eb="3">
      <t>コテイヒ</t>
    </rPh>
    <phoneticPr fontId="1"/>
  </si>
  <si>
    <t>入浴料 22人分</t>
    <rPh sb="0" eb="2">
      <t>ニュウヨク</t>
    </rPh>
    <rPh sb="6" eb="7">
      <t>ニン</t>
    </rPh>
    <rPh sb="7" eb="8">
      <t>ブン</t>
    </rPh>
    <phoneticPr fontId="1"/>
  </si>
  <si>
    <t>（H25）芳志者28</t>
    <rPh sb="5" eb="7">
      <t>ホウシ</t>
    </rPh>
    <rPh sb="7" eb="8">
      <t>シャ</t>
    </rPh>
    <phoneticPr fontId="1"/>
  </si>
  <si>
    <t>（H25）芳志者32</t>
    <phoneticPr fontId="1"/>
  </si>
  <si>
    <t>（R4）決算書</t>
    <rPh sb="4" eb="7">
      <t>ケッサンショ</t>
    </rPh>
    <phoneticPr fontId="1"/>
  </si>
  <si>
    <t>宵宮・神輿休憩時？</t>
    <rPh sb="3" eb="5">
      <t>ミコシ</t>
    </rPh>
    <rPh sb="5" eb="7">
      <t>キュウケイ</t>
    </rPh>
    <rPh sb="7" eb="8">
      <t>ジ</t>
    </rPh>
    <phoneticPr fontId="1"/>
  </si>
  <si>
    <t>本祭・神輿休憩時？</t>
    <rPh sb="0" eb="1">
      <t>ホン</t>
    </rPh>
    <rPh sb="1" eb="2">
      <t>マツ</t>
    </rPh>
    <rPh sb="3" eb="5">
      <t>ミコシ</t>
    </rPh>
    <rPh sb="5" eb="7">
      <t>キュウケイ</t>
    </rPh>
    <rPh sb="7" eb="8">
      <t>ジ</t>
    </rPh>
    <phoneticPr fontId="1"/>
  </si>
  <si>
    <t xml:space="preserve"> 岡本のコロッケは・・・</t>
    <rPh sb="1" eb="3">
      <t>オカモト</t>
    </rPh>
    <phoneticPr fontId="1"/>
  </si>
  <si>
    <t>片付け・解散</t>
    <phoneticPr fontId="1"/>
  </si>
  <si>
    <t>（昼食）</t>
    <rPh sb="1" eb="3">
      <t>チュウショク</t>
    </rPh>
    <phoneticPr fontId="1"/>
  </si>
  <si>
    <t>神社（神輿・山車）</t>
    <rPh sb="6" eb="8">
      <t>ダシ</t>
    </rPh>
    <phoneticPr fontId="1"/>
  </si>
  <si>
    <t>タオル300枚</t>
    <rPh sb="6" eb="7">
      <t>マイ</t>
    </rPh>
    <phoneticPr fontId="1"/>
  </si>
  <si>
    <t>タオル(配布用) 600</t>
    <phoneticPr fontId="1"/>
  </si>
  <si>
    <t>のし、白封筒ほか</t>
    <rPh sb="3" eb="4">
      <t>シロ</t>
    </rPh>
    <rPh sb="4" eb="6">
      <t>フウトウ</t>
    </rPh>
    <phoneticPr fontId="1"/>
  </si>
  <si>
    <t>直会場所提供謝礼</t>
    <rPh sb="0" eb="2">
      <t>ナオライ</t>
    </rPh>
    <rPh sb="2" eb="4">
      <t>バショ</t>
    </rPh>
    <rPh sb="4" eb="6">
      <t>テイキョウ</t>
    </rPh>
    <rPh sb="6" eb="8">
      <t>シャレイ</t>
    </rPh>
    <phoneticPr fontId="1"/>
  </si>
  <si>
    <t>繰越金を除く：</t>
    <rPh sb="0" eb="3">
      <t>クリコシキン</t>
    </rPh>
    <rPh sb="4" eb="5">
      <t>ノゾ</t>
    </rPh>
    <phoneticPr fontId="1"/>
  </si>
  <si>
    <t>山車の収納（斎藤運送 車庫）</t>
    <phoneticPr fontId="1"/>
  </si>
  <si>
    <t>祭礼役員　会館集合</t>
    <phoneticPr fontId="1"/>
  </si>
  <si>
    <t>➡</t>
    <phoneticPr fontId="1"/>
  </si>
  <si>
    <t>〓〓〓〓　駒寄 渡御区間　〓〓〓〓</t>
    <rPh sb="5" eb="7">
      <t>コマヨセ</t>
    </rPh>
    <rPh sb="8" eb="10">
      <t>トギョウ</t>
    </rPh>
    <rPh sb="10" eb="12">
      <t>クカン</t>
    </rPh>
    <phoneticPr fontId="1"/>
  </si>
  <si>
    <t>⑤会館到着 （弁当配布・解散）</t>
    <rPh sb="7" eb="9">
      <t>ベントウ</t>
    </rPh>
    <rPh sb="9" eb="11">
      <t>ハイフ</t>
    </rPh>
    <phoneticPr fontId="1"/>
  </si>
  <si>
    <t>大人神輿・中神輿</t>
    <rPh sb="5" eb="6">
      <t>チュウ</t>
    </rPh>
    <rPh sb="6" eb="8">
      <t>ミコシ</t>
    </rPh>
    <phoneticPr fontId="1"/>
  </si>
  <si>
    <t>山車・子供神輿</t>
    <phoneticPr fontId="1"/>
  </si>
  <si>
    <t>山車の移動（弐番館前へ）</t>
    <rPh sb="6" eb="9">
      <t>ニバンカン</t>
    </rPh>
    <phoneticPr fontId="1"/>
  </si>
  <si>
    <t>役員：ゴザ天日干し</t>
    <rPh sb="0" eb="2">
      <t>ヤクイン</t>
    </rPh>
    <rPh sb="5" eb="8">
      <t>テンピボ</t>
    </rPh>
    <phoneticPr fontId="1"/>
  </si>
  <si>
    <t>会員寄付</t>
    <rPh sb="0" eb="2">
      <t>カイイン</t>
    </rPh>
    <rPh sb="2" eb="4">
      <t>キフ</t>
    </rPh>
    <phoneticPr fontId="1"/>
  </si>
  <si>
    <t>その他寄付</t>
    <rPh sb="2" eb="3">
      <t>タ</t>
    </rPh>
    <rPh sb="3" eb="5">
      <t>キフ</t>
    </rPh>
    <phoneticPr fontId="1"/>
  </si>
  <si>
    <t>次年度繰越金</t>
    <rPh sb="0" eb="3">
      <t>ジネンド</t>
    </rPh>
    <rPh sb="3" eb="6">
      <t>クリコシキン</t>
    </rPh>
    <phoneticPr fontId="1"/>
  </si>
  <si>
    <t>備考</t>
    <rPh sb="0" eb="2">
      <t>ビコウ</t>
    </rPh>
    <phoneticPr fontId="1"/>
  </si>
  <si>
    <t>門付け分配</t>
    <rPh sb="0" eb="2">
      <t>カドヅ</t>
    </rPh>
    <rPh sb="3" eb="5">
      <t>ブンパイ</t>
    </rPh>
    <phoneticPr fontId="1"/>
  </si>
  <si>
    <t>雑収入</t>
    <rPh sb="0" eb="1">
      <t>ザツ</t>
    </rPh>
    <rPh sb="1" eb="3">
      <t>シュウニュウ</t>
    </rPh>
    <phoneticPr fontId="1"/>
  </si>
  <si>
    <t>飲食②（酒）</t>
    <rPh sb="0" eb="2">
      <t>インショク</t>
    </rPh>
    <rPh sb="4" eb="5">
      <t>サケ</t>
    </rPh>
    <phoneticPr fontId="1"/>
  </si>
  <si>
    <t>道路使用許可</t>
    <rPh sb="0" eb="2">
      <t>ドウロ</t>
    </rPh>
    <rPh sb="2" eb="6">
      <t>シヨウキョカ</t>
    </rPh>
    <phoneticPr fontId="1"/>
  </si>
  <si>
    <t>入浴費</t>
    <rPh sb="0" eb="3">
      <t>ニュウヨクヒ</t>
    </rPh>
    <phoneticPr fontId="1"/>
  </si>
  <si>
    <t>お囃子保存会支援費</t>
    <rPh sb="1" eb="3">
      <t>ハヤシ</t>
    </rPh>
    <rPh sb="3" eb="6">
      <t>ホゾンカイ</t>
    </rPh>
    <rPh sb="6" eb="8">
      <t>シエン</t>
    </rPh>
    <rPh sb="8" eb="9">
      <t>ヒ</t>
    </rPh>
    <phoneticPr fontId="1"/>
  </si>
  <si>
    <t>クリーニング</t>
    <phoneticPr fontId="1"/>
  </si>
  <si>
    <t>謝礼</t>
    <rPh sb="0" eb="2">
      <t>シャレイ</t>
    </rPh>
    <phoneticPr fontId="1"/>
  </si>
  <si>
    <t>少年部諸経費</t>
    <rPh sb="0" eb="3">
      <t>ショウネンブ</t>
    </rPh>
    <rPh sb="3" eb="6">
      <t>ショケイヒ</t>
    </rPh>
    <phoneticPr fontId="1"/>
  </si>
  <si>
    <t>合計</t>
    <rPh sb="0" eb="2">
      <t>ゴウケイ</t>
    </rPh>
    <phoneticPr fontId="1"/>
  </si>
  <si>
    <t>ひとまず同額</t>
    <rPh sb="4" eb="6">
      <t>ドウガク</t>
    </rPh>
    <phoneticPr fontId="1"/>
  </si>
  <si>
    <t>中国製</t>
    <rPh sb="0" eb="3">
      <t>チュウゴクセイ</t>
    </rPh>
    <phoneticPr fontId="1"/>
  </si>
  <si>
    <t>No.</t>
    <phoneticPr fontId="1"/>
  </si>
  <si>
    <t>神社分担金・連合渡御反省会</t>
    <rPh sb="0" eb="2">
      <t>ジンジャ</t>
    </rPh>
    <rPh sb="6" eb="8">
      <t>レンゴウ</t>
    </rPh>
    <rPh sb="8" eb="10">
      <t>トギョウ</t>
    </rPh>
    <rPh sb="10" eb="13">
      <t>ハンセイカイ</t>
    </rPh>
    <phoneticPr fontId="1"/>
  </si>
  <si>
    <t>平麻、さらし、わら縄</t>
    <rPh sb="9" eb="10">
      <t>ナワ</t>
    </rPh>
    <phoneticPr fontId="1"/>
  </si>
  <si>
    <t>LEDライト、乾電池、結束バンド</t>
    <rPh sb="7" eb="10">
      <t>カンデンチ</t>
    </rPh>
    <rPh sb="11" eb="13">
      <t>ケッソク</t>
    </rPh>
    <phoneticPr fontId="1"/>
  </si>
  <si>
    <t>三宝（野菜・果物）,お供え餅,赤飯</t>
    <rPh sb="0" eb="2">
      <t>サンポウ</t>
    </rPh>
    <rPh sb="3" eb="5">
      <t>ヤサイ</t>
    </rPh>
    <rPh sb="6" eb="8">
      <t>クダモノ</t>
    </rPh>
    <rPh sb="15" eb="17">
      <t>セキハン</t>
    </rPh>
    <phoneticPr fontId="1"/>
  </si>
  <si>
    <t>11枚</t>
    <rPh sb="2" eb="3">
      <t>マイ</t>
    </rPh>
    <phoneticPr fontId="1"/>
  </si>
  <si>
    <t>氷、プラカップ等</t>
    <rPh sb="0" eb="1">
      <t>コオリ</t>
    </rPh>
    <rPh sb="7" eb="8">
      <t>トウ</t>
    </rPh>
    <phoneticPr fontId="1"/>
  </si>
  <si>
    <t>日本製</t>
    <rPh sb="0" eb="3">
      <t>ニホンセイ</t>
    </rPh>
    <phoneticPr fontId="1"/>
  </si>
  <si>
    <t>のし、白封筒、お礼状用紙</t>
    <rPh sb="3" eb="4">
      <t>シロ</t>
    </rPh>
    <rPh sb="4" eb="6">
      <t>フウトウ</t>
    </rPh>
    <rPh sb="8" eb="10">
      <t>レイジョウ</t>
    </rPh>
    <rPh sb="10" eb="12">
      <t>ヨウシ</t>
    </rPh>
    <phoneticPr fontId="1"/>
  </si>
  <si>
    <t>配布用タオル600枚</t>
    <rPh sb="0" eb="3">
      <t>ハイフヨウ</t>
    </rPh>
    <rPh sb="9" eb="10">
      <t>マイ</t>
    </rPh>
    <phoneticPr fontId="1"/>
  </si>
  <si>
    <t>返礼用タオル300枚</t>
    <rPh sb="0" eb="2">
      <t>ヘンレイ</t>
    </rPh>
    <rPh sb="2" eb="3">
      <t>ヨウ</t>
    </rPh>
    <rPh sb="9" eb="10">
      <t>マイ</t>
    </rPh>
    <phoneticPr fontId="1"/>
  </si>
  <si>
    <t>昨年余りあり</t>
    <rPh sb="0" eb="2">
      <t>サクネン</t>
    </rPh>
    <rPh sb="2" eb="3">
      <t>アマ</t>
    </rPh>
    <phoneticPr fontId="1"/>
  </si>
  <si>
    <t>交通費（買い出しほか）</t>
    <rPh sb="0" eb="3">
      <t>コウツウヒ</t>
    </rPh>
    <phoneticPr fontId="1"/>
  </si>
  <si>
    <t>タスキ、半纏</t>
    <rPh sb="4" eb="6">
      <t>ハンテン</t>
    </rPh>
    <phoneticPr fontId="1"/>
  </si>
  <si>
    <t>Ｒ６年度収入</t>
    <rPh sb="2" eb="4">
      <t>ネンド</t>
    </rPh>
    <rPh sb="4" eb="6">
      <t>シュウニュウ</t>
    </rPh>
    <phoneticPr fontId="1"/>
  </si>
  <si>
    <t>Ｒ６年度支出</t>
    <rPh sb="2" eb="4">
      <t>ネンド</t>
    </rPh>
    <rPh sb="4" eb="6">
      <t>シシュツ</t>
    </rPh>
    <phoneticPr fontId="1"/>
  </si>
  <si>
    <t>差額</t>
    <rPh sb="0" eb="2">
      <t>サガク</t>
    </rPh>
    <phoneticPr fontId="1"/>
  </si>
  <si>
    <t>子供、評議員</t>
    <rPh sb="0" eb="2">
      <t>コドモ</t>
    </rPh>
    <rPh sb="3" eb="6">
      <t>ヒョウギイン</t>
    </rPh>
    <phoneticPr fontId="1"/>
  </si>
  <si>
    <t>飲食①（準備・片付け飲食）</t>
    <rPh sb="0" eb="2">
      <t>インショク</t>
    </rPh>
    <rPh sb="4" eb="6">
      <t>ジュンビ</t>
    </rPh>
    <rPh sb="7" eb="9">
      <t>カタヅ</t>
    </rPh>
    <rPh sb="10" eb="12">
      <t>インショク</t>
    </rPh>
    <phoneticPr fontId="1"/>
  </si>
  <si>
    <t>飲食③（酒以外）</t>
    <rPh sb="0" eb="2">
      <t>インショク</t>
    </rPh>
    <rPh sb="4" eb="5">
      <t>サケ</t>
    </rPh>
    <rPh sb="5" eb="7">
      <t>イガイ</t>
    </rPh>
    <phoneticPr fontId="1"/>
  </si>
  <si>
    <t>飲食④（調味料）</t>
    <rPh sb="0" eb="2">
      <t>インショク</t>
    </rPh>
    <rPh sb="4" eb="7">
      <t>チョウミリョウ</t>
    </rPh>
    <phoneticPr fontId="1"/>
  </si>
  <si>
    <t>飲食⑤（お菓子）</t>
    <rPh sb="0" eb="2">
      <t>インショク</t>
    </rPh>
    <rPh sb="5" eb="7">
      <t>カシ</t>
    </rPh>
    <phoneticPr fontId="1"/>
  </si>
  <si>
    <t>文房具</t>
    <rPh sb="0" eb="3">
      <t>ブンボウグ</t>
    </rPh>
    <phoneticPr fontId="1"/>
  </si>
  <si>
    <t>一般会計で</t>
    <rPh sb="0" eb="4">
      <t>イッパンカイケイ</t>
    </rPh>
    <phoneticPr fontId="1"/>
  </si>
  <si>
    <t>会館会計で</t>
    <rPh sb="0" eb="2">
      <t>カイカン</t>
    </rPh>
    <rPh sb="2" eb="4">
      <t>カイケイ</t>
    </rPh>
    <phoneticPr fontId="1"/>
  </si>
  <si>
    <t>ふきん、ゴミ袋ほか</t>
    <rPh sb="6" eb="7">
      <t>フクロ</t>
    </rPh>
    <phoneticPr fontId="1"/>
  </si>
  <si>
    <t>カップ1000個12千円</t>
    <rPh sb="7" eb="8">
      <t>コ</t>
    </rPh>
    <rPh sb="10" eb="11">
      <t>チ</t>
    </rPh>
    <rPh sb="11" eb="12">
      <t>エン</t>
    </rPh>
    <phoneticPr fontId="1"/>
  </si>
  <si>
    <t>紅白ひも、山車タイヤ</t>
    <rPh sb="0" eb="2">
      <t>コウハク</t>
    </rPh>
    <rPh sb="5" eb="7">
      <t>ダシ</t>
    </rPh>
    <phoneticPr fontId="1"/>
  </si>
  <si>
    <t>町内に５割残す</t>
    <rPh sb="0" eb="2">
      <t>チョウナイ</t>
    </rPh>
    <rPh sb="5" eb="6">
      <t>ノコ</t>
    </rPh>
    <phoneticPr fontId="1"/>
  </si>
  <si>
    <t>寄付・門付の受付 会館１階</t>
    <rPh sb="12" eb="13">
      <t>カイ</t>
    </rPh>
    <phoneticPr fontId="1"/>
  </si>
  <si>
    <t>※【世話人】駒寄会館にて昼食</t>
    <rPh sb="12" eb="14">
      <t>チュウショク</t>
    </rPh>
    <phoneticPr fontId="1"/>
  </si>
  <si>
    <t>②セブンイレブン脇</t>
    <rPh sb="8" eb="9">
      <t>ワキ</t>
    </rPh>
    <phoneticPr fontId="1"/>
  </si>
  <si>
    <t>③サクマ時計店</t>
    <rPh sb="4" eb="7">
      <t>トケイテン</t>
    </rPh>
    <phoneticPr fontId="1"/>
  </si>
  <si>
    <t>【世話人】 昼食（会館２階）</t>
    <rPh sb="0" eb="3">
      <t>セワニン</t>
    </rPh>
    <rPh sb="7" eb="9">
      <t>カイカン</t>
    </rPh>
    <rPh sb="9" eb="10">
      <t>カイ</t>
    </rPh>
    <phoneticPr fontId="1"/>
  </si>
  <si>
    <t>【神輿担ぎ手】お弁当受け取り</t>
    <rPh sb="0" eb="2">
      <t>ミコシ</t>
    </rPh>
    <rPh sb="2" eb="3">
      <t>カツ</t>
    </rPh>
    <rPh sb="4" eb="5">
      <t>テ</t>
    </rPh>
    <rPh sb="10" eb="11">
      <t>ウ</t>
    </rPh>
    <rPh sb="12" eb="13">
      <t>ト</t>
    </rPh>
    <phoneticPr fontId="1"/>
  </si>
  <si>
    <t>②しまうま公園</t>
    <phoneticPr fontId="1"/>
  </si>
  <si>
    <t>（駒寄）世話人の合流</t>
    <rPh sb="1" eb="3">
      <t>コマヨセ</t>
    </rPh>
    <rPh sb="8" eb="10">
      <t>ゴウリュウ</t>
    </rPh>
    <phoneticPr fontId="1"/>
  </si>
  <si>
    <t>評議員（各班にて）返礼タオル配布</t>
    <rPh sb="4" eb="5">
      <t>カク</t>
    </rPh>
    <rPh sb="5" eb="6">
      <t>ハン</t>
    </rPh>
    <phoneticPr fontId="1"/>
  </si>
  <si>
    <t>（福寿さん駐車場にて）</t>
    <phoneticPr fontId="1"/>
  </si>
  <si>
    <t>世話人集合　神輿組み立て</t>
    <rPh sb="0" eb="2">
      <t>セワ</t>
    </rPh>
    <rPh sb="2" eb="3">
      <t>ニン</t>
    </rPh>
    <rPh sb="3" eb="5">
      <t>シュウゴウ</t>
    </rPh>
    <rPh sb="6" eb="8">
      <t>ミコシ</t>
    </rPh>
    <rPh sb="8" eb="9">
      <t>ク</t>
    </rPh>
    <rPh sb="10" eb="11">
      <t>タ</t>
    </rPh>
    <phoneticPr fontId="1"/>
  </si>
  <si>
    <t>各町内担ぎ手集合</t>
    <rPh sb="0" eb="1">
      <t>カク</t>
    </rPh>
    <rPh sb="1" eb="3">
      <t>チョウナイ</t>
    </rPh>
    <rPh sb="3" eb="4">
      <t>カツ</t>
    </rPh>
    <rPh sb="5" eb="6">
      <t>テ</t>
    </rPh>
    <rPh sb="6" eb="8">
      <t>シュウゴウ</t>
    </rPh>
    <phoneticPr fontId="1"/>
  </si>
  <si>
    <t>神社出発</t>
    <rPh sb="0" eb="2">
      <t>ジンジャ</t>
    </rPh>
    <rPh sb="2" eb="4">
      <t>シュッパツ</t>
    </rPh>
    <phoneticPr fontId="1"/>
  </si>
  <si>
    <t>～15:05 ガーデン船越</t>
    <rPh sb="11" eb="13">
      <t>フナコシ</t>
    </rPh>
    <phoneticPr fontId="1"/>
  </si>
  <si>
    <t>～15:20 梅田</t>
    <rPh sb="7" eb="9">
      <t>ウメダ</t>
    </rPh>
    <phoneticPr fontId="1"/>
  </si>
  <si>
    <t>～15:35 八丁目</t>
    <rPh sb="7" eb="8">
      <t>ハッ</t>
    </rPh>
    <rPh sb="8" eb="10">
      <t>チョウメ</t>
    </rPh>
    <phoneticPr fontId="1"/>
  </si>
  <si>
    <t>神社帰還</t>
    <rPh sb="0" eb="2">
      <t>ジンジャ</t>
    </rPh>
    <rPh sb="2" eb="4">
      <t>キカン</t>
    </rPh>
    <phoneticPr fontId="1"/>
  </si>
  <si>
    <t>ご寄付・門付の受付開始</t>
    <phoneticPr fontId="1"/>
  </si>
  <si>
    <t>駒寄担ぎ手　会館前集合</t>
    <rPh sb="0" eb="2">
      <t>コマヨセ</t>
    </rPh>
    <rPh sb="2" eb="3">
      <t>カツ</t>
    </rPh>
    <rPh sb="4" eb="5">
      <t>テ</t>
    </rPh>
    <phoneticPr fontId="1"/>
  </si>
  <si>
    <t>⑩（各町内神輿は帰路へ）</t>
    <phoneticPr fontId="1"/>
  </si>
  <si>
    <t>⑦ピザーラ着（19:40出発）</t>
    <rPh sb="5" eb="6">
      <t>チャク</t>
    </rPh>
    <phoneticPr fontId="1"/>
  </si>
  <si>
    <t>※駒寄帰着予定時刻：21:15</t>
    <rPh sb="1" eb="3">
      <t>コマヨセ</t>
    </rPh>
    <rPh sb="3" eb="5">
      <t>キチャク</t>
    </rPh>
    <rPh sb="5" eb="7">
      <t>ヨテイ</t>
    </rPh>
    <rPh sb="7" eb="9">
      <t>ジコク</t>
    </rPh>
    <phoneticPr fontId="1"/>
  </si>
  <si>
    <t>②セブンイレブン前通過➡</t>
    <rPh sb="8" eb="9">
      <t>ゼン</t>
    </rPh>
    <rPh sb="9" eb="11">
      <t>ツウカ</t>
    </rPh>
    <phoneticPr fontId="1"/>
  </si>
  <si>
    <t>④（逆順で戻る）</t>
    <rPh sb="2" eb="4">
      <t>ギャクジュン</t>
    </rPh>
    <rPh sb="5" eb="6">
      <t>モド</t>
    </rPh>
    <phoneticPr fontId="1"/>
  </si>
  <si>
    <t>⑥岩垂邸前</t>
    <phoneticPr fontId="1"/>
  </si>
  <si>
    <t>※駒寄前道路（セブン手前～ピザーラ）</t>
    <rPh sb="1" eb="3">
      <t>コマヨセ</t>
    </rPh>
    <rPh sb="3" eb="4">
      <t>マエ</t>
    </rPh>
    <rPh sb="4" eb="6">
      <t>ドウロ</t>
    </rPh>
    <rPh sb="10" eb="12">
      <t>テマエ</t>
    </rPh>
    <phoneticPr fontId="1"/>
  </si>
  <si>
    <t>⑥会館到着（解散）</t>
    <phoneticPr fontId="1"/>
  </si>
  <si>
    <t>00</t>
    <phoneticPr fontId="1"/>
  </si>
  <si>
    <t>30</t>
    <phoneticPr fontId="1"/>
  </si>
  <si>
    <t>45</t>
    <phoneticPr fontId="1"/>
  </si>
  <si>
    <t>50</t>
    <phoneticPr fontId="1"/>
  </si>
  <si>
    <t>04</t>
    <phoneticPr fontId="1"/>
  </si>
  <si>
    <t>17</t>
    <phoneticPr fontId="1"/>
  </si>
  <si>
    <t>38</t>
    <phoneticPr fontId="1"/>
  </si>
  <si>
    <t>46</t>
    <phoneticPr fontId="1"/>
  </si>
  <si>
    <t>05</t>
    <phoneticPr fontId="1"/>
  </si>
  <si>
    <t>15</t>
    <phoneticPr fontId="1"/>
  </si>
  <si>
    <t>神社大神輿・山車　渡御</t>
    <rPh sb="0" eb="2">
      <t>ジンジャ</t>
    </rPh>
    <rPh sb="2" eb="3">
      <t>オオ</t>
    </rPh>
    <rPh sb="3" eb="5">
      <t>ミコシ</t>
    </rPh>
    <rPh sb="6" eb="8">
      <t>ダシ</t>
    </rPh>
    <rPh sb="9" eb="11">
      <t>トギョウ</t>
    </rPh>
    <phoneticPr fontId="1"/>
  </si>
  <si>
    <t>20</t>
    <phoneticPr fontId="1"/>
  </si>
  <si>
    <t>40</t>
    <phoneticPr fontId="1"/>
  </si>
  <si>
    <t>25</t>
    <phoneticPr fontId="1"/>
  </si>
  <si>
    <t>35</t>
    <phoneticPr fontId="1"/>
  </si>
  <si>
    <t>44</t>
    <phoneticPr fontId="1"/>
  </si>
  <si>
    <t>19</t>
    <phoneticPr fontId="1"/>
  </si>
  <si>
    <t>36</t>
    <phoneticPr fontId="1"/>
  </si>
  <si>
    <t>48</t>
    <phoneticPr fontId="1"/>
  </si>
  <si>
    <t>09</t>
    <phoneticPr fontId="1"/>
  </si>
  <si>
    <t>34</t>
    <phoneticPr fontId="1"/>
  </si>
  <si>
    <t>43</t>
    <phoneticPr fontId="1"/>
  </si>
  <si>
    <t>18</t>
    <phoneticPr fontId="1"/>
  </si>
  <si>
    <t>53</t>
    <phoneticPr fontId="1"/>
  </si>
  <si>
    <t>33</t>
    <phoneticPr fontId="1"/>
  </si>
  <si>
    <t>07</t>
    <phoneticPr fontId="1"/>
  </si>
  <si>
    <t>16</t>
    <phoneticPr fontId="1"/>
  </si>
  <si>
    <t>会館集合</t>
    <phoneticPr fontId="1"/>
  </si>
  <si>
    <t>渡御終了～直会 準備</t>
    <phoneticPr fontId="1"/>
  </si>
  <si>
    <t xml:space="preserve"> 神輿担ぎ手集合</t>
    <phoneticPr fontId="1"/>
  </si>
  <si>
    <t>①会館出発</t>
    <phoneticPr fontId="1"/>
  </si>
  <si>
    <t>～16:05 駒寄＜入魂式＞</t>
    <rPh sb="7" eb="9">
      <t>コマヨセ</t>
    </rPh>
    <rPh sb="10" eb="12">
      <t>ニュウコン</t>
    </rPh>
    <rPh sb="12" eb="13">
      <t>シキ</t>
    </rPh>
    <phoneticPr fontId="1"/>
  </si>
  <si>
    <t>（会計：会館１階で 終日受付）</t>
    <rPh sb="1" eb="3">
      <t>カイケイ</t>
    </rPh>
    <rPh sb="12" eb="14">
      <t>ウケツケ</t>
    </rPh>
    <phoneticPr fontId="1"/>
  </si>
  <si>
    <t>29</t>
    <phoneticPr fontId="1"/>
  </si>
  <si>
    <t>57</t>
    <phoneticPr fontId="1"/>
  </si>
  <si>
    <t>22</t>
    <phoneticPr fontId="1"/>
  </si>
  <si>
    <t>大人神輿／中神輿</t>
    <rPh sb="5" eb="6">
      <t>チュウ</t>
    </rPh>
    <rPh sb="6" eb="8">
      <t>ミコシ</t>
    </rPh>
    <phoneticPr fontId="1"/>
  </si>
  <si>
    <r>
      <t>町内渡御</t>
    </r>
    <r>
      <rPr>
        <b/>
        <sz val="14"/>
        <color rgb="FFFF0000"/>
        <rFont val="BIZ UDP明朝 Medium"/>
        <family val="1"/>
        <charset val="128"/>
      </rPr>
      <t>　山車／子供神輿</t>
    </r>
    <phoneticPr fontId="1"/>
  </si>
  <si>
    <r>
      <t>お囃子（夜の部）</t>
    </r>
    <r>
      <rPr>
        <b/>
        <sz val="14"/>
        <color rgb="FFFF0000"/>
        <rFont val="BIZ UDP明朝 Medium"/>
        <family val="1"/>
        <charset val="128"/>
      </rPr>
      <t>　山車</t>
    </r>
    <rPh sb="9" eb="11">
      <t>ダシ</t>
    </rPh>
    <phoneticPr fontId="1"/>
  </si>
  <si>
    <t>返礼タオル準備</t>
    <phoneticPr fontId="1"/>
  </si>
  <si>
    <r>
      <t>町内渡御　</t>
    </r>
    <r>
      <rPr>
        <b/>
        <sz val="14"/>
        <color rgb="FFFF0000"/>
        <rFont val="BIZ UDP明朝 Medium"/>
        <family val="1"/>
        <charset val="128"/>
      </rPr>
      <t>山車／子供神輿</t>
    </r>
    <phoneticPr fontId="1"/>
  </si>
  <si>
    <t>直会（なおらい）</t>
    <phoneticPr fontId="1"/>
  </si>
  <si>
    <t>お囃子開始～</t>
    <phoneticPr fontId="1"/>
  </si>
  <si>
    <t>～駒寄 御霊入れまで</t>
    <rPh sb="1" eb="3">
      <t>コマヨセ</t>
    </rPh>
    <rPh sb="4" eb="6">
      <t>ミタマ</t>
    </rPh>
    <rPh sb="6" eb="7">
      <t>イ</t>
    </rPh>
    <phoneticPr fontId="1"/>
  </si>
  <si>
    <t>③松村邸前</t>
    <rPh sb="1" eb="3">
      <t>マツムラ</t>
    </rPh>
    <phoneticPr fontId="1"/>
  </si>
  <si>
    <r>
      <t>②しまうま公園</t>
    </r>
    <r>
      <rPr>
        <sz val="14"/>
        <color rgb="FFFF0000"/>
        <rFont val="BIZ UDP明朝 Medium"/>
        <family val="1"/>
        <charset val="128"/>
      </rPr>
      <t>（休憩）</t>
    </r>
    <phoneticPr fontId="1"/>
  </si>
  <si>
    <r>
      <t>①会館出発</t>
    </r>
    <r>
      <rPr>
        <b/>
        <sz val="14"/>
        <rFont val="BIZ UDP明朝 Medium"/>
        <family val="1"/>
        <charset val="128"/>
      </rPr>
      <t>　（２区内巡行）</t>
    </r>
    <rPh sb="8" eb="9">
      <t>ク</t>
    </rPh>
    <rPh sb="9" eb="10">
      <t>ナイ</t>
    </rPh>
    <rPh sb="10" eb="12">
      <t>ジュンコウ</t>
    </rPh>
    <phoneticPr fontId="1"/>
  </si>
  <si>
    <r>
      <t xml:space="preserve">①会館出発 </t>
    </r>
    <r>
      <rPr>
        <b/>
        <sz val="14"/>
        <color theme="1"/>
        <rFont val="BIZ UDP明朝 Medium"/>
        <family val="1"/>
        <charset val="128"/>
      </rPr>
      <t>午前</t>
    </r>
    <r>
      <rPr>
        <b/>
        <sz val="14"/>
        <rFont val="BIZ UDP明朝 Medium"/>
        <family val="1"/>
        <charset val="128"/>
      </rPr>
      <t>（２区内巡行）</t>
    </r>
    <phoneticPr fontId="1"/>
  </si>
  <si>
    <r>
      <t xml:space="preserve">①会館出発 </t>
    </r>
    <r>
      <rPr>
        <b/>
        <sz val="14"/>
        <color theme="1"/>
        <rFont val="BIZ UDP明朝 Medium"/>
        <family val="1"/>
        <charset val="128"/>
      </rPr>
      <t>午後</t>
    </r>
    <r>
      <rPr>
        <b/>
        <sz val="14"/>
        <rFont val="BIZ UDP明朝 Medium"/>
        <family val="1"/>
        <charset val="128"/>
      </rPr>
      <t>（１区内巡行）</t>
    </r>
    <rPh sb="6" eb="8">
      <t>ゴゴ</t>
    </rPh>
    <rPh sb="10" eb="12">
      <t>クナイ</t>
    </rPh>
    <rPh sb="12" eb="14">
      <t>ジュンコウ</t>
    </rPh>
    <phoneticPr fontId="1"/>
  </si>
  <si>
    <r>
      <t>③サクマ時計店脇</t>
    </r>
    <r>
      <rPr>
        <sz val="14"/>
        <color rgb="FFFF0000"/>
        <rFont val="BIZ UDP明朝 Medium"/>
        <family val="1"/>
        <charset val="128"/>
      </rPr>
      <t>（休憩）</t>
    </r>
    <rPh sb="4" eb="7">
      <t>トケイテン</t>
    </rPh>
    <rPh sb="7" eb="8">
      <t>ワキ</t>
    </rPh>
    <phoneticPr fontId="1"/>
  </si>
  <si>
    <t>※少年部は対象外</t>
    <rPh sb="0" eb="2">
      <t>ショウネン</t>
    </rPh>
    <rPh sb="2" eb="3">
      <t>ブ</t>
    </rPh>
    <rPh sb="4" eb="7">
      <t>タイショウガイ</t>
    </rPh>
    <phoneticPr fontId="1"/>
  </si>
  <si>
    <t>45</t>
  </si>
  <si>
    <t>【駒寄世話人】駒寄会館集合</t>
    <phoneticPr fontId="1"/>
  </si>
  <si>
    <t>【駒寄世話人】駒寄会館に集合</t>
    <phoneticPr fontId="1"/>
  </si>
  <si>
    <t>お囃子【少年部お囃子担当】</t>
    <phoneticPr fontId="1"/>
  </si>
  <si>
    <t>会館 集合</t>
    <rPh sb="0" eb="2">
      <t>カイカン</t>
    </rPh>
    <phoneticPr fontId="1"/>
  </si>
  <si>
    <r>
      <t>～15:50 皆ヶ作</t>
    </r>
    <r>
      <rPr>
        <b/>
        <sz val="12"/>
        <rFont val="BIZ UDP明朝 Medium"/>
        <family val="1"/>
        <charset val="128"/>
      </rPr>
      <t>　駒寄は会館集合</t>
    </r>
    <rPh sb="7" eb="8">
      <t>ミナ</t>
    </rPh>
    <rPh sb="9" eb="10">
      <t>サク</t>
    </rPh>
    <rPh sb="11" eb="13">
      <t>コマヨセ</t>
    </rPh>
    <rPh sb="14" eb="16">
      <t>カイカン</t>
    </rPh>
    <rPh sb="16" eb="18">
      <t>シュウゴウ</t>
    </rPh>
    <phoneticPr fontId="1"/>
  </si>
  <si>
    <r>
      <t>山車・子供神輿渡御の手伝い</t>
    </r>
    <r>
      <rPr>
        <sz val="14"/>
        <color rgb="FF00B050"/>
        <rFont val="BIZ UDP明朝 Medium"/>
        <family val="1"/>
        <charset val="128"/>
      </rPr>
      <t>➡</t>
    </r>
    <phoneticPr fontId="1"/>
  </si>
  <si>
    <t>【町内神輿担ぎ手・警護担当】</t>
    <phoneticPr fontId="1"/>
  </si>
  <si>
    <t>少年部役員・評議員　会館集合</t>
    <rPh sb="0" eb="2">
      <t>ショウネン</t>
    </rPh>
    <rPh sb="2" eb="3">
      <t>ブ</t>
    </rPh>
    <phoneticPr fontId="1"/>
  </si>
  <si>
    <t>評議員：会館２階、トイレ清掃</t>
    <rPh sb="0" eb="3">
      <t>ヒョウギイン</t>
    </rPh>
    <rPh sb="4" eb="6">
      <t>カイカン</t>
    </rPh>
    <rPh sb="7" eb="8">
      <t>カイ</t>
    </rPh>
    <rPh sb="12" eb="14">
      <t>セイソウ</t>
    </rPh>
    <phoneticPr fontId="1"/>
  </si>
  <si>
    <t>町内会長出席（半纏・ネクタイ）</t>
    <rPh sb="0" eb="2">
      <t>チョウナイ</t>
    </rPh>
    <rPh sb="2" eb="4">
      <t>カイチョウ</t>
    </rPh>
    <rPh sb="4" eb="6">
      <t>シュッセキ</t>
    </rPh>
    <rPh sb="7" eb="9">
      <t>ハンテン</t>
    </rPh>
    <phoneticPr fontId="1"/>
  </si>
  <si>
    <r>
      <rPr>
        <b/>
        <sz val="11"/>
        <rFont val="BIZ UDP明朝 Medium"/>
        <family val="1"/>
        <charset val="128"/>
      </rPr>
      <t>：</t>
    </r>
    <r>
      <rPr>
        <b/>
        <sz val="11"/>
        <color rgb="FFFF0000"/>
        <rFont val="BIZ UDP明朝 Medium"/>
        <family val="1"/>
        <charset val="128"/>
      </rPr>
      <t>　大人神輿／中神輿／子供神輿</t>
    </r>
    <rPh sb="7" eb="8">
      <t>チュウ</t>
    </rPh>
    <rPh sb="8" eb="10">
      <t>ミコシ</t>
    </rPh>
    <rPh sb="11" eb="13">
      <t>コドモ</t>
    </rPh>
    <rPh sb="13" eb="15">
      <t>ミコシ</t>
    </rPh>
    <phoneticPr fontId="1"/>
  </si>
  <si>
    <t>⑤青山木工所⇒やおぎん</t>
    <rPh sb="1" eb="3">
      <t>アオヤマ</t>
    </rPh>
    <rPh sb="3" eb="5">
      <t>モッコウ</t>
    </rPh>
    <rPh sb="5" eb="6">
      <t>ジョ</t>
    </rPh>
    <phoneticPr fontId="1"/>
  </si>
  <si>
    <r>
      <t>④参番館駐車場</t>
    </r>
    <r>
      <rPr>
        <sz val="14"/>
        <color rgb="FFEE0000"/>
        <rFont val="BIZ UDP明朝 Medium"/>
        <family val="1"/>
        <charset val="128"/>
      </rPr>
      <t>（休憩）</t>
    </r>
    <rPh sb="8" eb="10">
      <t>キュウケイ</t>
    </rPh>
    <phoneticPr fontId="1"/>
  </si>
  <si>
    <t>⑤会館到着（解散）</t>
    <rPh sb="6" eb="8">
      <t>カイサン</t>
    </rPh>
    <phoneticPr fontId="1"/>
  </si>
  <si>
    <t>③軍司邸前</t>
    <phoneticPr fontId="1"/>
  </si>
  <si>
    <t>④赤荻邸前</t>
    <phoneticPr fontId="1"/>
  </si>
  <si>
    <t>③</t>
    <phoneticPr fontId="1"/>
  </si>
  <si>
    <r>
      <t>⑤松村邸前</t>
    </r>
    <r>
      <rPr>
        <sz val="14"/>
        <color rgb="FFEE0000"/>
        <rFont val="BIZ UDP明朝 Medium"/>
        <family val="1"/>
        <charset val="128"/>
      </rPr>
      <t>（休憩）</t>
    </r>
    <phoneticPr fontId="1"/>
  </si>
  <si>
    <t>⑤仲通り商店街 （17:24発）</t>
    <rPh sb="1" eb="3">
      <t>ナカドオリ</t>
    </rPh>
    <rPh sb="4" eb="7">
      <t>ショウテンガイ</t>
    </rPh>
    <phoneticPr fontId="1"/>
  </si>
  <si>
    <t>神社神輿＋山車二基　渡御</t>
    <rPh sb="5" eb="7">
      <t>ダシ</t>
    </rPh>
    <rPh sb="7" eb="9">
      <t>ニキ</t>
    </rPh>
    <rPh sb="9" eb="11">
      <t>トギョウ</t>
    </rPh>
    <phoneticPr fontId="1"/>
  </si>
  <si>
    <t>54</t>
    <phoneticPr fontId="1"/>
  </si>
  <si>
    <t>※神社9:00集合</t>
    <rPh sb="1" eb="3">
      <t>ジンジャ</t>
    </rPh>
    <rPh sb="7" eb="9">
      <t>シュウゴウ</t>
    </rPh>
    <phoneticPr fontId="1"/>
  </si>
  <si>
    <t>式典挙行（神殿）</t>
    <rPh sb="5" eb="7">
      <t>シンデン</t>
    </rPh>
    <phoneticPr fontId="1"/>
  </si>
  <si>
    <t>式典準備（神社）</t>
    <rPh sb="0" eb="2">
      <t>シキテン</t>
    </rPh>
    <rPh sb="2" eb="4">
      <t>ジュンビ</t>
    </rPh>
    <rPh sb="5" eb="7">
      <t>ジンジャ</t>
    </rPh>
    <phoneticPr fontId="1"/>
  </si>
  <si>
    <t>①神社（出御）</t>
    <rPh sb="5" eb="6">
      <t>ギョ</t>
    </rPh>
    <phoneticPr fontId="1"/>
  </si>
  <si>
    <t>世話人　御仮屋集合</t>
    <rPh sb="0" eb="3">
      <t>セワニン</t>
    </rPh>
    <rPh sb="4" eb="7">
      <t>オカリヤ</t>
    </rPh>
    <rPh sb="7" eb="9">
      <t>シュウゴウ</t>
    </rPh>
    <phoneticPr fontId="1"/>
  </si>
  <si>
    <t xml:space="preserve">②船越タクシー前出御 </t>
    <rPh sb="9" eb="10">
      <t>オ</t>
    </rPh>
    <phoneticPr fontId="1"/>
  </si>
  <si>
    <t>④ガーデン船越神酒所 着</t>
    <rPh sb="5" eb="7">
      <t>フナコシ</t>
    </rPh>
    <rPh sb="7" eb="10">
      <t>ミキショ</t>
    </rPh>
    <rPh sb="9" eb="10">
      <t>ショ</t>
    </rPh>
    <rPh sb="11" eb="12">
      <t>チャク</t>
    </rPh>
    <phoneticPr fontId="1"/>
  </si>
  <si>
    <t>ガーデン船越神酒所 発</t>
    <rPh sb="4" eb="6">
      <t>フナコシ</t>
    </rPh>
    <rPh sb="6" eb="9">
      <t>ミキショ</t>
    </rPh>
    <rPh sb="8" eb="9">
      <t>ショ</t>
    </rPh>
    <rPh sb="10" eb="11">
      <t>ハツ</t>
    </rPh>
    <phoneticPr fontId="1"/>
  </si>
  <si>
    <t>⑤梅田先鋒（10:06発）</t>
    <rPh sb="1" eb="3">
      <t>ウメダ</t>
    </rPh>
    <rPh sb="3" eb="5">
      <t>センポウ</t>
    </rPh>
    <phoneticPr fontId="1"/>
  </si>
  <si>
    <t>⑥梅田神酒所（10:29発）</t>
    <rPh sb="1" eb="3">
      <t>ウメダ</t>
    </rPh>
    <rPh sb="3" eb="6">
      <t>ミキショ</t>
    </rPh>
    <rPh sb="5" eb="6">
      <t>ショ</t>
    </rPh>
    <rPh sb="12" eb="13">
      <t>ハツ</t>
    </rPh>
    <phoneticPr fontId="1"/>
  </si>
  <si>
    <t>⑦八丁目先鋒（10:37発）</t>
    <rPh sb="1" eb="4">
      <t>ハッチョウメ</t>
    </rPh>
    <rPh sb="4" eb="6">
      <t>センポウ</t>
    </rPh>
    <rPh sb="12" eb="13">
      <t>ハツ</t>
    </rPh>
    <phoneticPr fontId="1"/>
  </si>
  <si>
    <t>⑧八丁目神酒所（10:58発）</t>
    <rPh sb="1" eb="4">
      <t>ハッチョウメ</t>
    </rPh>
    <rPh sb="4" eb="7">
      <t>ミキショ</t>
    </rPh>
    <rPh sb="6" eb="7">
      <t>ショ</t>
    </rPh>
    <rPh sb="13" eb="14">
      <t>ハツ</t>
    </rPh>
    <phoneticPr fontId="1"/>
  </si>
  <si>
    <t>⑨皆ヶ作先鋒（11:10発）</t>
    <rPh sb="1" eb="4">
      <t>カイガサク</t>
    </rPh>
    <rPh sb="4" eb="6">
      <t>センポウ</t>
    </rPh>
    <phoneticPr fontId="1"/>
  </si>
  <si>
    <t>⑩皆ヶ作神酒所 到着</t>
    <rPh sb="1" eb="4">
      <t>カイガサク</t>
    </rPh>
    <rPh sb="4" eb="7">
      <t>ミキショ</t>
    </rPh>
    <rPh sb="6" eb="7">
      <t>ショ</t>
    </rPh>
    <rPh sb="8" eb="10">
      <t>トウチャク</t>
    </rPh>
    <phoneticPr fontId="1"/>
  </si>
  <si>
    <t>⑪駒寄先鋒（11:51発）旧旭建材</t>
    <rPh sb="1" eb="3">
      <t>コマヨセ</t>
    </rPh>
    <rPh sb="3" eb="5">
      <t>センポウ</t>
    </rPh>
    <rPh sb="13" eb="14">
      <t>キュウ</t>
    </rPh>
    <rPh sb="14" eb="15">
      <t>アサヒ</t>
    </rPh>
    <rPh sb="15" eb="17">
      <t>ケンザイ</t>
    </rPh>
    <phoneticPr fontId="1"/>
  </si>
  <si>
    <t>⑫駒寄神酒所 到着（神輿くぐり）</t>
    <rPh sb="1" eb="3">
      <t>コマヨセ</t>
    </rPh>
    <rPh sb="3" eb="6">
      <t>ミキショ</t>
    </rPh>
    <rPh sb="5" eb="6">
      <t>ショ</t>
    </rPh>
    <rPh sb="7" eb="9">
      <t>トウチャク</t>
    </rPh>
    <rPh sb="10" eb="12">
      <t>ミコシ</t>
    </rPh>
    <phoneticPr fontId="1"/>
  </si>
  <si>
    <t>駒寄神酒所 出発</t>
    <rPh sb="6" eb="8">
      <t>シュッパツ</t>
    </rPh>
    <phoneticPr fontId="1"/>
  </si>
  <si>
    <t>⑬南郷先鋒（12:23発）船小の下</t>
    <rPh sb="1" eb="3">
      <t>ナンゴウ</t>
    </rPh>
    <rPh sb="3" eb="5">
      <t>センポウ</t>
    </rPh>
    <rPh sb="11" eb="12">
      <t>ハツ</t>
    </rPh>
    <rPh sb="13" eb="14">
      <t>フネ</t>
    </rPh>
    <rPh sb="14" eb="15">
      <t>ショウ</t>
    </rPh>
    <rPh sb="16" eb="17">
      <t>シタ</t>
    </rPh>
    <phoneticPr fontId="1"/>
  </si>
  <si>
    <t>⑭根倉商店（12:39発）</t>
    <rPh sb="1" eb="2">
      <t>ネ</t>
    </rPh>
    <rPh sb="2" eb="3">
      <t>クラ</t>
    </rPh>
    <rPh sb="3" eb="5">
      <t>ショウテン</t>
    </rPh>
    <rPh sb="11" eb="12">
      <t>ハツ</t>
    </rPh>
    <phoneticPr fontId="1"/>
  </si>
  <si>
    <t>⑮南郷神酒所　到着</t>
    <rPh sb="1" eb="3">
      <t>ナンゴウ</t>
    </rPh>
    <phoneticPr fontId="1"/>
  </si>
  <si>
    <t>南郷神酒所　出発</t>
    <rPh sb="0" eb="2">
      <t>ナンゴウ</t>
    </rPh>
    <rPh sb="6" eb="8">
      <t>シュッパツ</t>
    </rPh>
    <phoneticPr fontId="1"/>
  </si>
  <si>
    <t>⑯防災トンネル前　到着（13:48発）</t>
    <rPh sb="7" eb="8">
      <t>マエ</t>
    </rPh>
    <rPh sb="9" eb="11">
      <t>トウチャク</t>
    </rPh>
    <phoneticPr fontId="1"/>
  </si>
  <si>
    <r>
      <t>⑰</t>
    </r>
    <r>
      <rPr>
        <sz val="12"/>
        <color theme="1"/>
        <rFont val="BIZ UDP明朝 Medium"/>
        <family val="1"/>
        <charset val="128"/>
      </rPr>
      <t>トンネル</t>
    </r>
    <r>
      <rPr>
        <sz val="14"/>
        <color theme="1"/>
        <rFont val="BIZ UDP明朝 Medium"/>
        <family val="1"/>
        <charset val="128"/>
      </rPr>
      <t>中央:三丁目先鋒（14:06発）</t>
    </r>
    <rPh sb="5" eb="7">
      <t>チュウオウ</t>
    </rPh>
    <rPh sb="8" eb="11">
      <t>サンチョウメ</t>
    </rPh>
    <rPh sb="11" eb="13">
      <t>センポウ</t>
    </rPh>
    <phoneticPr fontId="1"/>
  </si>
  <si>
    <t>⑱三丁目神酒所（14:28発）</t>
    <phoneticPr fontId="1"/>
  </si>
  <si>
    <r>
      <t>⑲大木</t>
    </r>
    <r>
      <rPr>
        <sz val="12"/>
        <color theme="1"/>
        <rFont val="BIZ UDP明朝 Medium"/>
        <family val="1"/>
        <charset val="128"/>
      </rPr>
      <t>タバコ</t>
    </r>
    <r>
      <rPr>
        <sz val="14"/>
        <color theme="1"/>
        <rFont val="BIZ UDP明朝 Medium"/>
        <family val="1"/>
        <charset val="128"/>
      </rPr>
      <t>：二丁目先鋒（14:41発）</t>
    </r>
    <rPh sb="1" eb="3">
      <t>オオキ</t>
    </rPh>
    <rPh sb="7" eb="8">
      <t>ニ</t>
    </rPh>
    <phoneticPr fontId="1"/>
  </si>
  <si>
    <t>⑳二丁目奥駐車場（15:03発）</t>
    <rPh sb="1" eb="4">
      <t>ニチョウメ</t>
    </rPh>
    <rPh sb="4" eb="5">
      <t>オク</t>
    </rPh>
    <rPh sb="5" eb="8">
      <t>チュウシャジョウ</t>
    </rPh>
    <phoneticPr fontId="1"/>
  </si>
  <si>
    <t>㉑二丁目神酒所（15:29発）</t>
    <phoneticPr fontId="1"/>
  </si>
  <si>
    <t>㉒一丁目先鋒（15:34発）</t>
    <rPh sb="1" eb="2">
      <t>イチ</t>
    </rPh>
    <phoneticPr fontId="1"/>
  </si>
  <si>
    <t>㉓一丁目神酒所（15:54発）</t>
    <phoneticPr fontId="1"/>
  </si>
  <si>
    <t>㉔仲通り商店街（16:09発）</t>
    <rPh sb="1" eb="2">
      <t>ナカ</t>
    </rPh>
    <rPh sb="2" eb="3">
      <t>ドオ</t>
    </rPh>
    <rPh sb="4" eb="7">
      <t>ショウテンガイ</t>
    </rPh>
    <phoneticPr fontId="1"/>
  </si>
  <si>
    <t>㉕北消防署（16:18発）</t>
    <rPh sb="1" eb="2">
      <t>キタ</t>
    </rPh>
    <rPh sb="2" eb="5">
      <t>ショウボウショ</t>
    </rPh>
    <phoneticPr fontId="1"/>
  </si>
  <si>
    <t>㉘船越神社 還御</t>
    <rPh sb="3" eb="5">
      <t>ジンジャ</t>
    </rPh>
    <rPh sb="6" eb="8">
      <t>カンギョ</t>
    </rPh>
    <phoneticPr fontId="1"/>
  </si>
  <si>
    <t>船越神社納め</t>
    <phoneticPr fontId="1"/>
  </si>
  <si>
    <t>※神輿／山車解体</t>
    <rPh sb="1" eb="3">
      <t>ミコシ</t>
    </rPh>
    <rPh sb="4" eb="6">
      <t>ダシ</t>
    </rPh>
    <rPh sb="6" eb="8">
      <t>カイタイ</t>
    </rPh>
    <phoneticPr fontId="1"/>
  </si>
  <si>
    <r>
      <t>四町内 連合渡御</t>
    </r>
    <r>
      <rPr>
        <b/>
        <sz val="14"/>
        <color rgb="FFFF0000"/>
        <rFont val="BIZ UDP明朝 Medium"/>
        <family val="1"/>
        <charset val="128"/>
      </rPr>
      <t>　大人神輿</t>
    </r>
    <rPh sb="0" eb="1">
      <t>ヨン</t>
    </rPh>
    <rPh sb="1" eb="3">
      <t>チョウナイ</t>
    </rPh>
    <phoneticPr fontId="1"/>
  </si>
  <si>
    <t>休憩（20:15出発）</t>
    <rPh sb="0" eb="2">
      <t>キュウケイ</t>
    </rPh>
    <phoneticPr fontId="1"/>
  </si>
  <si>
    <t>①四町内 駒寄会館前集合</t>
    <rPh sb="1" eb="2">
      <t>ヨン</t>
    </rPh>
    <rPh sb="2" eb="4">
      <t>チョウナイ</t>
    </rPh>
    <rPh sb="5" eb="7">
      <t>コマヨセ</t>
    </rPh>
    <rPh sb="9" eb="10">
      <t>マエ</t>
    </rPh>
    <rPh sb="10" eb="12">
      <t>シュウゴウ</t>
    </rPh>
    <phoneticPr fontId="1"/>
  </si>
  <si>
    <t>会館（出発）</t>
    <phoneticPr fontId="1"/>
  </si>
  <si>
    <t>③船越タクシー前　着</t>
    <rPh sb="9" eb="10">
      <t>チャク</t>
    </rPh>
    <phoneticPr fontId="1"/>
  </si>
  <si>
    <t>⑨セブンイレブン前　着</t>
    <rPh sb="10" eb="11">
      <t>チャク</t>
    </rPh>
    <phoneticPr fontId="1"/>
  </si>
  <si>
    <t>＜四辻合わせ＞</t>
    <rPh sb="3" eb="4">
      <t>ア</t>
    </rPh>
    <phoneticPr fontId="1"/>
  </si>
  <si>
    <t>⑦駒寄会館 着</t>
    <rPh sb="1" eb="3">
      <t>コマヨセ</t>
    </rPh>
    <rPh sb="3" eb="5">
      <t>カイカン</t>
    </rPh>
    <rPh sb="6" eb="7">
      <t>チャク</t>
    </rPh>
    <phoneticPr fontId="1"/>
  </si>
  <si>
    <r>
      <t xml:space="preserve">１区　町内渡御（門付） </t>
    </r>
    <r>
      <rPr>
        <b/>
        <u/>
        <sz val="14"/>
        <color rgb="FFFF0000"/>
        <rFont val="BIZ UDP明朝 Medium"/>
        <family val="1"/>
        <charset val="128"/>
      </rPr>
      <t>中神輿</t>
    </r>
    <rPh sb="1" eb="2">
      <t>ク</t>
    </rPh>
    <phoneticPr fontId="1"/>
  </si>
  <si>
    <r>
      <t xml:space="preserve">２区　町内渡御（門付） </t>
    </r>
    <r>
      <rPr>
        <b/>
        <u/>
        <sz val="14"/>
        <color rgb="FFFF0000"/>
        <rFont val="BIZ UDP明朝 Medium"/>
        <family val="1"/>
        <charset val="128"/>
      </rPr>
      <t>中神輿</t>
    </r>
    <rPh sb="1" eb="2">
      <t>ク</t>
    </rPh>
    <phoneticPr fontId="1"/>
  </si>
  <si>
    <t>㉖船越神社鳥居下（通過）</t>
    <phoneticPr fontId="1"/>
  </si>
  <si>
    <t>皆ヶ作 神輿合わせ</t>
    <phoneticPr fontId="1"/>
  </si>
  <si>
    <t>宮司・安全祈祷</t>
    <rPh sb="0" eb="2">
      <t>グウジ</t>
    </rPh>
    <rPh sb="3" eb="5">
      <t>アンゼン</t>
    </rPh>
    <rPh sb="5" eb="7">
      <t>キトウ</t>
    </rPh>
    <phoneticPr fontId="1"/>
  </si>
  <si>
    <r>
      <t>②行政</t>
    </r>
    <r>
      <rPr>
        <sz val="12"/>
        <color theme="1"/>
        <rFont val="BIZ UDP明朝 Medium"/>
        <family val="1"/>
        <charset val="128"/>
      </rPr>
      <t>センター</t>
    </r>
    <r>
      <rPr>
        <sz val="14"/>
        <color theme="1"/>
        <rFont val="BIZ UDP明朝 Medium"/>
        <family val="1"/>
        <charset val="128"/>
      </rPr>
      <t>前着 （16:52発）</t>
    </r>
    <rPh sb="1" eb="3">
      <t>ギョウセイ</t>
    </rPh>
    <rPh sb="7" eb="8">
      <t>マエ</t>
    </rPh>
    <rPh sb="8" eb="9">
      <t>キ</t>
    </rPh>
    <phoneticPr fontId="1"/>
  </si>
  <si>
    <t>③東芝ライテック （17:24発）</t>
    <phoneticPr fontId="1"/>
  </si>
  <si>
    <t>④セブンイレブン前（通過）</t>
    <phoneticPr fontId="1"/>
  </si>
  <si>
    <t>⑥川島菓子店（通過）</t>
    <phoneticPr fontId="1"/>
  </si>
  <si>
    <t>⑦船越タクシー前 （17:51発）</t>
    <phoneticPr fontId="1"/>
  </si>
  <si>
    <t>⑧御仮屋（椎野畳店）到着</t>
    <rPh sb="5" eb="7">
      <t>シイノ</t>
    </rPh>
    <rPh sb="7" eb="8">
      <t>タタミ</t>
    </rPh>
    <rPh sb="8" eb="9">
      <t>ミセ</t>
    </rPh>
    <phoneticPr fontId="1"/>
  </si>
  <si>
    <t>神輿・御仮屋　格納</t>
    <rPh sb="7" eb="9">
      <t>カクノウ</t>
    </rPh>
    <phoneticPr fontId="1"/>
  </si>
  <si>
    <t>①御仮屋（椎野畳店）運搬➡船タク</t>
    <rPh sb="10" eb="12">
      <t>ウンパン</t>
    </rPh>
    <rPh sb="13" eb="14">
      <t>フナ</t>
    </rPh>
    <phoneticPr fontId="1"/>
  </si>
  <si>
    <r>
      <t>③ガーデン船越先鋒</t>
    </r>
    <r>
      <rPr>
        <sz val="14"/>
        <color rgb="FFFF0000"/>
        <rFont val="BIZ UDP明朝 Medium"/>
        <family val="1"/>
        <charset val="128"/>
      </rPr>
      <t>（9:38発）</t>
    </r>
    <r>
      <rPr>
        <sz val="12"/>
        <rFont val="BIZ UDP明朝 Medium"/>
        <family val="1"/>
        <charset val="128"/>
      </rPr>
      <t>サクマ</t>
    </r>
    <rPh sb="5" eb="7">
      <t>フナコシ</t>
    </rPh>
    <rPh sb="7" eb="9">
      <t>センポウ</t>
    </rPh>
    <phoneticPr fontId="1"/>
  </si>
  <si>
    <r>
      <t>②カレー屋（ニサン）前</t>
    </r>
    <r>
      <rPr>
        <sz val="14"/>
        <color rgb="FFEE0000"/>
        <rFont val="BIZ UDP明朝 Medium"/>
        <family val="1"/>
        <charset val="128"/>
      </rPr>
      <t>（休憩）</t>
    </r>
    <phoneticPr fontId="1"/>
  </si>
  <si>
    <t>④行政センター（折り返し）</t>
    <rPh sb="1" eb="3">
      <t>ギョウセイ</t>
    </rPh>
    <rPh sb="8" eb="9">
      <t>オ</t>
    </rPh>
    <rPh sb="10" eb="11">
      <t>カエ</t>
    </rPh>
    <phoneticPr fontId="1"/>
  </si>
  <si>
    <r>
      <t>⑤ガーデン参番館駐車場</t>
    </r>
    <r>
      <rPr>
        <sz val="14"/>
        <color rgb="FFEE0000"/>
        <rFont val="BIZ UDP明朝 Medium"/>
        <family val="1"/>
        <charset val="128"/>
      </rPr>
      <t>（休憩）</t>
    </r>
    <phoneticPr fontId="1"/>
  </si>
  <si>
    <t>⑥前田邸脇</t>
    <rPh sb="1" eb="3">
      <t>マエダ</t>
    </rPh>
    <rPh sb="3" eb="4">
      <t>テイ</t>
    </rPh>
    <rPh sb="4" eb="5">
      <t>ワキ</t>
    </rPh>
    <phoneticPr fontId="1"/>
  </si>
  <si>
    <t>⑦会館到着</t>
    <phoneticPr fontId="1"/>
  </si>
  <si>
    <t xml:space="preserve">①会館出発 </t>
    <phoneticPr fontId="1"/>
  </si>
  <si>
    <t>【駒寄担ぎ手】旧旭建材 集合</t>
    <rPh sb="3" eb="4">
      <t>カツ</t>
    </rPh>
    <rPh sb="5" eb="6">
      <t>テ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</si>
</sst>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#,##0;&quot;△ &quot;#,##0"/>
  </numFmts>
  <fonts count="4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2"/>
      <scheme val="minor"/>
    </font>
    <font>
      <sz val="10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sz val="10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0"/>
      <color theme="1"/>
      <name val="Segoe UI Symbol"/>
      <family val="2"/>
      <charset val="1"/>
    </font>
    <font>
      <sz val="11"/>
      <color theme="1"/>
      <name val="Yu Gothic"/>
      <family val="3"/>
      <charset val="128"/>
      <scheme val="minor"/>
    </font>
    <font>
      <sz val="16"/>
      <color theme="1"/>
      <name val="メイリオ"/>
      <family val="3"/>
      <charset val="128"/>
    </font>
    <font>
      <b/>
      <sz val="16"/>
      <color theme="1"/>
      <name val="Yu Gothic"/>
      <family val="3"/>
      <charset val="128"/>
      <scheme val="minor"/>
    </font>
    <font>
      <sz val="16"/>
      <name val="メイリオ"/>
      <family val="3"/>
      <charset val="128"/>
    </font>
    <font>
      <b/>
      <sz val="16"/>
      <color theme="1"/>
      <name val="メイリオ"/>
      <family val="3"/>
      <charset val="128"/>
    </font>
    <font>
      <sz val="20"/>
      <color theme="1"/>
      <name val="BIZ UDP明朝 Medium"/>
      <family val="1"/>
      <charset val="128"/>
    </font>
    <font>
      <sz val="11"/>
      <color theme="1"/>
      <name val="BIZ UDP明朝 Medium"/>
      <family val="1"/>
      <charset val="128"/>
    </font>
    <font>
      <b/>
      <sz val="20"/>
      <color theme="1"/>
      <name val="BIZ UDP明朝 Medium"/>
      <family val="1"/>
      <charset val="128"/>
    </font>
    <font>
      <b/>
      <sz val="16"/>
      <name val="メイリオ"/>
      <family val="3"/>
      <charset val="128"/>
    </font>
    <font>
      <sz val="12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6"/>
      <color rgb="FFFF0000"/>
      <name val="メイリオ"/>
      <family val="3"/>
      <charset val="128"/>
    </font>
    <font>
      <b/>
      <sz val="10"/>
      <color indexed="8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14"/>
      <color theme="1"/>
      <name val="BIZ UDP明朝 Medium"/>
      <family val="1"/>
      <charset val="128"/>
    </font>
    <font>
      <b/>
      <sz val="14"/>
      <name val="BIZ UDP明朝 Medium"/>
      <family val="1"/>
      <charset val="128"/>
    </font>
    <font>
      <sz val="14"/>
      <color theme="1"/>
      <name val="BIZ UDP明朝 Medium"/>
      <family val="1"/>
      <charset val="128"/>
    </font>
    <font>
      <b/>
      <sz val="14"/>
      <name val="BIZ UDPゴシック"/>
      <family val="3"/>
      <charset val="128"/>
    </font>
    <font>
      <sz val="14"/>
      <name val="BIZ UDP明朝 Medium"/>
      <family val="1"/>
      <charset val="128"/>
    </font>
    <font>
      <b/>
      <sz val="14"/>
      <color rgb="FFFF0000"/>
      <name val="BIZ UDP明朝 Medium"/>
      <family val="1"/>
      <charset val="128"/>
    </font>
    <font>
      <sz val="14"/>
      <color rgb="FFFF0000"/>
      <name val="BIZ UDP明朝 Medium"/>
      <family val="1"/>
      <charset val="128"/>
    </font>
    <font>
      <sz val="14"/>
      <color rgb="FFEE0000"/>
      <name val="BIZ UDP明朝 Medium"/>
      <family val="1"/>
      <charset val="128"/>
    </font>
    <font>
      <b/>
      <sz val="14"/>
      <color theme="1"/>
      <name val="BIZ UDPゴシック"/>
      <family val="3"/>
      <charset val="128"/>
    </font>
    <font>
      <b/>
      <sz val="14"/>
      <color rgb="FF00B050"/>
      <name val="BIZ UDP明朝 Medium"/>
      <family val="1"/>
      <charset val="128"/>
    </font>
    <font>
      <sz val="12"/>
      <color theme="1"/>
      <name val="BIZ UDP明朝 Medium"/>
      <family val="1"/>
      <charset val="128"/>
    </font>
    <font>
      <sz val="12"/>
      <name val="BIZ UDP明朝 Medium"/>
      <family val="1"/>
      <charset val="128"/>
    </font>
    <font>
      <b/>
      <sz val="12"/>
      <name val="BIZ UDP明朝 Medium"/>
      <family val="1"/>
      <charset val="128"/>
    </font>
    <font>
      <b/>
      <sz val="12"/>
      <color theme="1"/>
      <name val="BIZ UDP明朝 Medium"/>
      <family val="1"/>
      <charset val="128"/>
    </font>
    <font>
      <sz val="14"/>
      <color rgb="FF00B050"/>
      <name val="BIZ UDP明朝 Medium"/>
      <family val="1"/>
      <charset val="128"/>
    </font>
    <font>
      <b/>
      <sz val="11"/>
      <color rgb="FFFF0000"/>
      <name val="BIZ UDP明朝 Medium"/>
      <family val="1"/>
      <charset val="128"/>
    </font>
    <font>
      <b/>
      <sz val="11"/>
      <name val="BIZ UDP明朝 Medium"/>
      <family val="1"/>
      <charset val="128"/>
    </font>
    <font>
      <sz val="12"/>
      <color rgb="FFFF0000"/>
      <name val="BIZ UDP明朝 Medium"/>
      <family val="1"/>
      <charset val="128"/>
    </font>
    <font>
      <b/>
      <u/>
      <sz val="14"/>
      <color theme="1"/>
      <name val="BIZ UDP明朝 Medium"/>
      <family val="1"/>
      <charset val="128"/>
    </font>
    <font>
      <b/>
      <u/>
      <sz val="14"/>
      <color rgb="FFFF0000"/>
      <name val="BIZ UDP明朝 Medium"/>
      <family val="1"/>
      <charset val="128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theme="0"/>
      </right>
      <top style="thin">
        <color auto="1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ck">
        <color theme="0"/>
      </left>
      <right/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/>
      <diagonal/>
    </border>
    <border>
      <left style="mediumDashed">
        <color rgb="FFFF0000"/>
      </left>
      <right style="mediumDashed">
        <color rgb="FFFF0000"/>
      </right>
      <top/>
      <bottom/>
      <diagonal/>
    </border>
    <border>
      <left style="mediumDashed">
        <color rgb="FFFF0000"/>
      </left>
      <right style="mediumDashed">
        <color rgb="FFFF0000"/>
      </right>
      <top/>
      <bottom style="mediumDashed">
        <color rgb="FFFF0000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ck">
        <color theme="0"/>
      </left>
      <right/>
      <top style="thin">
        <color auto="1"/>
      </top>
      <bottom/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ck">
        <color theme="0"/>
      </right>
      <top style="thin">
        <color auto="1"/>
      </top>
      <bottom style="hair">
        <color auto="1"/>
      </bottom>
      <diagonal/>
    </border>
    <border>
      <left/>
      <right style="thick">
        <color theme="0"/>
      </right>
      <top/>
      <bottom style="hair">
        <color auto="1"/>
      </bottom>
      <diagonal/>
    </border>
    <border>
      <left/>
      <right style="thin">
        <color theme="0"/>
      </right>
      <top/>
      <bottom style="hair">
        <color auto="1"/>
      </bottom>
      <diagonal/>
    </border>
    <border>
      <left style="mediumDashed">
        <color rgb="FFFF0000"/>
      </left>
      <right style="mediumDashed">
        <color rgb="FFFF0000"/>
      </right>
      <top/>
      <bottom style="hair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ck">
        <color theme="0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2">
    <xf numFmtId="0" fontId="0" fillId="0" borderId="0"/>
    <xf numFmtId="38" fontId="2" fillId="0" borderId="0" applyFont="0" applyFill="0" applyBorder="0" applyAlignment="0" applyProtection="0">
      <alignment vertical="center"/>
    </xf>
  </cellStyleXfs>
  <cellXfs count="348">
    <xf numFmtId="0" fontId="0" fillId="0" borderId="0" xfId="0"/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38" fontId="0" fillId="0" borderId="1" xfId="1" applyFont="1" applyBorder="1" applyAlignment="1">
      <alignment horizontal="right" vertical="center"/>
    </xf>
    <xf numFmtId="38" fontId="5" fillId="0" borderId="1" xfId="1" applyFont="1" applyBorder="1">
      <alignment vertical="center"/>
    </xf>
    <xf numFmtId="38" fontId="5" fillId="0" borderId="1" xfId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/>
    <xf numFmtId="0" fontId="0" fillId="0" borderId="0" xfId="0" applyAlignment="1">
      <alignment horizontal="right"/>
    </xf>
    <xf numFmtId="38" fontId="5" fillId="0" borderId="4" xfId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5" fontId="9" fillId="0" borderId="1" xfId="0" applyNumberFormat="1" applyFont="1" applyBorder="1" applyAlignment="1">
      <alignment vertical="center"/>
    </xf>
    <xf numFmtId="0" fontId="9" fillId="0" borderId="2" xfId="0" applyFont="1" applyBorder="1"/>
    <xf numFmtId="0" fontId="9" fillId="0" borderId="0" xfId="0" applyFont="1" applyAlignment="1">
      <alignment vertical="top"/>
    </xf>
    <xf numFmtId="5" fontId="9" fillId="4" borderId="1" xfId="0" applyNumberFormat="1" applyFont="1" applyFill="1" applyBorder="1" applyAlignment="1">
      <alignment vertical="center"/>
    </xf>
    <xf numFmtId="0" fontId="10" fillId="0" borderId="0" xfId="0" applyFont="1" applyAlignment="1">
      <alignment horizontal="left" vertical="top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6" borderId="0" xfId="0" applyFont="1" applyFill="1"/>
    <xf numFmtId="0" fontId="9" fillId="7" borderId="0" xfId="0" applyFont="1" applyFill="1"/>
    <xf numFmtId="0" fontId="9" fillId="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12" xfId="0" applyFont="1" applyFill="1" applyBorder="1"/>
    <xf numFmtId="0" fontId="9" fillId="7" borderId="3" xfId="0" applyFont="1" applyFill="1" applyBorder="1"/>
    <xf numFmtId="0" fontId="9" fillId="7" borderId="5" xfId="0" applyFont="1" applyFill="1" applyBorder="1"/>
    <xf numFmtId="5" fontId="9" fillId="6" borderId="1" xfId="0" applyNumberFormat="1" applyFont="1" applyFill="1" applyBorder="1" applyAlignment="1">
      <alignment vertical="center"/>
    </xf>
    <xf numFmtId="0" fontId="9" fillId="7" borderId="7" xfId="0" applyFont="1" applyFill="1" applyBorder="1"/>
    <xf numFmtId="0" fontId="9" fillId="7" borderId="8" xfId="0" applyFont="1" applyFill="1" applyBorder="1"/>
    <xf numFmtId="0" fontId="9" fillId="7" borderId="9" xfId="0" applyFont="1" applyFill="1" applyBorder="1"/>
    <xf numFmtId="0" fontId="9" fillId="7" borderId="10" xfId="0" applyFont="1" applyFill="1" applyBorder="1"/>
    <xf numFmtId="0" fontId="9" fillId="7" borderId="0" xfId="0" applyFont="1" applyFill="1" applyAlignment="1">
      <alignment horizontal="left"/>
    </xf>
    <xf numFmtId="5" fontId="9" fillId="0" borderId="1" xfId="0" applyNumberFormat="1" applyFont="1" applyBorder="1" applyAlignment="1">
      <alignment horizontal="right" vertical="center"/>
    </xf>
    <xf numFmtId="5" fontId="9" fillId="6" borderId="0" xfId="0" applyNumberFormat="1" applyFont="1" applyFill="1" applyAlignment="1">
      <alignment vertical="center"/>
    </xf>
    <xf numFmtId="5" fontId="9" fillId="7" borderId="0" xfId="0" applyNumberFormat="1" applyFont="1" applyFill="1" applyAlignment="1">
      <alignment vertical="center"/>
    </xf>
    <xf numFmtId="0" fontId="9" fillId="7" borderId="0" xfId="0" applyFont="1" applyFill="1" applyAlignment="1">
      <alignment horizontal="right"/>
    </xf>
    <xf numFmtId="0" fontId="9" fillId="7" borderId="0" xfId="0" applyFont="1" applyFill="1" applyAlignment="1">
      <alignment vertical="center"/>
    </xf>
    <xf numFmtId="0" fontId="9" fillId="7" borderId="4" xfId="0" applyFont="1" applyFill="1" applyBorder="1"/>
    <xf numFmtId="0" fontId="9" fillId="7" borderId="2" xfId="0" applyFont="1" applyFill="1" applyBorder="1"/>
    <xf numFmtId="0" fontId="9" fillId="7" borderId="6" xfId="0" applyFont="1" applyFill="1" applyBorder="1"/>
    <xf numFmtId="0" fontId="9" fillId="7" borderId="0" xfId="0" applyFont="1" applyFill="1" applyAlignment="1">
      <alignment horizontal="left" vertical="center"/>
    </xf>
    <xf numFmtId="5" fontId="11" fillId="0" borderId="1" xfId="0" applyNumberFormat="1" applyFont="1" applyBorder="1" applyAlignment="1">
      <alignment vertical="center"/>
    </xf>
    <xf numFmtId="5" fontId="11" fillId="6" borderId="1" xfId="0" applyNumberFormat="1" applyFont="1" applyFill="1" applyBorder="1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5" fontId="12" fillId="4" borderId="1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3" borderId="1" xfId="0" applyFont="1" applyFill="1" applyBorder="1" applyAlignment="1">
      <alignment horizontal="center" vertical="center" wrapText="1"/>
    </xf>
    <xf numFmtId="5" fontId="16" fillId="0" borderId="1" xfId="0" applyNumberFormat="1" applyFont="1" applyBorder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5" fontId="16" fillId="6" borderId="1" xfId="0" applyNumberFormat="1" applyFont="1" applyFill="1" applyBorder="1" applyAlignment="1">
      <alignment vertical="center"/>
    </xf>
    <xf numFmtId="5" fontId="12" fillId="0" borderId="1" xfId="0" applyNumberFormat="1" applyFont="1" applyBorder="1" applyAlignment="1">
      <alignment vertical="center"/>
    </xf>
    <xf numFmtId="0" fontId="17" fillId="7" borderId="3" xfId="0" applyFont="1" applyFill="1" applyBorder="1"/>
    <xf numFmtId="0" fontId="17" fillId="7" borderId="5" xfId="0" applyFont="1" applyFill="1" applyBorder="1"/>
    <xf numFmtId="0" fontId="17" fillId="7" borderId="7" xfId="0" applyFont="1" applyFill="1" applyBorder="1"/>
    <xf numFmtId="0" fontId="17" fillId="7" borderId="8" xfId="0" applyFont="1" applyFill="1" applyBorder="1"/>
    <xf numFmtId="0" fontId="18" fillId="0" borderId="0" xfId="0" applyFont="1" applyAlignment="1">
      <alignment horizontal="right" vertical="top"/>
    </xf>
    <xf numFmtId="5" fontId="18" fillId="0" borderId="0" xfId="0" applyNumberFormat="1" applyFont="1" applyAlignment="1">
      <alignment vertical="top"/>
    </xf>
    <xf numFmtId="0" fontId="11" fillId="3" borderId="1" xfId="0" applyFont="1" applyFill="1" applyBorder="1" applyAlignment="1">
      <alignment horizontal="center" vertical="center" wrapText="1"/>
    </xf>
    <xf numFmtId="176" fontId="19" fillId="0" borderId="1" xfId="0" applyNumberFormat="1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5" fontId="0" fillId="0" borderId="0" xfId="0" applyNumberFormat="1"/>
    <xf numFmtId="5" fontId="0" fillId="4" borderId="2" xfId="0" applyNumberFormat="1" applyFill="1" applyBorder="1"/>
    <xf numFmtId="5" fontId="0" fillId="0" borderId="2" xfId="0" applyNumberFormat="1" applyBorder="1"/>
    <xf numFmtId="5" fontId="0" fillId="0" borderId="3" xfId="0" applyNumberFormat="1" applyBorder="1"/>
    <xf numFmtId="0" fontId="0" fillId="4" borderId="10" xfId="0" applyFill="1" applyBorder="1"/>
    <xf numFmtId="0" fontId="0" fillId="0" borderId="10" xfId="0" applyBorder="1"/>
    <xf numFmtId="0" fontId="0" fillId="0" borderId="8" xfId="0" applyBorder="1"/>
    <xf numFmtId="0" fontId="0" fillId="2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7" xfId="0" applyFill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6" fontId="0" fillId="0" borderId="3" xfId="0" applyNumberFormat="1" applyBorder="1"/>
    <xf numFmtId="5" fontId="6" fillId="0" borderId="2" xfId="0" applyNumberFormat="1" applyFont="1" applyBorder="1"/>
    <xf numFmtId="0" fontId="8" fillId="0" borderId="0" xfId="0" applyFont="1" applyAlignment="1">
      <alignment vertical="center"/>
    </xf>
    <xf numFmtId="20" fontId="21" fillId="0" borderId="0" xfId="0" quotePrefix="1" applyNumberFormat="1" applyFont="1" applyAlignment="1">
      <alignment horizontal="left" vertical="center" indent="1"/>
    </xf>
    <xf numFmtId="0" fontId="2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14" xfId="0" applyFont="1" applyBorder="1" applyAlignment="1">
      <alignment horizontal="center" vertical="center"/>
    </xf>
    <xf numFmtId="0" fontId="24" fillId="0" borderId="0" xfId="0" quotePrefix="1" applyFont="1" applyAlignment="1">
      <alignment horizontal="left" vertical="center"/>
    </xf>
    <xf numFmtId="0" fontId="24" fillId="0" borderId="0" xfId="0" applyFont="1" applyAlignment="1">
      <alignment horizontal="left" vertical="center" indent="1"/>
    </xf>
    <xf numFmtId="20" fontId="25" fillId="0" borderId="13" xfId="0" applyNumberFormat="1" applyFont="1" applyBorder="1" applyAlignment="1">
      <alignment horizontal="left" vertical="center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20" fontId="24" fillId="7" borderId="17" xfId="0" quotePrefix="1" applyNumberFormat="1" applyFont="1" applyFill="1" applyBorder="1" applyAlignment="1">
      <alignment horizontal="left" vertical="center"/>
    </xf>
    <xf numFmtId="0" fontId="22" fillId="7" borderId="17" xfId="0" applyFont="1" applyFill="1" applyBorder="1" applyAlignment="1">
      <alignment horizontal="left" vertical="center" indent="1"/>
    </xf>
    <xf numFmtId="20" fontId="24" fillId="0" borderId="14" xfId="0" quotePrefix="1" applyNumberFormat="1" applyFont="1" applyBorder="1" applyAlignment="1">
      <alignment horizontal="left" vertical="center"/>
    </xf>
    <xf numFmtId="20" fontId="24" fillId="0" borderId="14" xfId="0" quotePrefix="1" applyNumberFormat="1" applyFont="1" applyBorder="1" applyAlignment="1">
      <alignment horizontal="center" vertical="center"/>
    </xf>
    <xf numFmtId="0" fontId="24" fillId="7" borderId="0" xfId="0" applyFont="1" applyFill="1" applyAlignment="1">
      <alignment horizontal="left" vertical="center"/>
    </xf>
    <xf numFmtId="0" fontId="24" fillId="7" borderId="0" xfId="0" applyFont="1" applyFill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7" borderId="12" xfId="0" applyFont="1" applyFill="1" applyBorder="1" applyAlignment="1">
      <alignment vertical="center"/>
    </xf>
    <xf numFmtId="20" fontId="25" fillId="0" borderId="0" xfId="0" applyNumberFormat="1" applyFont="1" applyAlignment="1">
      <alignment horizontal="left" vertical="center"/>
    </xf>
    <xf numFmtId="20" fontId="24" fillId="0" borderId="14" xfId="0" applyNumberFormat="1" applyFont="1" applyBorder="1" applyAlignment="1">
      <alignment horizontal="center" vertical="center"/>
    </xf>
    <xf numFmtId="0" fontId="24" fillId="0" borderId="0" xfId="0" quotePrefix="1" applyFont="1" applyAlignment="1">
      <alignment vertical="center"/>
    </xf>
    <xf numFmtId="0" fontId="22" fillId="0" borderId="14" xfId="0" applyFont="1" applyBorder="1" applyAlignment="1">
      <alignment horizontal="center" vertical="center"/>
    </xf>
    <xf numFmtId="0" fontId="24" fillId="8" borderId="17" xfId="0" applyFont="1" applyFill="1" applyBorder="1" applyAlignment="1">
      <alignment horizontal="left" vertical="center"/>
    </xf>
    <xf numFmtId="0" fontId="22" fillId="8" borderId="17" xfId="0" applyFont="1" applyFill="1" applyBorder="1" applyAlignment="1">
      <alignment horizontal="left" vertical="center" indent="1"/>
    </xf>
    <xf numFmtId="0" fontId="26" fillId="8" borderId="0" xfId="0" quotePrefix="1" applyFont="1" applyFill="1" applyAlignment="1">
      <alignment horizontal="left" vertical="center"/>
    </xf>
    <xf numFmtId="0" fontId="24" fillId="8" borderId="0" xfId="0" applyFont="1" applyFill="1" applyAlignment="1">
      <alignment vertical="center"/>
    </xf>
    <xf numFmtId="0" fontId="24" fillId="0" borderId="0" xfId="0" quotePrefix="1" applyFont="1" applyAlignment="1">
      <alignment horizontal="left" vertical="center" indent="1"/>
    </xf>
    <xf numFmtId="0" fontId="24" fillId="8" borderId="0" xfId="0" applyFont="1" applyFill="1" applyAlignment="1">
      <alignment horizontal="left" vertical="center"/>
    </xf>
    <xf numFmtId="0" fontId="24" fillId="0" borderId="14" xfId="0" quotePrefix="1" applyFont="1" applyBorder="1" applyAlignment="1">
      <alignment horizontal="center" vertical="center"/>
    </xf>
    <xf numFmtId="20" fontId="26" fillId="8" borderId="0" xfId="0" quotePrefix="1" applyNumberFormat="1" applyFont="1" applyFill="1" applyAlignment="1">
      <alignment horizontal="left" vertical="center"/>
    </xf>
    <xf numFmtId="0" fontId="22" fillId="5" borderId="17" xfId="0" applyFont="1" applyFill="1" applyBorder="1" applyAlignment="1">
      <alignment horizontal="left" vertical="center" indent="1"/>
    </xf>
    <xf numFmtId="0" fontId="24" fillId="5" borderId="0" xfId="0" quotePrefix="1" applyFont="1" applyFill="1" applyAlignment="1">
      <alignment horizontal="left" vertical="center"/>
    </xf>
    <xf numFmtId="0" fontId="24" fillId="8" borderId="0" xfId="0" quotePrefix="1" applyFont="1" applyFill="1" applyAlignment="1">
      <alignment horizontal="left" vertical="center"/>
    </xf>
    <xf numFmtId="0" fontId="22" fillId="8" borderId="0" xfId="0" applyFont="1" applyFill="1" applyAlignment="1">
      <alignment horizontal="left" vertical="center" indent="1"/>
    </xf>
    <xf numFmtId="0" fontId="24" fillId="5" borderId="0" xfId="0" quotePrefix="1" applyFont="1" applyFill="1" applyAlignment="1">
      <alignment horizontal="left" vertical="center" indent="1"/>
    </xf>
    <xf numFmtId="0" fontId="24" fillId="8" borderId="0" xfId="0" applyFont="1" applyFill="1" applyAlignment="1">
      <alignment horizontal="left" vertical="center" indent="1"/>
    </xf>
    <xf numFmtId="0" fontId="24" fillId="5" borderId="12" xfId="0" quotePrefix="1" applyFont="1" applyFill="1" applyBorder="1" applyAlignment="1">
      <alignment horizontal="left" vertical="center" indent="1"/>
    </xf>
    <xf numFmtId="20" fontId="25" fillId="0" borderId="0" xfId="0" quotePrefix="1" applyNumberFormat="1" applyFont="1" applyAlignment="1">
      <alignment horizontal="center" vertical="center"/>
    </xf>
    <xf numFmtId="0" fontId="24" fillId="9" borderId="17" xfId="0" applyFont="1" applyFill="1" applyBorder="1" applyAlignment="1">
      <alignment horizontal="left" vertical="center"/>
    </xf>
    <xf numFmtId="0" fontId="22" fillId="9" borderId="18" xfId="0" quotePrefix="1" applyFont="1" applyFill="1" applyBorder="1" applyAlignment="1">
      <alignment horizontal="left" vertical="center" indent="1"/>
    </xf>
    <xf numFmtId="0" fontId="24" fillId="8" borderId="12" xfId="0" applyFont="1" applyFill="1" applyBorder="1" applyAlignment="1">
      <alignment horizontal="left" vertical="center" indent="1"/>
    </xf>
    <xf numFmtId="0" fontId="22" fillId="9" borderId="17" xfId="0" applyFont="1" applyFill="1" applyBorder="1" applyAlignment="1">
      <alignment horizontal="left" vertical="center" indent="1"/>
    </xf>
    <xf numFmtId="0" fontId="24" fillId="9" borderId="0" xfId="0" quotePrefix="1" applyFont="1" applyFill="1" applyAlignment="1">
      <alignment horizontal="left" vertical="center"/>
    </xf>
    <xf numFmtId="0" fontId="24" fillId="9" borderId="0" xfId="0" quotePrefix="1" applyFont="1" applyFill="1" applyAlignment="1">
      <alignment horizontal="left" vertical="center" indent="1"/>
    </xf>
    <xf numFmtId="0" fontId="28" fillId="0" borderId="0" xfId="0" quotePrefix="1" applyFont="1" applyAlignment="1">
      <alignment horizontal="left" vertical="center"/>
    </xf>
    <xf numFmtId="0" fontId="24" fillId="9" borderId="0" xfId="0" applyFont="1" applyFill="1" applyAlignment="1">
      <alignment horizontal="left" vertical="center"/>
    </xf>
    <xf numFmtId="0" fontId="24" fillId="9" borderId="0" xfId="0" applyFont="1" applyFill="1" applyAlignment="1">
      <alignment vertical="center"/>
    </xf>
    <xf numFmtId="0" fontId="26" fillId="9" borderId="7" xfId="0" quotePrefix="1" applyFont="1" applyFill="1" applyBorder="1" applyAlignment="1">
      <alignment horizontal="left" vertical="center"/>
    </xf>
    <xf numFmtId="0" fontId="24" fillId="9" borderId="2" xfId="0" quotePrefix="1" applyFont="1" applyFill="1" applyBorder="1" applyAlignment="1">
      <alignment horizontal="left" vertical="center" indent="1"/>
    </xf>
    <xf numFmtId="0" fontId="24" fillId="9" borderId="7" xfId="0" applyFont="1" applyFill="1" applyBorder="1" applyAlignment="1">
      <alignment horizontal="left" vertical="center"/>
    </xf>
    <xf numFmtId="20" fontId="25" fillId="9" borderId="21" xfId="0" quotePrefix="1" applyNumberFormat="1" applyFont="1" applyFill="1" applyBorder="1" applyAlignment="1">
      <alignment horizontal="left" vertical="center"/>
    </xf>
    <xf numFmtId="0" fontId="24" fillId="9" borderId="0" xfId="0" quotePrefix="1" applyFont="1" applyFill="1" applyAlignment="1">
      <alignment vertical="center"/>
    </xf>
    <xf numFmtId="0" fontId="24" fillId="9" borderId="7" xfId="0" quotePrefix="1" applyFont="1" applyFill="1" applyBorder="1" applyAlignment="1">
      <alignment horizontal="left" vertical="center"/>
    </xf>
    <xf numFmtId="0" fontId="24" fillId="9" borderId="2" xfId="0" applyFont="1" applyFill="1" applyBorder="1" applyAlignment="1">
      <alignment horizontal="left" vertical="center" indent="1"/>
    </xf>
    <xf numFmtId="0" fontId="24" fillId="9" borderId="0" xfId="0" applyFont="1" applyFill="1" applyAlignment="1">
      <alignment horizontal="left" vertical="center" indent="1"/>
    </xf>
    <xf numFmtId="0" fontId="26" fillId="9" borderId="3" xfId="0" applyFont="1" applyFill="1" applyBorder="1" applyAlignment="1">
      <alignment horizontal="left" vertical="center" indent="1"/>
    </xf>
    <xf numFmtId="0" fontId="22" fillId="9" borderId="20" xfId="0" applyFont="1" applyFill="1" applyBorder="1" applyAlignment="1">
      <alignment horizontal="left" vertical="center"/>
    </xf>
    <xf numFmtId="0" fontId="22" fillId="9" borderId="14" xfId="0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left" vertical="center" indent="1"/>
    </xf>
    <xf numFmtId="0" fontId="24" fillId="9" borderId="0" xfId="0" applyFont="1" applyFill="1" applyAlignment="1">
      <alignment horizontal="center" vertical="center"/>
    </xf>
    <xf numFmtId="0" fontId="28" fillId="9" borderId="9" xfId="0" applyFont="1" applyFill="1" applyBorder="1" applyAlignment="1">
      <alignment horizontal="left" vertical="center"/>
    </xf>
    <xf numFmtId="0" fontId="24" fillId="10" borderId="5" xfId="0" applyFont="1" applyFill="1" applyBorder="1" applyAlignment="1">
      <alignment horizontal="left" vertical="center"/>
    </xf>
    <xf numFmtId="0" fontId="30" fillId="10" borderId="17" xfId="0" applyFont="1" applyFill="1" applyBorder="1" applyAlignment="1">
      <alignment horizontal="left" vertical="center" indent="1"/>
    </xf>
    <xf numFmtId="0" fontId="24" fillId="0" borderId="0" xfId="0" applyFont="1" applyAlignment="1">
      <alignment horizontal="left" vertical="center" indent="6"/>
    </xf>
    <xf numFmtId="0" fontId="24" fillId="0" borderId="0" xfId="0" applyFont="1" applyAlignment="1">
      <alignment horizontal="right" vertical="center"/>
    </xf>
    <xf numFmtId="0" fontId="24" fillId="0" borderId="0" xfId="0" quotePrefix="1" applyFont="1" applyAlignment="1">
      <alignment horizontal="right" vertical="center"/>
    </xf>
    <xf numFmtId="20" fontId="22" fillId="0" borderId="14" xfId="0" quotePrefix="1" applyNumberFormat="1" applyFont="1" applyBorder="1" applyAlignment="1">
      <alignment horizontal="center" vertical="center"/>
    </xf>
    <xf numFmtId="20" fontId="24" fillId="0" borderId="0" xfId="0" quotePrefix="1" applyNumberFormat="1" applyFont="1" applyAlignment="1">
      <alignment horizontal="right" vertical="center"/>
    </xf>
    <xf numFmtId="0" fontId="24" fillId="8" borderId="0" xfId="0" applyFont="1" applyFill="1" applyAlignment="1">
      <alignment horizontal="right" vertical="center"/>
    </xf>
    <xf numFmtId="20" fontId="24" fillId="0" borderId="0" xfId="0" quotePrefix="1" applyNumberFormat="1" applyFont="1" applyAlignment="1">
      <alignment horizontal="left" vertical="center" indent="1"/>
    </xf>
    <xf numFmtId="20" fontId="24" fillId="8" borderId="0" xfId="0" quotePrefix="1" applyNumberFormat="1" applyFont="1" applyFill="1" applyAlignment="1">
      <alignment horizontal="right" vertical="center"/>
    </xf>
    <xf numFmtId="20" fontId="24" fillId="8" borderId="22" xfId="0" applyNumberFormat="1" applyFont="1" applyFill="1" applyBorder="1" applyAlignment="1">
      <alignment horizontal="left" vertical="center" indent="1"/>
    </xf>
    <xf numFmtId="20" fontId="24" fillId="0" borderId="0" xfId="0" quotePrefix="1" applyNumberFormat="1" applyFont="1" applyAlignment="1">
      <alignment horizontal="left" vertical="center"/>
    </xf>
    <xf numFmtId="20" fontId="26" fillId="8" borderId="0" xfId="0" quotePrefix="1" applyNumberFormat="1" applyFont="1" applyFill="1" applyAlignment="1">
      <alignment horizontal="right" vertical="center"/>
    </xf>
    <xf numFmtId="20" fontId="26" fillId="8" borderId="22" xfId="0" applyNumberFormat="1" applyFont="1" applyFill="1" applyBorder="1" applyAlignment="1">
      <alignment horizontal="left" vertical="center" indent="1"/>
    </xf>
    <xf numFmtId="0" fontId="24" fillId="5" borderId="17" xfId="0" applyFont="1" applyFill="1" applyBorder="1" applyAlignment="1">
      <alignment horizontal="right" vertical="center"/>
    </xf>
    <xf numFmtId="20" fontId="24" fillId="5" borderId="0" xfId="0" quotePrefix="1" applyNumberFormat="1" applyFont="1" applyFill="1" applyAlignment="1">
      <alignment horizontal="left" vertical="center"/>
    </xf>
    <xf numFmtId="20" fontId="24" fillId="5" borderId="0" xfId="0" quotePrefix="1" applyNumberFormat="1" applyFont="1" applyFill="1" applyAlignment="1">
      <alignment horizontal="right" vertical="center"/>
    </xf>
    <xf numFmtId="20" fontId="24" fillId="5" borderId="0" xfId="0" quotePrefix="1" applyNumberFormat="1" applyFont="1" applyFill="1" applyAlignment="1">
      <alignment horizontal="left" vertical="center" indent="1"/>
    </xf>
    <xf numFmtId="20" fontId="24" fillId="5" borderId="12" xfId="0" quotePrefix="1" applyNumberFormat="1" applyFont="1" applyFill="1" applyBorder="1" applyAlignment="1">
      <alignment horizontal="right" vertical="center"/>
    </xf>
    <xf numFmtId="20" fontId="24" fillId="5" borderId="12" xfId="0" quotePrefix="1" applyNumberFormat="1" applyFont="1" applyFill="1" applyBorder="1" applyAlignment="1">
      <alignment horizontal="left" vertical="center" indent="1"/>
    </xf>
    <xf numFmtId="20" fontId="22" fillId="8" borderId="23" xfId="0" applyNumberFormat="1" applyFont="1" applyFill="1" applyBorder="1" applyAlignment="1">
      <alignment horizontal="center" vertical="center"/>
    </xf>
    <xf numFmtId="20" fontId="22" fillId="8" borderId="24" xfId="0" applyNumberFormat="1" applyFont="1" applyFill="1" applyBorder="1" applyAlignment="1">
      <alignment horizontal="left" vertical="center" indent="1"/>
    </xf>
    <xf numFmtId="20" fontId="22" fillId="8" borderId="25" xfId="0" applyNumberFormat="1" applyFont="1" applyFill="1" applyBorder="1" applyAlignment="1">
      <alignment horizontal="left" vertical="center" indent="1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right" vertical="center"/>
    </xf>
    <xf numFmtId="20" fontId="22" fillId="0" borderId="0" xfId="0" applyNumberFormat="1" applyFont="1" applyAlignment="1">
      <alignment horizontal="left" vertical="center" indent="2"/>
    </xf>
    <xf numFmtId="20" fontId="24" fillId="5" borderId="17" xfId="0" quotePrefix="1" applyNumberFormat="1" applyFont="1" applyFill="1" applyBorder="1" applyAlignment="1">
      <alignment horizontal="right" vertical="center"/>
    </xf>
    <xf numFmtId="20" fontId="24" fillId="9" borderId="0" xfId="0" quotePrefix="1" applyNumberFormat="1" applyFont="1" applyFill="1" applyAlignment="1">
      <alignment horizontal="right" vertical="center"/>
    </xf>
    <xf numFmtId="20" fontId="24" fillId="9" borderId="0" xfId="0" quotePrefix="1" applyNumberFormat="1" applyFont="1" applyFill="1" applyAlignment="1">
      <alignment horizontal="left" vertical="center"/>
    </xf>
    <xf numFmtId="0" fontId="24" fillId="5" borderId="0" xfId="0" applyFont="1" applyFill="1" applyAlignment="1">
      <alignment vertical="center"/>
    </xf>
    <xf numFmtId="20" fontId="24" fillId="9" borderId="0" xfId="0" quotePrefix="1" applyNumberFormat="1" applyFont="1" applyFill="1" applyAlignment="1">
      <alignment horizontal="left" vertical="center" indent="1"/>
    </xf>
    <xf numFmtId="0" fontId="24" fillId="5" borderId="0" xfId="0" applyFont="1" applyFill="1" applyAlignment="1">
      <alignment horizontal="right" vertical="center"/>
    </xf>
    <xf numFmtId="20" fontId="26" fillId="9" borderId="0" xfId="0" quotePrefix="1" applyNumberFormat="1" applyFont="1" applyFill="1" applyAlignment="1">
      <alignment horizontal="left" vertical="center" indent="1"/>
    </xf>
    <xf numFmtId="20" fontId="24" fillId="9" borderId="0" xfId="0" applyNumberFormat="1" applyFont="1" applyFill="1" applyAlignment="1">
      <alignment horizontal="left" vertical="center" indent="1"/>
    </xf>
    <xf numFmtId="20" fontId="26" fillId="5" borderId="12" xfId="0" quotePrefix="1" applyNumberFormat="1" applyFont="1" applyFill="1" applyBorder="1" applyAlignment="1">
      <alignment horizontal="right" vertical="center"/>
    </xf>
    <xf numFmtId="20" fontId="26" fillId="9" borderId="0" xfId="0" applyNumberFormat="1" applyFont="1" applyFill="1" applyAlignment="1">
      <alignment horizontal="left" vertical="center" indent="1"/>
    </xf>
    <xf numFmtId="20" fontId="22" fillId="0" borderId="0" xfId="0" quotePrefix="1" applyNumberFormat="1" applyFont="1" applyAlignment="1">
      <alignment horizontal="left" vertical="center" indent="1"/>
    </xf>
    <xf numFmtId="20" fontId="22" fillId="0" borderId="19" xfId="0" applyNumberFormat="1" applyFont="1" applyBorder="1" applyAlignment="1">
      <alignment horizontal="right" vertical="center"/>
    </xf>
    <xf numFmtId="0" fontId="26" fillId="9" borderId="17" xfId="0" applyFont="1" applyFill="1" applyBorder="1" applyAlignment="1">
      <alignment horizontal="left" vertical="center"/>
    </xf>
    <xf numFmtId="0" fontId="24" fillId="9" borderId="0" xfId="0" applyFont="1" applyFill="1" applyAlignment="1">
      <alignment horizontal="right" vertical="center"/>
    </xf>
    <xf numFmtId="0" fontId="22" fillId="9" borderId="0" xfId="0" applyFont="1" applyFill="1" applyAlignment="1">
      <alignment horizontal="right" vertical="center"/>
    </xf>
    <xf numFmtId="0" fontId="22" fillId="9" borderId="0" xfId="0" applyFont="1" applyFill="1" applyAlignment="1">
      <alignment horizontal="left" vertical="center" indent="1"/>
    </xf>
    <xf numFmtId="20" fontId="22" fillId="0" borderId="0" xfId="0" applyNumberFormat="1" applyFont="1" applyAlignment="1">
      <alignment horizontal="left" vertical="center" indent="1"/>
    </xf>
    <xf numFmtId="20" fontId="22" fillId="9" borderId="0" xfId="0" applyNumberFormat="1" applyFont="1" applyFill="1" applyAlignment="1">
      <alignment horizontal="right" vertical="center"/>
    </xf>
    <xf numFmtId="20" fontId="22" fillId="9" borderId="0" xfId="0" applyNumberFormat="1" applyFont="1" applyFill="1" applyAlignment="1">
      <alignment horizontal="left" vertical="center" indent="1"/>
    </xf>
    <xf numFmtId="20" fontId="24" fillId="9" borderId="12" xfId="0" applyNumberFormat="1" applyFont="1" applyFill="1" applyBorder="1" applyAlignment="1">
      <alignment horizontal="left" vertical="center" indent="1"/>
    </xf>
    <xf numFmtId="20" fontId="24" fillId="0" borderId="17" xfId="0" applyNumberFormat="1" applyFont="1" applyBorder="1" applyAlignment="1">
      <alignment horizontal="left" vertical="center" indent="1"/>
    </xf>
    <xf numFmtId="20" fontId="24" fillId="0" borderId="0" xfId="0" applyNumberFormat="1" applyFont="1" applyAlignment="1">
      <alignment horizontal="left" vertical="center" indent="1"/>
    </xf>
    <xf numFmtId="20" fontId="24" fillId="9" borderId="17" xfId="0" quotePrefix="1" applyNumberFormat="1" applyFont="1" applyFill="1" applyBorder="1" applyAlignment="1">
      <alignment horizontal="right" vertical="center"/>
    </xf>
    <xf numFmtId="20" fontId="22" fillId="9" borderId="17" xfId="0" applyNumberFormat="1" applyFont="1" applyFill="1" applyBorder="1" applyAlignment="1">
      <alignment horizontal="left" vertical="center" indent="1"/>
    </xf>
    <xf numFmtId="20" fontId="22" fillId="0" borderId="0" xfId="0" applyNumberFormat="1" applyFont="1" applyAlignment="1">
      <alignment horizontal="left" vertical="center"/>
    </xf>
    <xf numFmtId="0" fontId="27" fillId="9" borderId="0" xfId="0" applyFont="1" applyFill="1" applyAlignment="1">
      <alignment horizontal="center" vertical="center"/>
    </xf>
    <xf numFmtId="0" fontId="24" fillId="9" borderId="12" xfId="0" applyFont="1" applyFill="1" applyBorder="1" applyAlignment="1">
      <alignment horizontal="right" vertical="center"/>
    </xf>
    <xf numFmtId="20" fontId="24" fillId="9" borderId="12" xfId="0" applyNumberFormat="1" applyFont="1" applyFill="1" applyBorder="1" applyAlignment="1">
      <alignment horizontal="center" vertical="center"/>
    </xf>
    <xf numFmtId="0" fontId="22" fillId="10" borderId="17" xfId="0" applyFont="1" applyFill="1" applyBorder="1" applyAlignment="1">
      <alignment horizontal="left" vertical="center" indent="1"/>
    </xf>
    <xf numFmtId="20" fontId="24" fillId="10" borderId="17" xfId="0" quotePrefix="1" applyNumberFormat="1" applyFont="1" applyFill="1" applyBorder="1" applyAlignment="1">
      <alignment horizontal="right" vertical="center"/>
    </xf>
    <xf numFmtId="20" fontId="25" fillId="7" borderId="12" xfId="0" applyNumberFormat="1" applyFont="1" applyFill="1" applyBorder="1" applyAlignment="1">
      <alignment horizontal="left" vertical="center"/>
    </xf>
    <xf numFmtId="0" fontId="26" fillId="8" borderId="17" xfId="0" quotePrefix="1" applyFont="1" applyFill="1" applyBorder="1" applyAlignment="1">
      <alignment horizontal="left" vertical="center"/>
    </xf>
    <xf numFmtId="0" fontId="23" fillId="8" borderId="17" xfId="0" applyFont="1" applyFill="1" applyBorder="1" applyAlignment="1">
      <alignment horizontal="left" vertical="center"/>
    </xf>
    <xf numFmtId="0" fontId="26" fillId="8" borderId="0" xfId="0" applyFont="1" applyFill="1" applyAlignment="1">
      <alignment vertical="center"/>
    </xf>
    <xf numFmtId="0" fontId="26" fillId="8" borderId="0" xfId="0" applyFont="1" applyFill="1" applyAlignment="1">
      <alignment horizontal="left" vertical="center"/>
    </xf>
    <xf numFmtId="0" fontId="26" fillId="8" borderId="12" xfId="0" quotePrefix="1" applyFont="1" applyFill="1" applyBorder="1" applyAlignment="1">
      <alignment horizontal="left" vertical="center"/>
    </xf>
    <xf numFmtId="0" fontId="26" fillId="8" borderId="12" xfId="0" applyFont="1" applyFill="1" applyBorder="1" applyAlignment="1">
      <alignment horizontal="left" vertical="center" indent="1"/>
    </xf>
    <xf numFmtId="0" fontId="24" fillId="5" borderId="17" xfId="0" quotePrefix="1" applyFont="1" applyFill="1" applyBorder="1" applyAlignment="1">
      <alignment horizontal="left" vertical="center"/>
    </xf>
    <xf numFmtId="20" fontId="24" fillId="0" borderId="0" xfId="0" quotePrefix="1" applyNumberFormat="1" applyFont="1" applyAlignment="1">
      <alignment horizontal="center" vertical="center"/>
    </xf>
    <xf numFmtId="0" fontId="24" fillId="0" borderId="26" xfId="0" applyFont="1" applyBorder="1" applyAlignment="1">
      <alignment horizontal="left" vertical="center"/>
    </xf>
    <xf numFmtId="0" fontId="24" fillId="0" borderId="26" xfId="0" applyFont="1" applyBorder="1" applyAlignment="1">
      <alignment vertical="center"/>
    </xf>
    <xf numFmtId="20" fontId="24" fillId="0" borderId="27" xfId="0" quotePrefix="1" applyNumberFormat="1" applyFont="1" applyBorder="1" applyAlignment="1">
      <alignment horizontal="left" vertical="center"/>
    </xf>
    <xf numFmtId="20" fontId="24" fillId="0" borderId="27" xfId="0" quotePrefix="1" applyNumberFormat="1" applyFon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24" fillId="0" borderId="26" xfId="0" applyFont="1" applyBorder="1" applyAlignment="1">
      <alignment horizontal="left" vertical="center" indent="1"/>
    </xf>
    <xf numFmtId="0" fontId="24" fillId="8" borderId="28" xfId="0" quotePrefix="1" applyFont="1" applyFill="1" applyBorder="1" applyAlignment="1">
      <alignment horizontal="left" vertical="center"/>
    </xf>
    <xf numFmtId="20" fontId="24" fillId="9" borderId="0" xfId="0" applyNumberFormat="1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26" fillId="5" borderId="12" xfId="0" quotePrefix="1" applyFont="1" applyFill="1" applyBorder="1" applyAlignment="1">
      <alignment horizontal="left" vertical="center"/>
    </xf>
    <xf numFmtId="20" fontId="25" fillId="0" borderId="26" xfId="0" applyNumberFormat="1" applyFont="1" applyBorder="1" applyAlignment="1">
      <alignment horizontal="left" vertical="center"/>
    </xf>
    <xf numFmtId="0" fontId="24" fillId="0" borderId="26" xfId="0" quotePrefix="1" applyFont="1" applyBorder="1" applyAlignment="1">
      <alignment horizontal="left" vertical="center"/>
    </xf>
    <xf numFmtId="0" fontId="24" fillId="0" borderId="26" xfId="0" quotePrefix="1" applyFont="1" applyBorder="1" applyAlignment="1">
      <alignment vertical="center"/>
    </xf>
    <xf numFmtId="0" fontId="26" fillId="8" borderId="26" xfId="0" quotePrefix="1" applyFont="1" applyFill="1" applyBorder="1" applyAlignment="1">
      <alignment horizontal="left" vertical="center"/>
    </xf>
    <xf numFmtId="0" fontId="24" fillId="8" borderId="26" xfId="0" applyFont="1" applyFill="1" applyBorder="1" applyAlignment="1">
      <alignment vertical="center"/>
    </xf>
    <xf numFmtId="0" fontId="26" fillId="8" borderId="26" xfId="0" applyFont="1" applyFill="1" applyBorder="1" applyAlignment="1">
      <alignment vertical="center"/>
    </xf>
    <xf numFmtId="0" fontId="24" fillId="8" borderId="12" xfId="0" applyFont="1" applyFill="1" applyBorder="1" applyAlignment="1">
      <alignment horizontal="left" vertical="center"/>
    </xf>
    <xf numFmtId="0" fontId="24" fillId="8" borderId="26" xfId="0" applyFont="1" applyFill="1" applyBorder="1" applyAlignment="1">
      <alignment horizontal="left" vertical="center" indent="1"/>
    </xf>
    <xf numFmtId="0" fontId="24" fillId="5" borderId="0" xfId="0" applyFont="1" applyFill="1" applyAlignment="1">
      <alignment horizontal="left" vertical="center"/>
    </xf>
    <xf numFmtId="0" fontId="24" fillId="5" borderId="26" xfId="0" quotePrefix="1" applyFont="1" applyFill="1" applyBorder="1" applyAlignment="1">
      <alignment horizontal="left" vertical="center"/>
    </xf>
    <xf numFmtId="0" fontId="26" fillId="5" borderId="26" xfId="0" quotePrefix="1" applyFont="1" applyFill="1" applyBorder="1" applyAlignment="1">
      <alignment horizontal="left" vertical="center" indent="1"/>
    </xf>
    <xf numFmtId="0" fontId="24" fillId="9" borderId="26" xfId="0" quotePrefix="1" applyFont="1" applyFill="1" applyBorder="1" applyAlignment="1">
      <alignment horizontal="left" vertical="center"/>
    </xf>
    <xf numFmtId="0" fontId="24" fillId="9" borderId="26" xfId="0" quotePrefix="1" applyFont="1" applyFill="1" applyBorder="1" applyAlignment="1">
      <alignment horizontal="left" vertical="center" indent="1"/>
    </xf>
    <xf numFmtId="0" fontId="24" fillId="9" borderId="26" xfId="0" applyFont="1" applyFill="1" applyBorder="1" applyAlignment="1">
      <alignment horizontal="left" vertical="center"/>
    </xf>
    <xf numFmtId="0" fontId="24" fillId="9" borderId="26" xfId="0" applyFont="1" applyFill="1" applyBorder="1" applyAlignment="1">
      <alignment vertical="center"/>
    </xf>
    <xf numFmtId="0" fontId="22" fillId="0" borderId="26" xfId="0" applyFont="1" applyBorder="1" applyAlignment="1">
      <alignment vertical="center"/>
    </xf>
    <xf numFmtId="0" fontId="22" fillId="9" borderId="26" xfId="0" applyFont="1" applyFill="1" applyBorder="1" applyAlignment="1">
      <alignment horizontal="left" vertical="center"/>
    </xf>
    <xf numFmtId="0" fontId="22" fillId="9" borderId="26" xfId="0" applyFont="1" applyFill="1" applyBorder="1" applyAlignment="1">
      <alignment vertical="center"/>
    </xf>
    <xf numFmtId="0" fontId="24" fillId="10" borderId="9" xfId="0" quotePrefix="1" applyFont="1" applyFill="1" applyBorder="1" applyAlignment="1">
      <alignment horizontal="left" vertical="center"/>
    </xf>
    <xf numFmtId="0" fontId="26" fillId="10" borderId="3" xfId="0" applyFont="1" applyFill="1" applyBorder="1" applyAlignment="1">
      <alignment horizontal="left" vertical="center" indent="1"/>
    </xf>
    <xf numFmtId="20" fontId="25" fillId="0" borderId="26" xfId="0" quotePrefix="1" applyNumberFormat="1" applyFont="1" applyBorder="1" applyAlignment="1">
      <alignment horizontal="left" vertical="center"/>
    </xf>
    <xf numFmtId="20" fontId="24" fillId="0" borderId="14" xfId="0" quotePrefix="1" applyNumberFormat="1" applyFont="1" applyBorder="1" applyAlignment="1">
      <alignment horizontal="left" vertical="center" indent="1"/>
    </xf>
    <xf numFmtId="0" fontId="24" fillId="8" borderId="29" xfId="0" applyFont="1" applyFill="1" applyBorder="1" applyAlignment="1">
      <alignment horizontal="right" vertical="center"/>
    </xf>
    <xf numFmtId="20" fontId="22" fillId="8" borderId="30" xfId="0" quotePrefix="1" applyNumberFormat="1" applyFont="1" applyFill="1" applyBorder="1" applyAlignment="1">
      <alignment horizontal="left" vertical="center" indent="1"/>
    </xf>
    <xf numFmtId="0" fontId="24" fillId="0" borderId="26" xfId="0" applyFont="1" applyBorder="1" applyAlignment="1">
      <alignment horizontal="right" vertical="center"/>
    </xf>
    <xf numFmtId="20" fontId="22" fillId="0" borderId="31" xfId="0" quotePrefix="1" applyNumberFormat="1" applyFont="1" applyBorder="1" applyAlignment="1">
      <alignment horizontal="center" vertical="center"/>
    </xf>
    <xf numFmtId="20" fontId="24" fillId="8" borderId="26" xfId="0" quotePrefix="1" applyNumberFormat="1" applyFont="1" applyFill="1" applyBorder="1" applyAlignment="1">
      <alignment horizontal="right" vertical="center"/>
    </xf>
    <xf numFmtId="20" fontId="24" fillId="8" borderId="32" xfId="0" applyNumberFormat="1" applyFont="1" applyFill="1" applyBorder="1" applyAlignment="1">
      <alignment horizontal="left" vertical="center" indent="1"/>
    </xf>
    <xf numFmtId="20" fontId="24" fillId="0" borderId="26" xfId="0" quotePrefix="1" applyNumberFormat="1" applyFont="1" applyBorder="1" applyAlignment="1">
      <alignment horizontal="right" vertical="center"/>
    </xf>
    <xf numFmtId="0" fontId="24" fillId="5" borderId="26" xfId="0" quotePrefix="1" applyFont="1" applyFill="1" applyBorder="1" applyAlignment="1">
      <alignment horizontal="right" vertical="center"/>
    </xf>
    <xf numFmtId="20" fontId="24" fillId="5" borderId="26" xfId="0" quotePrefix="1" applyNumberFormat="1" applyFont="1" applyFill="1" applyBorder="1" applyAlignment="1">
      <alignment horizontal="left" vertical="center"/>
    </xf>
    <xf numFmtId="20" fontId="24" fillId="5" borderId="26" xfId="0" quotePrefix="1" applyNumberFormat="1" applyFont="1" applyFill="1" applyBorder="1" applyAlignment="1">
      <alignment horizontal="right" vertical="center"/>
    </xf>
    <xf numFmtId="20" fontId="24" fillId="5" borderId="26" xfId="0" quotePrefix="1" applyNumberFormat="1" applyFont="1" applyFill="1" applyBorder="1" applyAlignment="1">
      <alignment horizontal="left" vertical="center" indent="1"/>
    </xf>
    <xf numFmtId="0" fontId="24" fillId="8" borderId="27" xfId="0" applyFont="1" applyFill="1" applyBorder="1" applyAlignment="1">
      <alignment horizontal="right" vertical="center"/>
    </xf>
    <xf numFmtId="0" fontId="24" fillId="8" borderId="27" xfId="0" applyFont="1" applyFill="1" applyBorder="1" applyAlignment="1">
      <alignment vertical="center"/>
    </xf>
    <xf numFmtId="20" fontId="27" fillId="8" borderId="24" xfId="0" applyNumberFormat="1" applyFont="1" applyFill="1" applyBorder="1" applyAlignment="1">
      <alignment horizontal="center" vertical="center"/>
    </xf>
    <xf numFmtId="20" fontId="22" fillId="8" borderId="33" xfId="0" applyNumberFormat="1" applyFont="1" applyFill="1" applyBorder="1" applyAlignment="1">
      <alignment horizontal="left" vertical="center" indent="1"/>
    </xf>
    <xf numFmtId="20" fontId="24" fillId="8" borderId="22" xfId="0" applyNumberFormat="1" applyFont="1" applyFill="1" applyBorder="1" applyAlignment="1">
      <alignment horizontal="left" vertical="center" indent="2"/>
    </xf>
    <xf numFmtId="20" fontId="26" fillId="5" borderId="0" xfId="0" quotePrefix="1" applyNumberFormat="1" applyFont="1" applyFill="1" applyAlignment="1">
      <alignment horizontal="right" vertical="center"/>
    </xf>
    <xf numFmtId="0" fontId="24" fillId="8" borderId="26" xfId="0" applyFont="1" applyFill="1" applyBorder="1" applyAlignment="1">
      <alignment horizontal="right" vertical="center"/>
    </xf>
    <xf numFmtId="20" fontId="24" fillId="9" borderId="26" xfId="0" quotePrefix="1" applyNumberFormat="1" applyFont="1" applyFill="1" applyBorder="1" applyAlignment="1">
      <alignment horizontal="right" vertical="center"/>
    </xf>
    <xf numFmtId="20" fontId="24" fillId="9" borderId="26" xfId="0" quotePrefix="1" applyNumberFormat="1" applyFont="1" applyFill="1" applyBorder="1" applyAlignment="1">
      <alignment horizontal="left" vertical="center" indent="1"/>
    </xf>
    <xf numFmtId="0" fontId="24" fillId="5" borderId="26" xfId="0" applyFont="1" applyFill="1" applyBorder="1" applyAlignment="1">
      <alignment horizontal="right" vertical="center"/>
    </xf>
    <xf numFmtId="0" fontId="24" fillId="5" borderId="26" xfId="0" applyFont="1" applyFill="1" applyBorder="1" applyAlignment="1">
      <alignment vertical="center"/>
    </xf>
    <xf numFmtId="20" fontId="24" fillId="9" borderId="26" xfId="0" applyNumberFormat="1" applyFont="1" applyFill="1" applyBorder="1" applyAlignment="1">
      <alignment horizontal="left" vertical="center" indent="1"/>
    </xf>
    <xf numFmtId="0" fontId="24" fillId="8" borderId="12" xfId="0" applyFont="1" applyFill="1" applyBorder="1" applyAlignment="1">
      <alignment horizontal="right" vertical="center"/>
    </xf>
    <xf numFmtId="20" fontId="24" fillId="8" borderId="34" xfId="0" applyNumberFormat="1" applyFont="1" applyFill="1" applyBorder="1" applyAlignment="1">
      <alignment horizontal="left" vertical="center" indent="1"/>
    </xf>
    <xf numFmtId="20" fontId="26" fillId="0" borderId="0" xfId="0" quotePrefix="1" applyNumberFormat="1" applyFont="1" applyAlignment="1">
      <alignment horizontal="left" vertical="center"/>
    </xf>
    <xf numFmtId="0" fontId="24" fillId="0" borderId="29" xfId="0" applyFont="1" applyBorder="1" applyAlignment="1">
      <alignment horizontal="right" vertical="center"/>
    </xf>
    <xf numFmtId="0" fontId="24" fillId="0" borderId="29" xfId="0" applyFont="1" applyBorder="1" applyAlignment="1">
      <alignment vertical="center"/>
    </xf>
    <xf numFmtId="20" fontId="24" fillId="10" borderId="12" xfId="0" quotePrefix="1" applyNumberFormat="1" applyFont="1" applyFill="1" applyBorder="1" applyAlignment="1">
      <alignment horizontal="right" vertical="center"/>
    </xf>
    <xf numFmtId="20" fontId="24" fillId="10" borderId="12" xfId="0" applyNumberFormat="1" applyFont="1" applyFill="1" applyBorder="1" applyAlignment="1">
      <alignment horizontal="left" vertical="center" indent="1"/>
    </xf>
    <xf numFmtId="0" fontId="24" fillId="9" borderId="26" xfId="0" applyFont="1" applyFill="1" applyBorder="1" applyAlignment="1">
      <alignment horizontal="right" vertical="center"/>
    </xf>
    <xf numFmtId="0" fontId="24" fillId="0" borderId="35" xfId="0" applyFont="1" applyBorder="1" applyAlignment="1">
      <alignment horizontal="left" vertical="center"/>
    </xf>
    <xf numFmtId="0" fontId="24" fillId="0" borderId="35" xfId="0" applyFont="1" applyBorder="1" applyAlignment="1">
      <alignment vertical="center"/>
    </xf>
    <xf numFmtId="20" fontId="25" fillId="7" borderId="35" xfId="0" applyNumberFormat="1" applyFont="1" applyFill="1" applyBorder="1" applyAlignment="1">
      <alignment horizontal="left" vertical="center"/>
    </xf>
    <xf numFmtId="0" fontId="24" fillId="7" borderId="35" xfId="0" applyFont="1" applyFill="1" applyBorder="1" applyAlignment="1">
      <alignment vertical="center"/>
    </xf>
    <xf numFmtId="0" fontId="24" fillId="7" borderId="35" xfId="0" quotePrefix="1" applyFont="1" applyFill="1" applyBorder="1" applyAlignment="1">
      <alignment horizontal="left" vertical="center"/>
    </xf>
    <xf numFmtId="20" fontId="22" fillId="7" borderId="36" xfId="0" applyNumberFormat="1" applyFont="1" applyFill="1" applyBorder="1" applyAlignment="1">
      <alignment horizontal="left" vertical="center" indent="1"/>
    </xf>
    <xf numFmtId="0" fontId="24" fillId="0" borderId="35" xfId="0" quotePrefix="1" applyFont="1" applyBorder="1" applyAlignment="1">
      <alignment horizontal="left" vertical="center"/>
    </xf>
    <xf numFmtId="0" fontId="24" fillId="0" borderId="35" xfId="0" quotePrefix="1" applyFont="1" applyBorder="1" applyAlignment="1">
      <alignment vertical="center"/>
    </xf>
    <xf numFmtId="0" fontId="24" fillId="0" borderId="27" xfId="0" quotePrefix="1" applyFont="1" applyBorder="1" applyAlignment="1">
      <alignment horizontal="left" vertical="center"/>
    </xf>
    <xf numFmtId="0" fontId="24" fillId="0" borderId="27" xfId="0" quotePrefix="1" applyFont="1" applyBorder="1" applyAlignment="1">
      <alignment vertical="center"/>
    </xf>
    <xf numFmtId="0" fontId="22" fillId="0" borderId="0" xfId="0" applyFont="1" applyAlignment="1">
      <alignment horizontal="left" vertical="center"/>
    </xf>
    <xf numFmtId="0" fontId="0" fillId="9" borderId="0" xfId="0" applyFill="1" applyAlignment="1">
      <alignment vertical="center"/>
    </xf>
    <xf numFmtId="20" fontId="24" fillId="10" borderId="26" xfId="0" quotePrefix="1" applyNumberFormat="1" applyFont="1" applyFill="1" applyBorder="1" applyAlignment="1">
      <alignment horizontal="right" vertical="center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right" vertical="center"/>
    </xf>
    <xf numFmtId="20" fontId="24" fillId="10" borderId="27" xfId="0" quotePrefix="1" applyNumberFormat="1" applyFont="1" applyFill="1" applyBorder="1" applyAlignment="1">
      <alignment horizontal="right" vertical="center"/>
    </xf>
    <xf numFmtId="20" fontId="24" fillId="10" borderId="27" xfId="0" applyNumberFormat="1" applyFont="1" applyFill="1" applyBorder="1" applyAlignment="1">
      <alignment horizontal="left" vertical="center" indent="1"/>
    </xf>
    <xf numFmtId="0" fontId="24" fillId="10" borderId="26" xfId="0" applyFont="1" applyFill="1" applyBorder="1" applyAlignment="1">
      <alignment horizontal="right" vertical="center"/>
    </xf>
    <xf numFmtId="0" fontId="24" fillId="10" borderId="26" xfId="0" applyFont="1" applyFill="1" applyBorder="1" applyAlignment="1">
      <alignment vertical="center"/>
    </xf>
    <xf numFmtId="20" fontId="26" fillId="0" borderId="0" xfId="0" applyNumberFormat="1" applyFont="1" applyAlignment="1">
      <alignment horizontal="left" vertical="center" indent="1"/>
    </xf>
    <xf numFmtId="0" fontId="28" fillId="9" borderId="0" xfId="0" quotePrefix="1" applyFont="1" applyFill="1" applyAlignment="1">
      <alignment horizontal="center" vertical="center"/>
    </xf>
    <xf numFmtId="0" fontId="24" fillId="9" borderId="37" xfId="0" applyFont="1" applyFill="1" applyBorder="1" applyAlignment="1">
      <alignment horizontal="right" vertical="center"/>
    </xf>
    <xf numFmtId="0" fontId="24" fillId="9" borderId="37" xfId="0" applyFont="1" applyFill="1" applyBorder="1" applyAlignment="1">
      <alignment vertical="center"/>
    </xf>
    <xf numFmtId="20" fontId="24" fillId="10" borderId="26" xfId="0" applyNumberFormat="1" applyFont="1" applyFill="1" applyBorder="1" applyAlignment="1">
      <alignment horizontal="left" vertical="center" indent="1"/>
    </xf>
    <xf numFmtId="0" fontId="26" fillId="9" borderId="38" xfId="0" quotePrefix="1" applyFont="1" applyFill="1" applyBorder="1" applyAlignment="1">
      <alignment horizontal="left" vertical="center"/>
    </xf>
    <xf numFmtId="0" fontId="35" fillId="8" borderId="17" xfId="0" applyFont="1" applyFill="1" applyBorder="1" applyAlignment="1">
      <alignment horizontal="left" vertical="center" indent="1"/>
    </xf>
    <xf numFmtId="20" fontId="24" fillId="0" borderId="17" xfId="0" quotePrefix="1" applyNumberFormat="1" applyFont="1" applyBorder="1" applyAlignment="1">
      <alignment horizontal="right" vertical="center"/>
    </xf>
    <xf numFmtId="20" fontId="24" fillId="0" borderId="17" xfId="0" quotePrefix="1" applyNumberFormat="1" applyFont="1" applyBorder="1" applyAlignment="1">
      <alignment horizontal="left" vertical="center"/>
    </xf>
    <xf numFmtId="0" fontId="31" fillId="0" borderId="0" xfId="0" applyFont="1" applyBorder="1" applyAlignment="1">
      <alignment horizontal="right" vertical="center"/>
    </xf>
    <xf numFmtId="20" fontId="24" fillId="0" borderId="0" xfId="0" applyNumberFormat="1" applyFont="1" applyBorder="1" applyAlignment="1">
      <alignment horizontal="left" vertical="center" indent="1"/>
    </xf>
    <xf numFmtId="0" fontId="0" fillId="0" borderId="17" xfId="0" applyBorder="1" applyAlignment="1">
      <alignment horizontal="right" vertical="center"/>
    </xf>
    <xf numFmtId="0" fontId="0" fillId="0" borderId="17" xfId="0" applyBorder="1" applyAlignment="1">
      <alignment vertical="center"/>
    </xf>
    <xf numFmtId="0" fontId="14" fillId="7" borderId="0" xfId="0" applyFont="1" applyFill="1" applyAlignment="1">
      <alignment horizontal="left" vertical="center" indent="1"/>
    </xf>
    <xf numFmtId="0" fontId="28" fillId="9" borderId="7" xfId="0" applyFont="1" applyFill="1" applyBorder="1" applyAlignment="1">
      <alignment horizontal="left" vertical="center"/>
    </xf>
    <xf numFmtId="0" fontId="23" fillId="9" borderId="2" xfId="0" applyFont="1" applyFill="1" applyBorder="1" applyAlignment="1">
      <alignment horizontal="left" vertical="center" indent="1"/>
    </xf>
    <xf numFmtId="0" fontId="31" fillId="0" borderId="0" xfId="0" applyFont="1" applyFill="1" applyAlignment="1">
      <alignment horizontal="right" vertical="center"/>
    </xf>
    <xf numFmtId="0" fontId="26" fillId="10" borderId="26" xfId="0" quotePrefix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5" fontId="9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20" fontId="28" fillId="8" borderId="0" xfId="0" quotePrefix="1" applyNumberFormat="1" applyFont="1" applyFill="1" applyAlignment="1">
      <alignment horizontal="right" vertical="center"/>
    </xf>
    <xf numFmtId="0" fontId="24" fillId="0" borderId="15" xfId="0" applyFont="1" applyBorder="1" applyAlignment="1">
      <alignment horizontal="left" vertical="center" indent="1"/>
    </xf>
    <xf numFmtId="20" fontId="24" fillId="8" borderId="32" xfId="0" applyNumberFormat="1" applyFont="1" applyFill="1" applyBorder="1" applyAlignment="1">
      <alignment horizontal="left" vertical="center" indent="2"/>
    </xf>
    <xf numFmtId="20" fontId="22" fillId="8" borderId="24" xfId="0" applyNumberFormat="1" applyFont="1" applyFill="1" applyBorder="1" applyAlignment="1">
      <alignment horizontal="left" vertical="center" indent="2"/>
    </xf>
    <xf numFmtId="0" fontId="24" fillId="9" borderId="2" xfId="0" quotePrefix="1" applyFont="1" applyFill="1" applyBorder="1" applyAlignment="1">
      <alignment horizontal="left" vertical="center" indent="2"/>
    </xf>
    <xf numFmtId="0" fontId="24" fillId="9" borderId="2" xfId="0" applyFont="1" applyFill="1" applyBorder="1" applyAlignment="1">
      <alignment horizontal="left" vertical="center" indent="2"/>
    </xf>
    <xf numFmtId="0" fontId="40" fillId="9" borderId="0" xfId="0" applyFont="1" applyFill="1" applyAlignment="1">
      <alignment vertical="center"/>
    </xf>
    <xf numFmtId="20" fontId="24" fillId="9" borderId="0" xfId="0" applyNumberFormat="1" applyFont="1" applyFill="1" applyBorder="1" applyAlignment="1">
      <alignment horizontal="left" vertical="center" indent="1"/>
    </xf>
    <xf numFmtId="20" fontId="24" fillId="8" borderId="23" xfId="0" applyNumberFormat="1" applyFont="1" applyFill="1" applyBorder="1" applyAlignment="1">
      <alignment horizontal="left" vertical="center" indent="1"/>
    </xf>
    <xf numFmtId="20" fontId="24" fillId="8" borderId="24" xfId="0" applyNumberFormat="1" applyFont="1" applyFill="1" applyBorder="1" applyAlignment="1">
      <alignment horizontal="left" vertical="center" indent="1"/>
    </xf>
    <xf numFmtId="20" fontId="24" fillId="8" borderId="25" xfId="0" applyNumberFormat="1" applyFont="1" applyFill="1" applyBorder="1" applyAlignment="1">
      <alignment horizontal="left" vertical="center" indent="1"/>
    </xf>
    <xf numFmtId="20" fontId="24" fillId="0" borderId="0" xfId="0" quotePrefix="1" applyNumberFormat="1" applyFont="1" applyFill="1" applyAlignment="1">
      <alignment horizontal="right" vertical="center"/>
    </xf>
    <xf numFmtId="20" fontId="26" fillId="0" borderId="0" xfId="0" applyNumberFormat="1" applyFont="1" applyFill="1" applyAlignment="1">
      <alignment horizontal="left" vertical="center" indent="1"/>
    </xf>
    <xf numFmtId="20" fontId="24" fillId="0" borderId="26" xfId="0" quotePrefix="1" applyNumberFormat="1" applyFont="1" applyFill="1" applyBorder="1" applyAlignment="1">
      <alignment horizontal="right" vertical="center"/>
    </xf>
    <xf numFmtId="20" fontId="24" fillId="0" borderId="26" xfId="0" applyNumberFormat="1" applyFont="1" applyFill="1" applyBorder="1" applyAlignment="1">
      <alignment horizontal="left" vertical="center" indent="1"/>
    </xf>
    <xf numFmtId="0" fontId="24" fillId="0" borderId="0" xfId="0" applyFont="1" applyFill="1" applyAlignment="1">
      <alignment horizontal="right" vertical="center"/>
    </xf>
    <xf numFmtId="20" fontId="24" fillId="0" borderId="0" xfId="0" applyNumberFormat="1" applyFont="1" applyFill="1" applyAlignment="1">
      <alignment horizontal="left" vertical="center" indent="1"/>
    </xf>
    <xf numFmtId="0" fontId="24" fillId="0" borderId="0" xfId="0" quotePrefix="1" applyFont="1" applyFill="1" applyAlignment="1">
      <alignment horizontal="right" vertical="center"/>
    </xf>
    <xf numFmtId="20" fontId="24" fillId="0" borderId="12" xfId="0" quotePrefix="1" applyNumberFormat="1" applyFont="1" applyFill="1" applyBorder="1" applyAlignment="1">
      <alignment horizontal="right" vertical="center"/>
    </xf>
    <xf numFmtId="20" fontId="24" fillId="0" borderId="12" xfId="0" applyNumberFormat="1" applyFont="1" applyFill="1" applyBorder="1" applyAlignment="1">
      <alignment horizontal="left" vertical="center" indent="1"/>
    </xf>
    <xf numFmtId="0" fontId="26" fillId="8" borderId="0" xfId="0" applyFont="1" applyFill="1" applyBorder="1" applyAlignment="1">
      <alignment vertical="center"/>
    </xf>
    <xf numFmtId="0" fontId="23" fillId="8" borderId="23" xfId="0" applyFont="1" applyFill="1" applyBorder="1" applyAlignment="1">
      <alignment vertical="center"/>
    </xf>
    <xf numFmtId="0" fontId="37" fillId="8" borderId="25" xfId="0" applyFont="1" applyFill="1" applyBorder="1" applyAlignment="1">
      <alignment horizontal="left" vertical="center" indent="2"/>
    </xf>
    <xf numFmtId="0" fontId="24" fillId="8" borderId="12" xfId="0" applyFont="1" applyFill="1" applyBorder="1" applyAlignment="1">
      <alignment horizontal="left" vertical="center" indent="2"/>
    </xf>
    <xf numFmtId="0" fontId="28" fillId="8" borderId="0" xfId="0" quotePrefix="1" applyFont="1" applyFill="1" applyAlignment="1">
      <alignment horizontal="left" vertical="center"/>
    </xf>
    <xf numFmtId="0" fontId="28" fillId="8" borderId="26" xfId="0" quotePrefix="1" applyFont="1" applyFill="1" applyBorder="1" applyAlignment="1">
      <alignment horizontal="left" vertical="center"/>
    </xf>
    <xf numFmtId="0" fontId="39" fillId="8" borderId="26" xfId="0" applyFont="1" applyFill="1" applyBorder="1" applyAlignment="1">
      <alignment vertical="center"/>
    </xf>
    <xf numFmtId="0" fontId="24" fillId="8" borderId="0" xfId="0" quotePrefix="1" applyFont="1" applyFill="1" applyAlignment="1">
      <alignment horizontal="right" vertical="center"/>
    </xf>
    <xf numFmtId="20" fontId="24" fillId="8" borderId="0" xfId="0" quotePrefix="1" applyNumberFormat="1" applyFont="1" applyFill="1" applyAlignment="1">
      <alignment horizontal="left" vertical="center"/>
    </xf>
    <xf numFmtId="0" fontId="24" fillId="8" borderId="0" xfId="0" applyFont="1" applyFill="1" applyBorder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CCCCFF"/>
      <color rgb="FFE7F4B8"/>
      <color rgb="FFFFCCFF"/>
      <color rgb="FF66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.png"/><Relationship Id="rId7" Type="http://schemas.openxmlformats.org/officeDocument/2006/relationships/image" Target="../media/image9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8.png"/><Relationship Id="rId5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246006</xdr:colOff>
      <xdr:row>8</xdr:row>
      <xdr:rowOff>59532</xdr:rowOff>
    </xdr:from>
    <xdr:to>
      <xdr:col>3</xdr:col>
      <xdr:colOff>2043850</xdr:colOff>
      <xdr:row>12</xdr:row>
      <xdr:rowOff>107157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1C11CA0-3C7D-4B9F-8001-AEED8836FB09}"/>
            </a:ext>
          </a:extLst>
        </xdr:cNvPr>
        <xdr:cNvSpPr/>
      </xdr:nvSpPr>
      <xdr:spPr>
        <a:xfrm>
          <a:off x="1569981" y="2250282"/>
          <a:ext cx="1797844" cy="10382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BIZ UDP明朝 Medium" panose="02020500000000000000" pitchFamily="18" charset="-128"/>
              <a:ea typeface="BIZ UDP明朝 Medium" panose="02020500000000000000" pitchFamily="18" charset="-128"/>
            </a:rPr>
            <a:t>①神輿組立</a:t>
          </a:r>
        </a:p>
        <a:p>
          <a:pPr algn="l"/>
          <a:r>
            <a:rPr kumimoji="1" lang="ja-JP" altLang="en-US" sz="1100">
              <a:latin typeface="BIZ UDP明朝 Medium" panose="02020500000000000000" pitchFamily="18" charset="-128"/>
              <a:ea typeface="BIZ UDP明朝 Medium" panose="02020500000000000000" pitchFamily="18" charset="-128"/>
            </a:rPr>
            <a:t>②御仮屋設営、飾付け</a:t>
          </a:r>
        </a:p>
        <a:p>
          <a:pPr algn="l"/>
          <a:r>
            <a:rPr kumimoji="1" lang="ja-JP" altLang="en-US" sz="1100">
              <a:latin typeface="BIZ UDP明朝 Medium" panose="02020500000000000000" pitchFamily="18" charset="-128"/>
              <a:ea typeface="BIZ UDP明朝 Medium" panose="02020500000000000000" pitchFamily="18" charset="-128"/>
            </a:rPr>
            <a:t>③神社鳥居等飾付け</a:t>
          </a:r>
        </a:p>
        <a:p>
          <a:pPr algn="l"/>
          <a:r>
            <a:rPr kumimoji="1" lang="ja-JP" altLang="en-US" sz="1100">
              <a:latin typeface="BIZ UDP明朝 Medium" panose="02020500000000000000" pitchFamily="18" charset="-128"/>
              <a:ea typeface="BIZ UDP明朝 Medium" panose="02020500000000000000" pitchFamily="18" charset="-128"/>
            </a:rPr>
            <a:t>④山車組立、飾付け</a:t>
          </a:r>
        </a:p>
        <a:p>
          <a:pPr algn="l"/>
          <a:r>
            <a:rPr kumimoji="1" lang="ja-JP" altLang="en-US" sz="1100">
              <a:latin typeface="BIZ UDP明朝 Medium" panose="02020500000000000000" pitchFamily="18" charset="-128"/>
              <a:ea typeface="BIZ UDP明朝 Medium" panose="02020500000000000000" pitchFamily="18" charset="-128"/>
            </a:rPr>
            <a:t>⑤神社清掃、会場設営 </a:t>
          </a:r>
        </a:p>
      </xdr:txBody>
    </xdr:sp>
    <xdr:clientData/>
  </xdr:twoCellAnchor>
  <xdr:twoCellAnchor>
    <xdr:from>
      <xdr:col>3</xdr:col>
      <xdr:colOff>156882</xdr:colOff>
      <xdr:row>18</xdr:row>
      <xdr:rowOff>11206</xdr:rowOff>
    </xdr:from>
    <xdr:to>
      <xdr:col>3</xdr:col>
      <xdr:colOff>1916525</xdr:colOff>
      <xdr:row>19</xdr:row>
      <xdr:rowOff>25550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6EB11D3-03A3-4B81-BE55-A90A482133B0}"/>
            </a:ext>
          </a:extLst>
        </xdr:cNvPr>
        <xdr:cNvSpPr/>
      </xdr:nvSpPr>
      <xdr:spPr>
        <a:xfrm>
          <a:off x="1479176" y="4661647"/>
          <a:ext cx="1759643" cy="26087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ja-JP" altLang="en-US" sz="11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祭礼実行委員長挨拶等</a:t>
          </a:r>
          <a:endParaRPr kumimoji="1" lang="ja-JP" altLang="en-US" sz="1100">
            <a:solidFill>
              <a:srgbClr val="FF0000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</xdr:txBody>
    </xdr:sp>
    <xdr:clientData/>
  </xdr:twoCellAnchor>
  <xdr:twoCellAnchor>
    <xdr:from>
      <xdr:col>3</xdr:col>
      <xdr:colOff>134470</xdr:colOff>
      <xdr:row>41</xdr:row>
      <xdr:rowOff>134676</xdr:rowOff>
    </xdr:from>
    <xdr:to>
      <xdr:col>3</xdr:col>
      <xdr:colOff>2198913</xdr:colOff>
      <xdr:row>55</xdr:row>
      <xdr:rowOff>80682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67237F2-A65B-407F-95CF-4A5BF992AF6D}"/>
            </a:ext>
          </a:extLst>
        </xdr:cNvPr>
        <xdr:cNvSpPr/>
      </xdr:nvSpPr>
      <xdr:spPr>
        <a:xfrm>
          <a:off x="1458445" y="10002576"/>
          <a:ext cx="2064443" cy="341310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ja-JP" altLang="en-US" sz="1400" b="1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神社　山車</a:t>
          </a:r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 b="1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お囃子</a:t>
          </a:r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</xdr:txBody>
    </xdr:sp>
    <xdr:clientData/>
  </xdr:twoCellAnchor>
  <xdr:twoCellAnchor>
    <xdr:from>
      <xdr:col>9</xdr:col>
      <xdr:colOff>35859</xdr:colOff>
      <xdr:row>42</xdr:row>
      <xdr:rowOff>116541</xdr:rowOff>
    </xdr:from>
    <xdr:to>
      <xdr:col>9</xdr:col>
      <xdr:colOff>2155371</xdr:colOff>
      <xdr:row>55</xdr:row>
      <xdr:rowOff>89647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4744CD8-1E60-4924-ADCD-C204F856A2EC}"/>
            </a:ext>
          </a:extLst>
        </xdr:cNvPr>
        <xdr:cNvSpPr/>
      </xdr:nvSpPr>
      <xdr:spPr>
        <a:xfrm>
          <a:off x="7760634" y="10232091"/>
          <a:ext cx="2119512" cy="319255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ja-JP" altLang="en-US" sz="1400" b="1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駒寄　山車</a:t>
          </a:r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お囃子</a:t>
          </a:r>
          <a:endParaRPr kumimoji="1" lang="en-US" altLang="ja-JP" sz="1400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（ガーデンライフ</a:t>
          </a:r>
          <a:endParaRPr kumimoji="1" lang="en-US" altLang="ja-JP" sz="1400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弐番館前）</a:t>
          </a:r>
        </a:p>
      </xdr:txBody>
    </xdr:sp>
    <xdr:clientData/>
  </xdr:twoCellAnchor>
  <xdr:twoCellAnchor>
    <xdr:from>
      <xdr:col>1</xdr:col>
      <xdr:colOff>96079</xdr:colOff>
      <xdr:row>1</xdr:row>
      <xdr:rowOff>8284</xdr:rowOff>
    </xdr:from>
    <xdr:to>
      <xdr:col>2</xdr:col>
      <xdr:colOff>38645</xdr:colOff>
      <xdr:row>64</xdr:row>
      <xdr:rowOff>7621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026AA1A0-472F-4D04-81D3-CD08D916E0DB}"/>
            </a:ext>
          </a:extLst>
        </xdr:cNvPr>
        <xdr:cNvGrpSpPr/>
      </xdr:nvGrpSpPr>
      <xdr:grpSpPr>
        <a:xfrm>
          <a:off x="678785" y="465484"/>
          <a:ext cx="372872" cy="15813078"/>
          <a:chOff x="781879" y="465484"/>
          <a:chExt cx="367109" cy="15271994"/>
        </a:xfrm>
      </xdr:grpSpPr>
      <xdr:sp macro="" textlink="">
        <xdr:nvSpPr>
          <xdr:cNvPr id="7" name="四角形: 角を丸くする 6">
            <a:extLst>
              <a:ext uri="{FF2B5EF4-FFF2-40B4-BE49-F238E27FC236}">
                <a16:creationId xmlns:a16="http://schemas.microsoft.com/office/drawing/2014/main" id="{65923409-2711-DDB4-0A81-A3FDBE8B99D1}"/>
              </a:ext>
            </a:extLst>
          </xdr:cNvPr>
          <xdr:cNvSpPr/>
        </xdr:nvSpPr>
        <xdr:spPr>
          <a:xfrm>
            <a:off x="785193" y="465484"/>
            <a:ext cx="326003" cy="15271994"/>
          </a:xfrm>
          <a:prstGeom prst="roundRect">
            <a:avLst/>
          </a:prstGeom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ADC1F516-D70D-9F2D-3374-7D4E7C7206AF}"/>
              </a:ext>
            </a:extLst>
          </xdr:cNvPr>
          <xdr:cNvSpPr txBox="1"/>
        </xdr:nvSpPr>
        <xdr:spPr>
          <a:xfrm>
            <a:off x="843169" y="540027"/>
            <a:ext cx="26263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51E89AA4-EC91-1BB3-DA6B-610A0A0E4A6F}"/>
              </a:ext>
            </a:extLst>
          </xdr:cNvPr>
          <xdr:cNvSpPr/>
        </xdr:nvSpPr>
        <xdr:spPr>
          <a:xfrm>
            <a:off x="834887" y="482048"/>
            <a:ext cx="265043" cy="148566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A58BC221-511B-6BDA-0866-C98AB8C6BCEC}"/>
              </a:ext>
            </a:extLst>
          </xdr:cNvPr>
          <xdr:cNvSpPr txBox="1"/>
        </xdr:nvSpPr>
        <xdr:spPr>
          <a:xfrm>
            <a:off x="829916" y="1971025"/>
            <a:ext cx="26263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A5AC02BE-A5AE-C214-D99E-1B9FBE1A57EB}"/>
              </a:ext>
            </a:extLst>
          </xdr:cNvPr>
          <xdr:cNvSpPr/>
        </xdr:nvSpPr>
        <xdr:spPr>
          <a:xfrm>
            <a:off x="838200" y="1962743"/>
            <a:ext cx="265043" cy="1463892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002B7ABF-B242-1996-23D7-AD73AD1808FC}"/>
              </a:ext>
            </a:extLst>
          </xdr:cNvPr>
          <xdr:cNvSpPr txBox="1"/>
        </xdr:nvSpPr>
        <xdr:spPr>
          <a:xfrm>
            <a:off x="808382" y="3493131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2404044D-6144-7B14-5832-7F794E61F6C3}"/>
              </a:ext>
            </a:extLst>
          </xdr:cNvPr>
          <xdr:cNvSpPr/>
        </xdr:nvSpPr>
        <xdr:spPr>
          <a:xfrm>
            <a:off x="833230" y="3458109"/>
            <a:ext cx="265043" cy="257327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550AA807-8598-8679-6EE9-46E823EB9F97}"/>
              </a:ext>
            </a:extLst>
          </xdr:cNvPr>
          <xdr:cNvSpPr txBox="1"/>
        </xdr:nvSpPr>
        <xdr:spPr>
          <a:xfrm>
            <a:off x="803412" y="3746817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B308AB18-AC8F-E69C-DA5A-F3E246CA1946}"/>
              </a:ext>
            </a:extLst>
          </xdr:cNvPr>
          <xdr:cNvSpPr/>
        </xdr:nvSpPr>
        <xdr:spPr>
          <a:xfrm>
            <a:off x="836543" y="3728594"/>
            <a:ext cx="265043" cy="237877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5FF16E22-A5B4-58D7-04A9-9510C28AD92D}"/>
              </a:ext>
            </a:extLst>
          </xdr:cNvPr>
          <xdr:cNvSpPr txBox="1"/>
        </xdr:nvSpPr>
        <xdr:spPr>
          <a:xfrm>
            <a:off x="781879" y="3962497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C207BF81-07AD-34F5-48AF-BF8A34A128AF}"/>
              </a:ext>
            </a:extLst>
          </xdr:cNvPr>
          <xdr:cNvSpPr/>
        </xdr:nvSpPr>
        <xdr:spPr>
          <a:xfrm>
            <a:off x="823292" y="3983935"/>
            <a:ext cx="265043" cy="42761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95F38399-7DA3-9436-6B12-923FBBE23B9D}"/>
              </a:ext>
            </a:extLst>
          </xdr:cNvPr>
          <xdr:cNvSpPr txBox="1"/>
        </xdr:nvSpPr>
        <xdr:spPr>
          <a:xfrm>
            <a:off x="793473" y="4461249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9" name="正方形/長方形 18">
            <a:extLst>
              <a:ext uri="{FF2B5EF4-FFF2-40B4-BE49-F238E27FC236}">
                <a16:creationId xmlns:a16="http://schemas.microsoft.com/office/drawing/2014/main" id="{A65B7F50-0D37-4723-247E-9D0F0C04C2B5}"/>
              </a:ext>
            </a:extLst>
          </xdr:cNvPr>
          <xdr:cNvSpPr/>
        </xdr:nvSpPr>
        <xdr:spPr>
          <a:xfrm>
            <a:off x="834887" y="4444686"/>
            <a:ext cx="265043" cy="310242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BBD06EAC-F8A5-7EC8-4657-E98F27BC0D1C}"/>
              </a:ext>
            </a:extLst>
          </xdr:cNvPr>
          <xdr:cNvSpPr txBox="1"/>
        </xdr:nvSpPr>
        <xdr:spPr>
          <a:xfrm>
            <a:off x="788504" y="4816218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93FB77FA-1B7F-9F5B-B719-C651AAF0F397}"/>
              </a:ext>
            </a:extLst>
          </xdr:cNvPr>
          <xdr:cNvSpPr/>
        </xdr:nvSpPr>
        <xdr:spPr>
          <a:xfrm>
            <a:off x="829918" y="4807936"/>
            <a:ext cx="265043" cy="896887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2" name="テキスト ボックス 21">
            <a:extLst>
              <a:ext uri="{FF2B5EF4-FFF2-40B4-BE49-F238E27FC236}">
                <a16:creationId xmlns:a16="http://schemas.microsoft.com/office/drawing/2014/main" id="{3545CC1B-83CB-7ABF-98D0-004112E8F63F}"/>
              </a:ext>
            </a:extLst>
          </xdr:cNvPr>
          <xdr:cNvSpPr txBox="1"/>
        </xdr:nvSpPr>
        <xdr:spPr>
          <a:xfrm>
            <a:off x="801756" y="5704825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2E21F71C-D847-D758-2B60-B62F5E769B5A}"/>
              </a:ext>
            </a:extLst>
          </xdr:cNvPr>
          <xdr:cNvSpPr/>
        </xdr:nvSpPr>
        <xdr:spPr>
          <a:xfrm>
            <a:off x="824948" y="5721627"/>
            <a:ext cx="265043" cy="968117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4" name="テキスト ボックス 23">
            <a:extLst>
              <a:ext uri="{FF2B5EF4-FFF2-40B4-BE49-F238E27FC236}">
                <a16:creationId xmlns:a16="http://schemas.microsoft.com/office/drawing/2014/main" id="{88E70560-6246-77CE-1227-965382CD6BF9}"/>
              </a:ext>
            </a:extLst>
          </xdr:cNvPr>
          <xdr:cNvSpPr txBox="1"/>
        </xdr:nvSpPr>
        <xdr:spPr>
          <a:xfrm>
            <a:off x="796786" y="6709623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251D1915-8AF9-E968-6EBC-5D3D9C2D63A0}"/>
              </a:ext>
            </a:extLst>
          </xdr:cNvPr>
          <xdr:cNvSpPr/>
        </xdr:nvSpPr>
        <xdr:spPr>
          <a:xfrm>
            <a:off x="828261" y="6726426"/>
            <a:ext cx="265043" cy="147383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C1104D7F-1D4D-F904-C23D-3437BE9302F5}"/>
              </a:ext>
            </a:extLst>
          </xdr:cNvPr>
          <xdr:cNvSpPr txBox="1"/>
        </xdr:nvSpPr>
        <xdr:spPr>
          <a:xfrm>
            <a:off x="791816" y="8206883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F74ABB1A-E2C7-ED41-30F5-833C604045BD}"/>
              </a:ext>
            </a:extLst>
          </xdr:cNvPr>
          <xdr:cNvSpPr/>
        </xdr:nvSpPr>
        <xdr:spPr>
          <a:xfrm>
            <a:off x="823292" y="8231967"/>
            <a:ext cx="265043" cy="124688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8" name="テキスト ボックス 27">
            <a:extLst>
              <a:ext uri="{FF2B5EF4-FFF2-40B4-BE49-F238E27FC236}">
                <a16:creationId xmlns:a16="http://schemas.microsoft.com/office/drawing/2014/main" id="{F6272992-F39D-4622-150B-70FCE370801D}"/>
              </a:ext>
            </a:extLst>
          </xdr:cNvPr>
          <xdr:cNvSpPr txBox="1"/>
        </xdr:nvSpPr>
        <xdr:spPr>
          <a:xfrm>
            <a:off x="803412" y="9472228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A2B0BF60-2295-A534-E116-09ACD26E7927}"/>
              </a:ext>
            </a:extLst>
          </xdr:cNvPr>
          <xdr:cNvSpPr/>
        </xdr:nvSpPr>
        <xdr:spPr>
          <a:xfrm>
            <a:off x="826605" y="9487137"/>
            <a:ext cx="265043" cy="170929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30" name="テキスト ボックス 29">
            <a:extLst>
              <a:ext uri="{FF2B5EF4-FFF2-40B4-BE49-F238E27FC236}">
                <a16:creationId xmlns:a16="http://schemas.microsoft.com/office/drawing/2014/main" id="{130D0097-06FD-C5CB-374B-C1FC1B50A758}"/>
              </a:ext>
            </a:extLst>
          </xdr:cNvPr>
          <xdr:cNvSpPr txBox="1"/>
        </xdr:nvSpPr>
        <xdr:spPr>
          <a:xfrm>
            <a:off x="798442" y="11244706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68AFC311-2281-685C-F611-5CD6BD97CFAC}"/>
              </a:ext>
            </a:extLst>
          </xdr:cNvPr>
          <xdr:cNvSpPr/>
        </xdr:nvSpPr>
        <xdr:spPr>
          <a:xfrm>
            <a:off x="829918" y="11226485"/>
            <a:ext cx="265043" cy="121352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BCEF265C-7E40-ED80-14F1-349521F06B52}"/>
              </a:ext>
            </a:extLst>
          </xdr:cNvPr>
          <xdr:cNvSpPr txBox="1"/>
        </xdr:nvSpPr>
        <xdr:spPr>
          <a:xfrm>
            <a:off x="793472" y="12456571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C3E338FB-87D3-6CAF-E6A2-0DC0A69D72B5}"/>
              </a:ext>
            </a:extLst>
          </xdr:cNvPr>
          <xdr:cNvSpPr/>
        </xdr:nvSpPr>
        <xdr:spPr>
          <a:xfrm>
            <a:off x="824947" y="12471480"/>
            <a:ext cx="265043" cy="1203817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34" name="テキスト ボックス 33">
            <a:extLst>
              <a:ext uri="{FF2B5EF4-FFF2-40B4-BE49-F238E27FC236}">
                <a16:creationId xmlns:a16="http://schemas.microsoft.com/office/drawing/2014/main" id="{2BFEB45F-FE96-9172-DCA4-8117A446796D}"/>
              </a:ext>
            </a:extLst>
          </xdr:cNvPr>
          <xdr:cNvSpPr txBox="1"/>
        </xdr:nvSpPr>
        <xdr:spPr>
          <a:xfrm>
            <a:off x="796785" y="13738483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21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F6786683-EC54-4E11-C3AF-39A73E0D1253}"/>
              </a:ext>
            </a:extLst>
          </xdr:cNvPr>
          <xdr:cNvSpPr/>
        </xdr:nvSpPr>
        <xdr:spPr>
          <a:xfrm>
            <a:off x="819977" y="13728546"/>
            <a:ext cx="265043" cy="472342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36" name="テキスト ボックス 35">
            <a:extLst>
              <a:ext uri="{FF2B5EF4-FFF2-40B4-BE49-F238E27FC236}">
                <a16:creationId xmlns:a16="http://schemas.microsoft.com/office/drawing/2014/main" id="{80AE017F-B4E9-31F7-8E1F-78E1D7CCC455}"/>
              </a:ext>
            </a:extLst>
          </xdr:cNvPr>
          <xdr:cNvSpPr txBox="1"/>
        </xdr:nvSpPr>
        <xdr:spPr>
          <a:xfrm>
            <a:off x="791816" y="14224080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22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8F2B9B61-B60A-C22E-7474-9B644687B687}"/>
              </a:ext>
            </a:extLst>
          </xdr:cNvPr>
          <xdr:cNvSpPr/>
        </xdr:nvSpPr>
        <xdr:spPr>
          <a:xfrm>
            <a:off x="815007" y="14249165"/>
            <a:ext cx="295336" cy="1448035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</xdr:grpSp>
    <xdr:clientData/>
  </xdr:twoCellAnchor>
  <xdr:twoCellAnchor editAs="oneCell">
    <xdr:from>
      <xdr:col>0</xdr:col>
      <xdr:colOff>179180</xdr:colOff>
      <xdr:row>55</xdr:row>
      <xdr:rowOff>149183</xdr:rowOff>
    </xdr:from>
    <xdr:to>
      <xdr:col>1</xdr:col>
      <xdr:colOff>179191</xdr:colOff>
      <xdr:row>58</xdr:row>
      <xdr:rowOff>22498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21F2791F-2374-437B-8928-8CAB1F3A6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080061" flipV="1">
          <a:off x="179180" y="13484183"/>
          <a:ext cx="590561" cy="616266"/>
        </a:xfrm>
        <a:prstGeom prst="rect">
          <a:avLst/>
        </a:prstGeom>
      </xdr:spPr>
    </xdr:pic>
    <xdr:clientData/>
  </xdr:twoCellAnchor>
  <xdr:twoCellAnchor editAs="oneCell">
    <xdr:from>
      <xdr:col>3</xdr:col>
      <xdr:colOff>1796143</xdr:colOff>
      <xdr:row>57</xdr:row>
      <xdr:rowOff>185057</xdr:rowOff>
    </xdr:from>
    <xdr:to>
      <xdr:col>4</xdr:col>
      <xdr:colOff>21772</xdr:colOff>
      <xdr:row>59</xdr:row>
      <xdr:rowOff>218286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56BF8075-2AE7-4AEC-B32E-26CFAD0FB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 flipV="1">
          <a:off x="3120118" y="14015357"/>
          <a:ext cx="787854" cy="528528"/>
        </a:xfrm>
        <a:prstGeom prst="rect">
          <a:avLst/>
        </a:prstGeom>
      </xdr:spPr>
    </xdr:pic>
    <xdr:clientData/>
  </xdr:twoCellAnchor>
  <xdr:twoCellAnchor editAs="oneCell">
    <xdr:from>
      <xdr:col>0</xdr:col>
      <xdr:colOff>188459</xdr:colOff>
      <xdr:row>43</xdr:row>
      <xdr:rowOff>119815</xdr:rowOff>
    </xdr:from>
    <xdr:to>
      <xdr:col>1</xdr:col>
      <xdr:colOff>188470</xdr:colOff>
      <xdr:row>46</xdr:row>
      <xdr:rowOff>42482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E451A80C-8F50-4B48-B26A-9D90526C7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080061">
          <a:off x="188459" y="10483015"/>
          <a:ext cx="590561" cy="665617"/>
        </a:xfrm>
        <a:prstGeom prst="rect">
          <a:avLst/>
        </a:prstGeom>
      </xdr:spPr>
    </xdr:pic>
    <xdr:clientData/>
  </xdr:twoCellAnchor>
  <xdr:twoCellAnchor editAs="oneCell">
    <xdr:from>
      <xdr:col>0</xdr:col>
      <xdr:colOff>389614</xdr:colOff>
      <xdr:row>11</xdr:row>
      <xdr:rowOff>154672</xdr:rowOff>
    </xdr:from>
    <xdr:to>
      <xdr:col>1</xdr:col>
      <xdr:colOff>176377</xdr:colOff>
      <xdr:row>13</xdr:row>
      <xdr:rowOff>132834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1D53BC19-8104-4973-B9A8-6CEFEEBF9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4405772" flipH="1">
          <a:off x="341540" y="3136446"/>
          <a:ext cx="473462" cy="377313"/>
        </a:xfrm>
        <a:prstGeom prst="rect">
          <a:avLst/>
        </a:prstGeom>
      </xdr:spPr>
    </xdr:pic>
    <xdr:clientData/>
  </xdr:twoCellAnchor>
  <xdr:twoCellAnchor editAs="oneCell">
    <xdr:from>
      <xdr:col>9</xdr:col>
      <xdr:colOff>1975403</xdr:colOff>
      <xdr:row>5</xdr:row>
      <xdr:rowOff>172825</xdr:rowOff>
    </xdr:from>
    <xdr:to>
      <xdr:col>10</xdr:col>
      <xdr:colOff>70336</xdr:colOff>
      <xdr:row>7</xdr:row>
      <xdr:rowOff>34980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03271DC2-4DC0-4BA7-B885-3DD947318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249218" flipH="1" flipV="1">
          <a:off x="9700178" y="1620625"/>
          <a:ext cx="476183" cy="357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19548</xdr:colOff>
      <xdr:row>11</xdr:row>
      <xdr:rowOff>125707</xdr:rowOff>
    </xdr:from>
    <xdr:to>
      <xdr:col>9</xdr:col>
      <xdr:colOff>77646</xdr:colOff>
      <xdr:row>13</xdr:row>
      <xdr:rowOff>103869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4B8DE939-F280-48F4-B939-A9013FF71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756415" flipH="1" flipV="1">
          <a:off x="7384241" y="3114689"/>
          <a:ext cx="473462" cy="362898"/>
        </a:xfrm>
        <a:prstGeom prst="rect">
          <a:avLst/>
        </a:prstGeom>
      </xdr:spPr>
    </xdr:pic>
    <xdr:clientData/>
  </xdr:twoCellAnchor>
  <xdr:twoCellAnchor editAs="oneCell">
    <xdr:from>
      <xdr:col>5</xdr:col>
      <xdr:colOff>41318</xdr:colOff>
      <xdr:row>30</xdr:row>
      <xdr:rowOff>136595</xdr:rowOff>
    </xdr:from>
    <xdr:to>
      <xdr:col>6</xdr:col>
      <xdr:colOff>99416</xdr:colOff>
      <xdr:row>32</xdr:row>
      <xdr:rowOff>114757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007331B0-8F8B-427C-A7C0-AFA29066B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756415" flipH="1" flipV="1">
          <a:off x="4167511" y="7830927"/>
          <a:ext cx="473462" cy="362898"/>
        </a:xfrm>
        <a:prstGeom prst="rect">
          <a:avLst/>
        </a:prstGeom>
      </xdr:spPr>
    </xdr:pic>
    <xdr:clientData/>
  </xdr:twoCellAnchor>
  <xdr:twoCellAnchor>
    <xdr:from>
      <xdr:col>3</xdr:col>
      <xdr:colOff>2534478</xdr:colOff>
      <xdr:row>0</xdr:row>
      <xdr:rowOff>443713</xdr:rowOff>
    </xdr:from>
    <xdr:to>
      <xdr:col>5</xdr:col>
      <xdr:colOff>49530</xdr:colOff>
      <xdr:row>63</xdr:row>
      <xdr:rowOff>236221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14C69ECF-080B-4115-AA79-453A77C2F0B5}"/>
            </a:ext>
          </a:extLst>
        </xdr:cNvPr>
        <xdr:cNvGrpSpPr/>
      </xdr:nvGrpSpPr>
      <xdr:grpSpPr>
        <a:xfrm>
          <a:off x="3852290" y="443713"/>
          <a:ext cx="374793" cy="15812437"/>
          <a:chOff x="781879" y="465484"/>
          <a:chExt cx="367109" cy="15271994"/>
        </a:xfrm>
      </xdr:grpSpPr>
      <xdr:sp macro="" textlink="">
        <xdr:nvSpPr>
          <xdr:cNvPr id="46" name="四角形: 角を丸くする 45">
            <a:extLst>
              <a:ext uri="{FF2B5EF4-FFF2-40B4-BE49-F238E27FC236}">
                <a16:creationId xmlns:a16="http://schemas.microsoft.com/office/drawing/2014/main" id="{EDA1B50A-7DC0-DB62-3812-FEF0F5AB867B}"/>
              </a:ext>
            </a:extLst>
          </xdr:cNvPr>
          <xdr:cNvSpPr/>
        </xdr:nvSpPr>
        <xdr:spPr>
          <a:xfrm>
            <a:off x="785193" y="465484"/>
            <a:ext cx="326003" cy="15271994"/>
          </a:xfrm>
          <a:prstGeom prst="roundRect">
            <a:avLst/>
          </a:prstGeom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47" name="テキスト ボックス 46">
            <a:extLst>
              <a:ext uri="{FF2B5EF4-FFF2-40B4-BE49-F238E27FC236}">
                <a16:creationId xmlns:a16="http://schemas.microsoft.com/office/drawing/2014/main" id="{7EB5C8B4-E7E7-8137-7D97-8CCEE5356ECC}"/>
              </a:ext>
            </a:extLst>
          </xdr:cNvPr>
          <xdr:cNvSpPr txBox="1"/>
        </xdr:nvSpPr>
        <xdr:spPr>
          <a:xfrm>
            <a:off x="843169" y="540027"/>
            <a:ext cx="26263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48" name="正方形/長方形 47">
            <a:extLst>
              <a:ext uri="{FF2B5EF4-FFF2-40B4-BE49-F238E27FC236}">
                <a16:creationId xmlns:a16="http://schemas.microsoft.com/office/drawing/2014/main" id="{328DFF58-B180-6E7D-2B7F-ECFEF5A744B4}"/>
              </a:ext>
            </a:extLst>
          </xdr:cNvPr>
          <xdr:cNvSpPr/>
        </xdr:nvSpPr>
        <xdr:spPr>
          <a:xfrm>
            <a:off x="834887" y="482048"/>
            <a:ext cx="265043" cy="148566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49" name="テキスト ボックス 48">
            <a:extLst>
              <a:ext uri="{FF2B5EF4-FFF2-40B4-BE49-F238E27FC236}">
                <a16:creationId xmlns:a16="http://schemas.microsoft.com/office/drawing/2014/main" id="{BF66A940-4749-4D62-6F30-21A2A94A1332}"/>
              </a:ext>
            </a:extLst>
          </xdr:cNvPr>
          <xdr:cNvSpPr txBox="1"/>
        </xdr:nvSpPr>
        <xdr:spPr>
          <a:xfrm>
            <a:off x="829916" y="1971025"/>
            <a:ext cx="26263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B2596270-A482-C300-EFA6-701D36B86E27}"/>
              </a:ext>
            </a:extLst>
          </xdr:cNvPr>
          <xdr:cNvSpPr/>
        </xdr:nvSpPr>
        <xdr:spPr>
          <a:xfrm>
            <a:off x="838200" y="1962743"/>
            <a:ext cx="265043" cy="1463892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1" name="テキスト ボックス 50">
            <a:extLst>
              <a:ext uri="{FF2B5EF4-FFF2-40B4-BE49-F238E27FC236}">
                <a16:creationId xmlns:a16="http://schemas.microsoft.com/office/drawing/2014/main" id="{B6DA9F37-16BC-E5E2-10EE-7B6529114BCC}"/>
              </a:ext>
            </a:extLst>
          </xdr:cNvPr>
          <xdr:cNvSpPr txBox="1"/>
        </xdr:nvSpPr>
        <xdr:spPr>
          <a:xfrm>
            <a:off x="808382" y="3493131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00D6B664-7A29-5CC1-0464-E0BFAD2521CF}"/>
              </a:ext>
            </a:extLst>
          </xdr:cNvPr>
          <xdr:cNvSpPr/>
        </xdr:nvSpPr>
        <xdr:spPr>
          <a:xfrm>
            <a:off x="833230" y="3458109"/>
            <a:ext cx="265043" cy="257327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3" name="テキスト ボックス 52">
            <a:extLst>
              <a:ext uri="{FF2B5EF4-FFF2-40B4-BE49-F238E27FC236}">
                <a16:creationId xmlns:a16="http://schemas.microsoft.com/office/drawing/2014/main" id="{EE949A46-A4B1-CD7E-F588-156352456AE5}"/>
              </a:ext>
            </a:extLst>
          </xdr:cNvPr>
          <xdr:cNvSpPr txBox="1"/>
        </xdr:nvSpPr>
        <xdr:spPr>
          <a:xfrm>
            <a:off x="803412" y="3746817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54" name="正方形/長方形 53">
            <a:extLst>
              <a:ext uri="{FF2B5EF4-FFF2-40B4-BE49-F238E27FC236}">
                <a16:creationId xmlns:a16="http://schemas.microsoft.com/office/drawing/2014/main" id="{C483580D-99B5-BB7A-6EFD-6552818EE4F9}"/>
              </a:ext>
            </a:extLst>
          </xdr:cNvPr>
          <xdr:cNvSpPr/>
        </xdr:nvSpPr>
        <xdr:spPr>
          <a:xfrm>
            <a:off x="836543" y="3728594"/>
            <a:ext cx="265043" cy="237877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5" name="テキスト ボックス 54">
            <a:extLst>
              <a:ext uri="{FF2B5EF4-FFF2-40B4-BE49-F238E27FC236}">
                <a16:creationId xmlns:a16="http://schemas.microsoft.com/office/drawing/2014/main" id="{0FD1A417-4D12-0352-F9EC-534B2F3A5232}"/>
              </a:ext>
            </a:extLst>
          </xdr:cNvPr>
          <xdr:cNvSpPr txBox="1"/>
        </xdr:nvSpPr>
        <xdr:spPr>
          <a:xfrm>
            <a:off x="781879" y="3962497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1E85B06C-A416-5ECE-87F5-FE7BF4E8E1B4}"/>
              </a:ext>
            </a:extLst>
          </xdr:cNvPr>
          <xdr:cNvSpPr/>
        </xdr:nvSpPr>
        <xdr:spPr>
          <a:xfrm>
            <a:off x="823292" y="3983935"/>
            <a:ext cx="265043" cy="42761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7" name="テキスト ボックス 56">
            <a:extLst>
              <a:ext uri="{FF2B5EF4-FFF2-40B4-BE49-F238E27FC236}">
                <a16:creationId xmlns:a16="http://schemas.microsoft.com/office/drawing/2014/main" id="{19FBB8CD-4A6C-42E1-A511-C4016E74FB9D}"/>
              </a:ext>
            </a:extLst>
          </xdr:cNvPr>
          <xdr:cNvSpPr txBox="1"/>
        </xdr:nvSpPr>
        <xdr:spPr>
          <a:xfrm>
            <a:off x="793473" y="4461249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0E6200C1-EA31-9BF6-15F1-5B12F12B7E21}"/>
              </a:ext>
            </a:extLst>
          </xdr:cNvPr>
          <xdr:cNvSpPr/>
        </xdr:nvSpPr>
        <xdr:spPr>
          <a:xfrm>
            <a:off x="834887" y="4444686"/>
            <a:ext cx="265043" cy="310242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9" name="テキスト ボックス 58">
            <a:extLst>
              <a:ext uri="{FF2B5EF4-FFF2-40B4-BE49-F238E27FC236}">
                <a16:creationId xmlns:a16="http://schemas.microsoft.com/office/drawing/2014/main" id="{2D1A8A7C-9557-BDEC-2578-7B565FF87FA6}"/>
              </a:ext>
            </a:extLst>
          </xdr:cNvPr>
          <xdr:cNvSpPr txBox="1"/>
        </xdr:nvSpPr>
        <xdr:spPr>
          <a:xfrm>
            <a:off x="788504" y="4816218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23F7039D-3820-D428-9DB4-8E558BD618F5}"/>
              </a:ext>
            </a:extLst>
          </xdr:cNvPr>
          <xdr:cNvSpPr/>
        </xdr:nvSpPr>
        <xdr:spPr>
          <a:xfrm>
            <a:off x="829918" y="4807936"/>
            <a:ext cx="265043" cy="896887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61" name="テキスト ボックス 60">
            <a:extLst>
              <a:ext uri="{FF2B5EF4-FFF2-40B4-BE49-F238E27FC236}">
                <a16:creationId xmlns:a16="http://schemas.microsoft.com/office/drawing/2014/main" id="{0D759C30-23F0-0236-C5E4-8A65FEF0BE23}"/>
              </a:ext>
            </a:extLst>
          </xdr:cNvPr>
          <xdr:cNvSpPr txBox="1"/>
        </xdr:nvSpPr>
        <xdr:spPr>
          <a:xfrm>
            <a:off x="801756" y="5704825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94A67D36-65EB-0832-CC4F-90235C2955BA}"/>
              </a:ext>
            </a:extLst>
          </xdr:cNvPr>
          <xdr:cNvSpPr/>
        </xdr:nvSpPr>
        <xdr:spPr>
          <a:xfrm>
            <a:off x="824948" y="5721627"/>
            <a:ext cx="265043" cy="968117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63" name="テキスト ボックス 62">
            <a:extLst>
              <a:ext uri="{FF2B5EF4-FFF2-40B4-BE49-F238E27FC236}">
                <a16:creationId xmlns:a16="http://schemas.microsoft.com/office/drawing/2014/main" id="{D3D45D7E-3BF5-4700-2398-B3421C7DA90D}"/>
              </a:ext>
            </a:extLst>
          </xdr:cNvPr>
          <xdr:cNvSpPr txBox="1"/>
        </xdr:nvSpPr>
        <xdr:spPr>
          <a:xfrm>
            <a:off x="796786" y="6709623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3B890458-55B0-FC84-44CF-50F752AE968B}"/>
              </a:ext>
            </a:extLst>
          </xdr:cNvPr>
          <xdr:cNvSpPr/>
        </xdr:nvSpPr>
        <xdr:spPr>
          <a:xfrm>
            <a:off x="828261" y="6726426"/>
            <a:ext cx="265043" cy="147383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65" name="テキスト ボックス 64">
            <a:extLst>
              <a:ext uri="{FF2B5EF4-FFF2-40B4-BE49-F238E27FC236}">
                <a16:creationId xmlns:a16="http://schemas.microsoft.com/office/drawing/2014/main" id="{45A09ACC-DA43-CF27-46DC-2B77E84A4133}"/>
              </a:ext>
            </a:extLst>
          </xdr:cNvPr>
          <xdr:cNvSpPr txBox="1"/>
        </xdr:nvSpPr>
        <xdr:spPr>
          <a:xfrm>
            <a:off x="791816" y="8206883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1877859B-F8D5-1F8A-704F-ED7BA52E40F8}"/>
              </a:ext>
            </a:extLst>
          </xdr:cNvPr>
          <xdr:cNvSpPr/>
        </xdr:nvSpPr>
        <xdr:spPr>
          <a:xfrm>
            <a:off x="823292" y="8231967"/>
            <a:ext cx="265043" cy="124688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A24B9C56-8719-F96F-444D-AC17B0B39483}"/>
              </a:ext>
            </a:extLst>
          </xdr:cNvPr>
          <xdr:cNvSpPr txBox="1"/>
        </xdr:nvSpPr>
        <xdr:spPr>
          <a:xfrm>
            <a:off x="803412" y="9472228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212D0550-B02B-88F9-9A0B-A6EF6C409758}"/>
              </a:ext>
            </a:extLst>
          </xdr:cNvPr>
          <xdr:cNvSpPr/>
        </xdr:nvSpPr>
        <xdr:spPr>
          <a:xfrm>
            <a:off x="826605" y="9487137"/>
            <a:ext cx="265043" cy="170929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69" name="テキスト ボックス 68">
            <a:extLst>
              <a:ext uri="{FF2B5EF4-FFF2-40B4-BE49-F238E27FC236}">
                <a16:creationId xmlns:a16="http://schemas.microsoft.com/office/drawing/2014/main" id="{DA19C6BC-3CF2-7D0A-5A89-1F9506896FD9}"/>
              </a:ext>
            </a:extLst>
          </xdr:cNvPr>
          <xdr:cNvSpPr txBox="1"/>
        </xdr:nvSpPr>
        <xdr:spPr>
          <a:xfrm>
            <a:off x="798442" y="11244706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274DF305-2C8C-59F9-A097-8719B833728B}"/>
              </a:ext>
            </a:extLst>
          </xdr:cNvPr>
          <xdr:cNvSpPr/>
        </xdr:nvSpPr>
        <xdr:spPr>
          <a:xfrm>
            <a:off x="829918" y="11226485"/>
            <a:ext cx="265043" cy="121352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52A9B579-B814-5E68-A010-49375B3E80BC}"/>
              </a:ext>
            </a:extLst>
          </xdr:cNvPr>
          <xdr:cNvSpPr txBox="1"/>
        </xdr:nvSpPr>
        <xdr:spPr>
          <a:xfrm>
            <a:off x="793472" y="12456571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8EDC38E8-04FB-5CDC-1E0C-B533C10CCCD1}"/>
              </a:ext>
            </a:extLst>
          </xdr:cNvPr>
          <xdr:cNvSpPr/>
        </xdr:nvSpPr>
        <xdr:spPr>
          <a:xfrm>
            <a:off x="824947" y="12471480"/>
            <a:ext cx="265043" cy="1203817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73" name="テキスト ボックス 72">
            <a:extLst>
              <a:ext uri="{FF2B5EF4-FFF2-40B4-BE49-F238E27FC236}">
                <a16:creationId xmlns:a16="http://schemas.microsoft.com/office/drawing/2014/main" id="{B12D8478-5E3F-E5D1-DC49-1424535548FC}"/>
              </a:ext>
            </a:extLst>
          </xdr:cNvPr>
          <xdr:cNvSpPr txBox="1"/>
        </xdr:nvSpPr>
        <xdr:spPr>
          <a:xfrm>
            <a:off x="796785" y="13738483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21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8EF3C0EC-8DDA-0E5F-86C5-4B4375C7640E}"/>
              </a:ext>
            </a:extLst>
          </xdr:cNvPr>
          <xdr:cNvSpPr/>
        </xdr:nvSpPr>
        <xdr:spPr>
          <a:xfrm>
            <a:off x="819977" y="13728546"/>
            <a:ext cx="265043" cy="472342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75" name="テキスト ボックス 74">
            <a:extLst>
              <a:ext uri="{FF2B5EF4-FFF2-40B4-BE49-F238E27FC236}">
                <a16:creationId xmlns:a16="http://schemas.microsoft.com/office/drawing/2014/main" id="{2FE4FAD4-0C98-0E5E-6233-2558BF817EAC}"/>
              </a:ext>
            </a:extLst>
          </xdr:cNvPr>
          <xdr:cNvSpPr txBox="1"/>
        </xdr:nvSpPr>
        <xdr:spPr>
          <a:xfrm>
            <a:off x="791816" y="14224080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22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51AD111D-EC4E-6612-D057-C9699A3B31DC}"/>
              </a:ext>
            </a:extLst>
          </xdr:cNvPr>
          <xdr:cNvSpPr/>
        </xdr:nvSpPr>
        <xdr:spPr>
          <a:xfrm>
            <a:off x="815007" y="14249165"/>
            <a:ext cx="295336" cy="1448035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</xdr:grpSp>
    <xdr:clientData/>
  </xdr:twoCellAnchor>
  <xdr:twoCellAnchor>
    <xdr:from>
      <xdr:col>6</xdr:col>
      <xdr:colOff>2610679</xdr:colOff>
      <xdr:row>0</xdr:row>
      <xdr:rowOff>448837</xdr:rowOff>
    </xdr:from>
    <xdr:to>
      <xdr:col>8</xdr:col>
      <xdr:colOff>38645</xdr:colOff>
      <xdr:row>63</xdr:row>
      <xdr:rowOff>241345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06604950-5E64-4354-8FC2-FC9C41FB8EC3}"/>
            </a:ext>
          </a:extLst>
        </xdr:cNvPr>
        <xdr:cNvGrpSpPr/>
      </xdr:nvGrpSpPr>
      <xdr:grpSpPr>
        <a:xfrm>
          <a:off x="7093032" y="448837"/>
          <a:ext cx="350460" cy="15812437"/>
          <a:chOff x="781879" y="465484"/>
          <a:chExt cx="367109" cy="15271994"/>
        </a:xfrm>
      </xdr:grpSpPr>
      <xdr:sp macro="" textlink="">
        <xdr:nvSpPr>
          <xdr:cNvPr id="78" name="四角形: 角を丸くする 77">
            <a:extLst>
              <a:ext uri="{FF2B5EF4-FFF2-40B4-BE49-F238E27FC236}">
                <a16:creationId xmlns:a16="http://schemas.microsoft.com/office/drawing/2014/main" id="{DF8A1BDD-85B1-1451-A6D0-2F265058D19D}"/>
              </a:ext>
            </a:extLst>
          </xdr:cNvPr>
          <xdr:cNvSpPr/>
        </xdr:nvSpPr>
        <xdr:spPr>
          <a:xfrm>
            <a:off x="785193" y="465484"/>
            <a:ext cx="326003" cy="15271994"/>
          </a:xfrm>
          <a:prstGeom prst="roundRect">
            <a:avLst/>
          </a:prstGeom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79" name="テキスト ボックス 78">
            <a:extLst>
              <a:ext uri="{FF2B5EF4-FFF2-40B4-BE49-F238E27FC236}">
                <a16:creationId xmlns:a16="http://schemas.microsoft.com/office/drawing/2014/main" id="{750060A0-64C5-6257-ED07-6FF931EEB54C}"/>
              </a:ext>
            </a:extLst>
          </xdr:cNvPr>
          <xdr:cNvSpPr txBox="1"/>
        </xdr:nvSpPr>
        <xdr:spPr>
          <a:xfrm>
            <a:off x="843169" y="540027"/>
            <a:ext cx="26263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22C49BE0-57CE-3BB5-344A-1BFDC40E03C7}"/>
              </a:ext>
            </a:extLst>
          </xdr:cNvPr>
          <xdr:cNvSpPr/>
        </xdr:nvSpPr>
        <xdr:spPr>
          <a:xfrm>
            <a:off x="834887" y="482048"/>
            <a:ext cx="265043" cy="148566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1" name="テキスト ボックス 80">
            <a:extLst>
              <a:ext uri="{FF2B5EF4-FFF2-40B4-BE49-F238E27FC236}">
                <a16:creationId xmlns:a16="http://schemas.microsoft.com/office/drawing/2014/main" id="{33ECD1A7-5F37-04D4-72E3-A37AADF6FA52}"/>
              </a:ext>
            </a:extLst>
          </xdr:cNvPr>
          <xdr:cNvSpPr txBox="1"/>
        </xdr:nvSpPr>
        <xdr:spPr>
          <a:xfrm>
            <a:off x="829916" y="1971025"/>
            <a:ext cx="26263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48B2FEE9-AB32-29C7-EA5E-55572D1ECCD5}"/>
              </a:ext>
            </a:extLst>
          </xdr:cNvPr>
          <xdr:cNvSpPr/>
        </xdr:nvSpPr>
        <xdr:spPr>
          <a:xfrm>
            <a:off x="838200" y="1962743"/>
            <a:ext cx="265043" cy="1463892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3" name="テキスト ボックス 82">
            <a:extLst>
              <a:ext uri="{FF2B5EF4-FFF2-40B4-BE49-F238E27FC236}">
                <a16:creationId xmlns:a16="http://schemas.microsoft.com/office/drawing/2014/main" id="{5D3CA3AD-3CED-6445-A6AD-F7718865394F}"/>
              </a:ext>
            </a:extLst>
          </xdr:cNvPr>
          <xdr:cNvSpPr txBox="1"/>
        </xdr:nvSpPr>
        <xdr:spPr>
          <a:xfrm>
            <a:off x="808382" y="3493131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84" name="正方形/長方形 83">
            <a:extLst>
              <a:ext uri="{FF2B5EF4-FFF2-40B4-BE49-F238E27FC236}">
                <a16:creationId xmlns:a16="http://schemas.microsoft.com/office/drawing/2014/main" id="{1281DCF4-F8B8-A501-E100-540A0DC7D61C}"/>
              </a:ext>
            </a:extLst>
          </xdr:cNvPr>
          <xdr:cNvSpPr/>
        </xdr:nvSpPr>
        <xdr:spPr>
          <a:xfrm>
            <a:off x="833230" y="3458109"/>
            <a:ext cx="265043" cy="257327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A7D01041-6379-A9F1-1F48-B75A111FB422}"/>
              </a:ext>
            </a:extLst>
          </xdr:cNvPr>
          <xdr:cNvSpPr txBox="1"/>
        </xdr:nvSpPr>
        <xdr:spPr>
          <a:xfrm>
            <a:off x="803412" y="3746817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86" name="正方形/長方形 85">
            <a:extLst>
              <a:ext uri="{FF2B5EF4-FFF2-40B4-BE49-F238E27FC236}">
                <a16:creationId xmlns:a16="http://schemas.microsoft.com/office/drawing/2014/main" id="{0D6E991B-226C-CFAA-0725-2E6ACC7945B2}"/>
              </a:ext>
            </a:extLst>
          </xdr:cNvPr>
          <xdr:cNvSpPr/>
        </xdr:nvSpPr>
        <xdr:spPr>
          <a:xfrm>
            <a:off x="836543" y="3728594"/>
            <a:ext cx="265043" cy="237877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7" name="テキスト ボックス 86">
            <a:extLst>
              <a:ext uri="{FF2B5EF4-FFF2-40B4-BE49-F238E27FC236}">
                <a16:creationId xmlns:a16="http://schemas.microsoft.com/office/drawing/2014/main" id="{8BA24C10-7ED0-72F5-3E25-36D73D457E9E}"/>
              </a:ext>
            </a:extLst>
          </xdr:cNvPr>
          <xdr:cNvSpPr txBox="1"/>
        </xdr:nvSpPr>
        <xdr:spPr>
          <a:xfrm>
            <a:off x="781879" y="3962497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88" name="正方形/長方形 87">
            <a:extLst>
              <a:ext uri="{FF2B5EF4-FFF2-40B4-BE49-F238E27FC236}">
                <a16:creationId xmlns:a16="http://schemas.microsoft.com/office/drawing/2014/main" id="{5595F8BE-63C2-A054-8DFA-5A8BBD7CA84E}"/>
              </a:ext>
            </a:extLst>
          </xdr:cNvPr>
          <xdr:cNvSpPr/>
        </xdr:nvSpPr>
        <xdr:spPr>
          <a:xfrm>
            <a:off x="823292" y="3983935"/>
            <a:ext cx="265043" cy="42761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9" name="テキスト ボックス 88">
            <a:extLst>
              <a:ext uri="{FF2B5EF4-FFF2-40B4-BE49-F238E27FC236}">
                <a16:creationId xmlns:a16="http://schemas.microsoft.com/office/drawing/2014/main" id="{1514286A-C0C1-53A8-D06B-C9F72D9ABE9B}"/>
              </a:ext>
            </a:extLst>
          </xdr:cNvPr>
          <xdr:cNvSpPr txBox="1"/>
        </xdr:nvSpPr>
        <xdr:spPr>
          <a:xfrm>
            <a:off x="793473" y="4461249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90" name="正方形/長方形 89">
            <a:extLst>
              <a:ext uri="{FF2B5EF4-FFF2-40B4-BE49-F238E27FC236}">
                <a16:creationId xmlns:a16="http://schemas.microsoft.com/office/drawing/2014/main" id="{FCF285C5-F8F8-D8AF-E877-87960B77737A}"/>
              </a:ext>
            </a:extLst>
          </xdr:cNvPr>
          <xdr:cNvSpPr/>
        </xdr:nvSpPr>
        <xdr:spPr>
          <a:xfrm>
            <a:off x="834887" y="4444686"/>
            <a:ext cx="265043" cy="310242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1" name="テキスト ボックス 90">
            <a:extLst>
              <a:ext uri="{FF2B5EF4-FFF2-40B4-BE49-F238E27FC236}">
                <a16:creationId xmlns:a16="http://schemas.microsoft.com/office/drawing/2014/main" id="{29633BB7-5EB4-8324-1AE8-1A4C162BB8F1}"/>
              </a:ext>
            </a:extLst>
          </xdr:cNvPr>
          <xdr:cNvSpPr txBox="1"/>
        </xdr:nvSpPr>
        <xdr:spPr>
          <a:xfrm>
            <a:off x="788504" y="4816218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92" name="正方形/長方形 91">
            <a:extLst>
              <a:ext uri="{FF2B5EF4-FFF2-40B4-BE49-F238E27FC236}">
                <a16:creationId xmlns:a16="http://schemas.microsoft.com/office/drawing/2014/main" id="{E539EB03-2071-2E35-F795-2DFE95260839}"/>
              </a:ext>
            </a:extLst>
          </xdr:cNvPr>
          <xdr:cNvSpPr/>
        </xdr:nvSpPr>
        <xdr:spPr>
          <a:xfrm>
            <a:off x="829918" y="4807936"/>
            <a:ext cx="265043" cy="896887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3" name="テキスト ボックス 92">
            <a:extLst>
              <a:ext uri="{FF2B5EF4-FFF2-40B4-BE49-F238E27FC236}">
                <a16:creationId xmlns:a16="http://schemas.microsoft.com/office/drawing/2014/main" id="{CD945DFE-84C9-D014-30D8-02FBAD480826}"/>
              </a:ext>
            </a:extLst>
          </xdr:cNvPr>
          <xdr:cNvSpPr txBox="1"/>
        </xdr:nvSpPr>
        <xdr:spPr>
          <a:xfrm>
            <a:off x="801756" y="5704825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94" name="正方形/長方形 93">
            <a:extLst>
              <a:ext uri="{FF2B5EF4-FFF2-40B4-BE49-F238E27FC236}">
                <a16:creationId xmlns:a16="http://schemas.microsoft.com/office/drawing/2014/main" id="{D9395164-BE63-FF6A-9A79-B4557D889FF7}"/>
              </a:ext>
            </a:extLst>
          </xdr:cNvPr>
          <xdr:cNvSpPr/>
        </xdr:nvSpPr>
        <xdr:spPr>
          <a:xfrm>
            <a:off x="824948" y="5721627"/>
            <a:ext cx="265043" cy="968117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5" name="テキスト ボックス 94">
            <a:extLst>
              <a:ext uri="{FF2B5EF4-FFF2-40B4-BE49-F238E27FC236}">
                <a16:creationId xmlns:a16="http://schemas.microsoft.com/office/drawing/2014/main" id="{CDE66A40-3B53-E034-071B-1BBB6DAFD02F}"/>
              </a:ext>
            </a:extLst>
          </xdr:cNvPr>
          <xdr:cNvSpPr txBox="1"/>
        </xdr:nvSpPr>
        <xdr:spPr>
          <a:xfrm>
            <a:off x="796786" y="6709623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96" name="正方形/長方形 95">
            <a:extLst>
              <a:ext uri="{FF2B5EF4-FFF2-40B4-BE49-F238E27FC236}">
                <a16:creationId xmlns:a16="http://schemas.microsoft.com/office/drawing/2014/main" id="{7A5213F2-F791-6F5C-49CA-E0C4503FDDB6}"/>
              </a:ext>
            </a:extLst>
          </xdr:cNvPr>
          <xdr:cNvSpPr/>
        </xdr:nvSpPr>
        <xdr:spPr>
          <a:xfrm>
            <a:off x="828261" y="6726426"/>
            <a:ext cx="265043" cy="147383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7" name="テキスト ボックス 96">
            <a:extLst>
              <a:ext uri="{FF2B5EF4-FFF2-40B4-BE49-F238E27FC236}">
                <a16:creationId xmlns:a16="http://schemas.microsoft.com/office/drawing/2014/main" id="{D9CCDB33-ED46-1824-81E2-3E2FCDE1EA15}"/>
              </a:ext>
            </a:extLst>
          </xdr:cNvPr>
          <xdr:cNvSpPr txBox="1"/>
        </xdr:nvSpPr>
        <xdr:spPr>
          <a:xfrm>
            <a:off x="791816" y="8206883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98" name="正方形/長方形 97">
            <a:extLst>
              <a:ext uri="{FF2B5EF4-FFF2-40B4-BE49-F238E27FC236}">
                <a16:creationId xmlns:a16="http://schemas.microsoft.com/office/drawing/2014/main" id="{10045B99-BD94-934F-D273-FD3569298289}"/>
              </a:ext>
            </a:extLst>
          </xdr:cNvPr>
          <xdr:cNvSpPr/>
        </xdr:nvSpPr>
        <xdr:spPr>
          <a:xfrm>
            <a:off x="823292" y="8231967"/>
            <a:ext cx="265043" cy="124688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9" name="テキスト ボックス 98">
            <a:extLst>
              <a:ext uri="{FF2B5EF4-FFF2-40B4-BE49-F238E27FC236}">
                <a16:creationId xmlns:a16="http://schemas.microsoft.com/office/drawing/2014/main" id="{FFE2E0FA-99FA-B80A-0D24-276E2F024503}"/>
              </a:ext>
            </a:extLst>
          </xdr:cNvPr>
          <xdr:cNvSpPr txBox="1"/>
        </xdr:nvSpPr>
        <xdr:spPr>
          <a:xfrm>
            <a:off x="803412" y="9472228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00" name="正方形/長方形 99">
            <a:extLst>
              <a:ext uri="{FF2B5EF4-FFF2-40B4-BE49-F238E27FC236}">
                <a16:creationId xmlns:a16="http://schemas.microsoft.com/office/drawing/2014/main" id="{D459B6F6-FD6C-7C5D-C074-7F7AE9727B99}"/>
              </a:ext>
            </a:extLst>
          </xdr:cNvPr>
          <xdr:cNvSpPr/>
        </xdr:nvSpPr>
        <xdr:spPr>
          <a:xfrm>
            <a:off x="826605" y="9487137"/>
            <a:ext cx="265043" cy="170929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01" name="テキスト ボックス 100">
            <a:extLst>
              <a:ext uri="{FF2B5EF4-FFF2-40B4-BE49-F238E27FC236}">
                <a16:creationId xmlns:a16="http://schemas.microsoft.com/office/drawing/2014/main" id="{2FEB2E00-6A3C-BCDF-B85B-AC8DE7E5998B}"/>
              </a:ext>
            </a:extLst>
          </xdr:cNvPr>
          <xdr:cNvSpPr txBox="1"/>
        </xdr:nvSpPr>
        <xdr:spPr>
          <a:xfrm>
            <a:off x="798442" y="11244706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02" name="正方形/長方形 101">
            <a:extLst>
              <a:ext uri="{FF2B5EF4-FFF2-40B4-BE49-F238E27FC236}">
                <a16:creationId xmlns:a16="http://schemas.microsoft.com/office/drawing/2014/main" id="{8B370448-F16E-94D9-FF21-C5B54C90CB43}"/>
              </a:ext>
            </a:extLst>
          </xdr:cNvPr>
          <xdr:cNvSpPr/>
        </xdr:nvSpPr>
        <xdr:spPr>
          <a:xfrm>
            <a:off x="829918" y="11226485"/>
            <a:ext cx="265043" cy="121352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03" name="テキスト ボックス 102">
            <a:extLst>
              <a:ext uri="{FF2B5EF4-FFF2-40B4-BE49-F238E27FC236}">
                <a16:creationId xmlns:a16="http://schemas.microsoft.com/office/drawing/2014/main" id="{3D5803F6-6F27-96EA-5661-BDF956B409F1}"/>
              </a:ext>
            </a:extLst>
          </xdr:cNvPr>
          <xdr:cNvSpPr txBox="1"/>
        </xdr:nvSpPr>
        <xdr:spPr>
          <a:xfrm>
            <a:off x="793472" y="12456571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88213313-1B07-0F72-766C-5216FAE69477}"/>
              </a:ext>
            </a:extLst>
          </xdr:cNvPr>
          <xdr:cNvSpPr/>
        </xdr:nvSpPr>
        <xdr:spPr>
          <a:xfrm>
            <a:off x="824947" y="12471480"/>
            <a:ext cx="265043" cy="1203817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05" name="テキスト ボックス 104">
            <a:extLst>
              <a:ext uri="{FF2B5EF4-FFF2-40B4-BE49-F238E27FC236}">
                <a16:creationId xmlns:a16="http://schemas.microsoft.com/office/drawing/2014/main" id="{13C286AD-FC87-4667-268E-2EE6B5A77B37}"/>
              </a:ext>
            </a:extLst>
          </xdr:cNvPr>
          <xdr:cNvSpPr txBox="1"/>
        </xdr:nvSpPr>
        <xdr:spPr>
          <a:xfrm>
            <a:off x="796785" y="13738483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21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CBBB4378-0D61-0404-F6D1-8475CC27D711}"/>
              </a:ext>
            </a:extLst>
          </xdr:cNvPr>
          <xdr:cNvSpPr/>
        </xdr:nvSpPr>
        <xdr:spPr>
          <a:xfrm>
            <a:off x="819977" y="13728546"/>
            <a:ext cx="265043" cy="472342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07" name="テキスト ボックス 106">
            <a:extLst>
              <a:ext uri="{FF2B5EF4-FFF2-40B4-BE49-F238E27FC236}">
                <a16:creationId xmlns:a16="http://schemas.microsoft.com/office/drawing/2014/main" id="{D351C9E4-9019-8688-57D5-C1D77E53A762}"/>
              </a:ext>
            </a:extLst>
          </xdr:cNvPr>
          <xdr:cNvSpPr txBox="1"/>
        </xdr:nvSpPr>
        <xdr:spPr>
          <a:xfrm>
            <a:off x="791816" y="14224080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22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08" name="正方形/長方形 107">
            <a:extLst>
              <a:ext uri="{FF2B5EF4-FFF2-40B4-BE49-F238E27FC236}">
                <a16:creationId xmlns:a16="http://schemas.microsoft.com/office/drawing/2014/main" id="{51FF0DC1-FB97-F00B-6104-04398BE7784B}"/>
              </a:ext>
            </a:extLst>
          </xdr:cNvPr>
          <xdr:cNvSpPr/>
        </xdr:nvSpPr>
        <xdr:spPr>
          <a:xfrm>
            <a:off x="815007" y="14249165"/>
            <a:ext cx="295336" cy="1448035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</xdr:grpSp>
    <xdr:clientData/>
  </xdr:twoCellAnchor>
  <xdr:twoCellAnchor>
    <xdr:from>
      <xdr:col>10</xdr:col>
      <xdr:colOff>8994</xdr:colOff>
      <xdr:row>1</xdr:row>
      <xdr:rowOff>8285</xdr:rowOff>
    </xdr:from>
    <xdr:to>
      <xdr:col>11</xdr:col>
      <xdr:colOff>27759</xdr:colOff>
      <xdr:row>64</xdr:row>
      <xdr:rowOff>7622</xdr:rowOff>
    </xdr:to>
    <xdr:grpSp>
      <xdr:nvGrpSpPr>
        <xdr:cNvPr id="109" name="グループ化 108">
          <a:extLst>
            <a:ext uri="{FF2B5EF4-FFF2-40B4-BE49-F238E27FC236}">
              <a16:creationId xmlns:a16="http://schemas.microsoft.com/office/drawing/2014/main" id="{036F54EC-27E8-46F0-8AD4-48AB61F7A6F1}"/>
            </a:ext>
          </a:extLst>
        </xdr:cNvPr>
        <xdr:cNvGrpSpPr/>
      </xdr:nvGrpSpPr>
      <xdr:grpSpPr>
        <a:xfrm>
          <a:off x="10094288" y="465485"/>
          <a:ext cx="368389" cy="15813078"/>
          <a:chOff x="781879" y="465484"/>
          <a:chExt cx="367109" cy="15271994"/>
        </a:xfrm>
      </xdr:grpSpPr>
      <xdr:sp macro="" textlink="">
        <xdr:nvSpPr>
          <xdr:cNvPr id="110" name="四角形: 角を丸くする 109">
            <a:extLst>
              <a:ext uri="{FF2B5EF4-FFF2-40B4-BE49-F238E27FC236}">
                <a16:creationId xmlns:a16="http://schemas.microsoft.com/office/drawing/2014/main" id="{733D62AE-6EB1-3054-1B72-831E4555CA1E}"/>
              </a:ext>
            </a:extLst>
          </xdr:cNvPr>
          <xdr:cNvSpPr/>
        </xdr:nvSpPr>
        <xdr:spPr>
          <a:xfrm>
            <a:off x="785193" y="465484"/>
            <a:ext cx="326003" cy="15271994"/>
          </a:xfrm>
          <a:prstGeom prst="roundRect">
            <a:avLst/>
          </a:prstGeom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1" name="テキスト ボックス 110">
            <a:extLst>
              <a:ext uri="{FF2B5EF4-FFF2-40B4-BE49-F238E27FC236}">
                <a16:creationId xmlns:a16="http://schemas.microsoft.com/office/drawing/2014/main" id="{9CA7C9BC-CF15-2C59-039B-C61C98F4FF80}"/>
              </a:ext>
            </a:extLst>
          </xdr:cNvPr>
          <xdr:cNvSpPr txBox="1"/>
        </xdr:nvSpPr>
        <xdr:spPr>
          <a:xfrm>
            <a:off x="843169" y="540027"/>
            <a:ext cx="26263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1D228601-A8D1-9C9E-0091-2549C1180044}"/>
              </a:ext>
            </a:extLst>
          </xdr:cNvPr>
          <xdr:cNvSpPr/>
        </xdr:nvSpPr>
        <xdr:spPr>
          <a:xfrm>
            <a:off x="834887" y="482048"/>
            <a:ext cx="265043" cy="148566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3" name="テキスト ボックス 112">
            <a:extLst>
              <a:ext uri="{FF2B5EF4-FFF2-40B4-BE49-F238E27FC236}">
                <a16:creationId xmlns:a16="http://schemas.microsoft.com/office/drawing/2014/main" id="{800B9E56-ABB2-8894-13E4-2ED53C0C78C3}"/>
              </a:ext>
            </a:extLst>
          </xdr:cNvPr>
          <xdr:cNvSpPr txBox="1"/>
        </xdr:nvSpPr>
        <xdr:spPr>
          <a:xfrm>
            <a:off x="829916" y="1971025"/>
            <a:ext cx="26263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114" name="正方形/長方形 113">
            <a:extLst>
              <a:ext uri="{FF2B5EF4-FFF2-40B4-BE49-F238E27FC236}">
                <a16:creationId xmlns:a16="http://schemas.microsoft.com/office/drawing/2014/main" id="{A68BF7A8-E17E-6311-718E-F2F05AECC10A}"/>
              </a:ext>
            </a:extLst>
          </xdr:cNvPr>
          <xdr:cNvSpPr/>
        </xdr:nvSpPr>
        <xdr:spPr>
          <a:xfrm>
            <a:off x="838200" y="1962743"/>
            <a:ext cx="265043" cy="1463892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5" name="テキスト ボックス 114">
            <a:extLst>
              <a:ext uri="{FF2B5EF4-FFF2-40B4-BE49-F238E27FC236}">
                <a16:creationId xmlns:a16="http://schemas.microsoft.com/office/drawing/2014/main" id="{997CBCC0-2613-9BA0-8755-21F691D9B295}"/>
              </a:ext>
            </a:extLst>
          </xdr:cNvPr>
          <xdr:cNvSpPr txBox="1"/>
        </xdr:nvSpPr>
        <xdr:spPr>
          <a:xfrm>
            <a:off x="808382" y="3493131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116" name="正方形/長方形 115">
            <a:extLst>
              <a:ext uri="{FF2B5EF4-FFF2-40B4-BE49-F238E27FC236}">
                <a16:creationId xmlns:a16="http://schemas.microsoft.com/office/drawing/2014/main" id="{57DEDC95-7B16-4BCE-6028-1395E2BE0F5C}"/>
              </a:ext>
            </a:extLst>
          </xdr:cNvPr>
          <xdr:cNvSpPr/>
        </xdr:nvSpPr>
        <xdr:spPr>
          <a:xfrm>
            <a:off x="833230" y="3458109"/>
            <a:ext cx="265043" cy="257327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7" name="テキスト ボックス 116">
            <a:extLst>
              <a:ext uri="{FF2B5EF4-FFF2-40B4-BE49-F238E27FC236}">
                <a16:creationId xmlns:a16="http://schemas.microsoft.com/office/drawing/2014/main" id="{1E9EBF19-959F-9674-F8F3-6F0BFE467905}"/>
              </a:ext>
            </a:extLst>
          </xdr:cNvPr>
          <xdr:cNvSpPr txBox="1"/>
        </xdr:nvSpPr>
        <xdr:spPr>
          <a:xfrm>
            <a:off x="803412" y="3746817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118" name="正方形/長方形 117">
            <a:extLst>
              <a:ext uri="{FF2B5EF4-FFF2-40B4-BE49-F238E27FC236}">
                <a16:creationId xmlns:a16="http://schemas.microsoft.com/office/drawing/2014/main" id="{AE421074-EB92-E1C3-AFA5-EE0D74235A90}"/>
              </a:ext>
            </a:extLst>
          </xdr:cNvPr>
          <xdr:cNvSpPr/>
        </xdr:nvSpPr>
        <xdr:spPr>
          <a:xfrm>
            <a:off x="836543" y="3728594"/>
            <a:ext cx="265043" cy="237877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9" name="テキスト ボックス 118">
            <a:extLst>
              <a:ext uri="{FF2B5EF4-FFF2-40B4-BE49-F238E27FC236}">
                <a16:creationId xmlns:a16="http://schemas.microsoft.com/office/drawing/2014/main" id="{67812830-7C79-02C4-F85F-5CADAF563E08}"/>
              </a:ext>
            </a:extLst>
          </xdr:cNvPr>
          <xdr:cNvSpPr txBox="1"/>
        </xdr:nvSpPr>
        <xdr:spPr>
          <a:xfrm>
            <a:off x="781879" y="3962497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20" name="正方形/長方形 119">
            <a:extLst>
              <a:ext uri="{FF2B5EF4-FFF2-40B4-BE49-F238E27FC236}">
                <a16:creationId xmlns:a16="http://schemas.microsoft.com/office/drawing/2014/main" id="{C3244A87-ADC1-1AA7-34E9-FFA94B2711D5}"/>
              </a:ext>
            </a:extLst>
          </xdr:cNvPr>
          <xdr:cNvSpPr/>
        </xdr:nvSpPr>
        <xdr:spPr>
          <a:xfrm>
            <a:off x="823292" y="3983935"/>
            <a:ext cx="265043" cy="42761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21" name="テキスト ボックス 120">
            <a:extLst>
              <a:ext uri="{FF2B5EF4-FFF2-40B4-BE49-F238E27FC236}">
                <a16:creationId xmlns:a16="http://schemas.microsoft.com/office/drawing/2014/main" id="{8527A74A-B24F-7F72-12DC-76FE960B12B4}"/>
              </a:ext>
            </a:extLst>
          </xdr:cNvPr>
          <xdr:cNvSpPr txBox="1"/>
        </xdr:nvSpPr>
        <xdr:spPr>
          <a:xfrm>
            <a:off x="793473" y="4461249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22" name="正方形/長方形 121">
            <a:extLst>
              <a:ext uri="{FF2B5EF4-FFF2-40B4-BE49-F238E27FC236}">
                <a16:creationId xmlns:a16="http://schemas.microsoft.com/office/drawing/2014/main" id="{B4BC1849-3C5D-7E31-3EE6-CB3191C3DE35}"/>
              </a:ext>
            </a:extLst>
          </xdr:cNvPr>
          <xdr:cNvSpPr/>
        </xdr:nvSpPr>
        <xdr:spPr>
          <a:xfrm>
            <a:off x="834887" y="4444686"/>
            <a:ext cx="265043" cy="310242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23" name="テキスト ボックス 122">
            <a:extLst>
              <a:ext uri="{FF2B5EF4-FFF2-40B4-BE49-F238E27FC236}">
                <a16:creationId xmlns:a16="http://schemas.microsoft.com/office/drawing/2014/main" id="{E44FB315-16F8-61DE-AEEC-9431DE3F15F0}"/>
              </a:ext>
            </a:extLst>
          </xdr:cNvPr>
          <xdr:cNvSpPr txBox="1"/>
        </xdr:nvSpPr>
        <xdr:spPr>
          <a:xfrm>
            <a:off x="788504" y="4816218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24" name="正方形/長方形 123">
            <a:extLst>
              <a:ext uri="{FF2B5EF4-FFF2-40B4-BE49-F238E27FC236}">
                <a16:creationId xmlns:a16="http://schemas.microsoft.com/office/drawing/2014/main" id="{23715281-7908-4343-0C47-76A7B85618CF}"/>
              </a:ext>
            </a:extLst>
          </xdr:cNvPr>
          <xdr:cNvSpPr/>
        </xdr:nvSpPr>
        <xdr:spPr>
          <a:xfrm>
            <a:off x="829918" y="4807936"/>
            <a:ext cx="265043" cy="896887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25" name="テキスト ボックス 124">
            <a:extLst>
              <a:ext uri="{FF2B5EF4-FFF2-40B4-BE49-F238E27FC236}">
                <a16:creationId xmlns:a16="http://schemas.microsoft.com/office/drawing/2014/main" id="{9195BC66-2F3C-96BA-21DF-FD99023ED76D}"/>
              </a:ext>
            </a:extLst>
          </xdr:cNvPr>
          <xdr:cNvSpPr txBox="1"/>
        </xdr:nvSpPr>
        <xdr:spPr>
          <a:xfrm>
            <a:off x="801756" y="5704825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26" name="正方形/長方形 125">
            <a:extLst>
              <a:ext uri="{FF2B5EF4-FFF2-40B4-BE49-F238E27FC236}">
                <a16:creationId xmlns:a16="http://schemas.microsoft.com/office/drawing/2014/main" id="{27139F45-1566-06BA-37D0-F904ACD7A91A}"/>
              </a:ext>
            </a:extLst>
          </xdr:cNvPr>
          <xdr:cNvSpPr/>
        </xdr:nvSpPr>
        <xdr:spPr>
          <a:xfrm>
            <a:off x="824948" y="5721627"/>
            <a:ext cx="265043" cy="968117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27" name="テキスト ボックス 126">
            <a:extLst>
              <a:ext uri="{FF2B5EF4-FFF2-40B4-BE49-F238E27FC236}">
                <a16:creationId xmlns:a16="http://schemas.microsoft.com/office/drawing/2014/main" id="{188CB4CA-3F11-FF59-A188-816C3F4A1D39}"/>
              </a:ext>
            </a:extLst>
          </xdr:cNvPr>
          <xdr:cNvSpPr txBox="1"/>
        </xdr:nvSpPr>
        <xdr:spPr>
          <a:xfrm>
            <a:off x="796786" y="6709623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28" name="正方形/長方形 127">
            <a:extLst>
              <a:ext uri="{FF2B5EF4-FFF2-40B4-BE49-F238E27FC236}">
                <a16:creationId xmlns:a16="http://schemas.microsoft.com/office/drawing/2014/main" id="{D7886A7F-73DD-D94F-DE15-EA690633BEB6}"/>
              </a:ext>
            </a:extLst>
          </xdr:cNvPr>
          <xdr:cNvSpPr/>
        </xdr:nvSpPr>
        <xdr:spPr>
          <a:xfrm>
            <a:off x="828261" y="6726426"/>
            <a:ext cx="265043" cy="147383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29" name="テキスト ボックス 128">
            <a:extLst>
              <a:ext uri="{FF2B5EF4-FFF2-40B4-BE49-F238E27FC236}">
                <a16:creationId xmlns:a16="http://schemas.microsoft.com/office/drawing/2014/main" id="{0ECB732F-1291-CFC4-F4C6-9C202912B42F}"/>
              </a:ext>
            </a:extLst>
          </xdr:cNvPr>
          <xdr:cNvSpPr txBox="1"/>
        </xdr:nvSpPr>
        <xdr:spPr>
          <a:xfrm>
            <a:off x="791816" y="8206883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30" name="正方形/長方形 129">
            <a:extLst>
              <a:ext uri="{FF2B5EF4-FFF2-40B4-BE49-F238E27FC236}">
                <a16:creationId xmlns:a16="http://schemas.microsoft.com/office/drawing/2014/main" id="{3F524A70-C7F4-070A-6DC4-5251B5F0376A}"/>
              </a:ext>
            </a:extLst>
          </xdr:cNvPr>
          <xdr:cNvSpPr/>
        </xdr:nvSpPr>
        <xdr:spPr>
          <a:xfrm>
            <a:off x="823292" y="8231967"/>
            <a:ext cx="265043" cy="124688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31" name="テキスト ボックス 130">
            <a:extLst>
              <a:ext uri="{FF2B5EF4-FFF2-40B4-BE49-F238E27FC236}">
                <a16:creationId xmlns:a16="http://schemas.microsoft.com/office/drawing/2014/main" id="{9B268AE4-3271-6370-E022-66C4596F33FA}"/>
              </a:ext>
            </a:extLst>
          </xdr:cNvPr>
          <xdr:cNvSpPr txBox="1"/>
        </xdr:nvSpPr>
        <xdr:spPr>
          <a:xfrm>
            <a:off x="803412" y="9472228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32" name="正方形/長方形 131">
            <a:extLst>
              <a:ext uri="{FF2B5EF4-FFF2-40B4-BE49-F238E27FC236}">
                <a16:creationId xmlns:a16="http://schemas.microsoft.com/office/drawing/2014/main" id="{E01FDD27-C149-D337-2ACE-DF1F977F260D}"/>
              </a:ext>
            </a:extLst>
          </xdr:cNvPr>
          <xdr:cNvSpPr/>
        </xdr:nvSpPr>
        <xdr:spPr>
          <a:xfrm>
            <a:off x="826605" y="9487137"/>
            <a:ext cx="265043" cy="170929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33" name="テキスト ボックス 132">
            <a:extLst>
              <a:ext uri="{FF2B5EF4-FFF2-40B4-BE49-F238E27FC236}">
                <a16:creationId xmlns:a16="http://schemas.microsoft.com/office/drawing/2014/main" id="{3ABD3334-2EBD-5605-14FA-9B3ADBDB0051}"/>
              </a:ext>
            </a:extLst>
          </xdr:cNvPr>
          <xdr:cNvSpPr txBox="1"/>
        </xdr:nvSpPr>
        <xdr:spPr>
          <a:xfrm>
            <a:off x="798442" y="11244706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34" name="正方形/長方形 133">
            <a:extLst>
              <a:ext uri="{FF2B5EF4-FFF2-40B4-BE49-F238E27FC236}">
                <a16:creationId xmlns:a16="http://schemas.microsoft.com/office/drawing/2014/main" id="{35D1C1B2-0FC9-95A1-2C1A-83F10239DE65}"/>
              </a:ext>
            </a:extLst>
          </xdr:cNvPr>
          <xdr:cNvSpPr/>
        </xdr:nvSpPr>
        <xdr:spPr>
          <a:xfrm>
            <a:off x="829918" y="11226485"/>
            <a:ext cx="265043" cy="121352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35" name="テキスト ボックス 134">
            <a:extLst>
              <a:ext uri="{FF2B5EF4-FFF2-40B4-BE49-F238E27FC236}">
                <a16:creationId xmlns:a16="http://schemas.microsoft.com/office/drawing/2014/main" id="{9A7C17AA-B085-51C2-1EDA-40CF50A9AE94}"/>
              </a:ext>
            </a:extLst>
          </xdr:cNvPr>
          <xdr:cNvSpPr txBox="1"/>
        </xdr:nvSpPr>
        <xdr:spPr>
          <a:xfrm>
            <a:off x="793472" y="12456571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36" name="正方形/長方形 135">
            <a:extLst>
              <a:ext uri="{FF2B5EF4-FFF2-40B4-BE49-F238E27FC236}">
                <a16:creationId xmlns:a16="http://schemas.microsoft.com/office/drawing/2014/main" id="{928E503D-F66D-614B-5216-B30E71ED0220}"/>
              </a:ext>
            </a:extLst>
          </xdr:cNvPr>
          <xdr:cNvSpPr/>
        </xdr:nvSpPr>
        <xdr:spPr>
          <a:xfrm>
            <a:off x="824947" y="12471480"/>
            <a:ext cx="265043" cy="1203817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37" name="テキスト ボックス 136">
            <a:extLst>
              <a:ext uri="{FF2B5EF4-FFF2-40B4-BE49-F238E27FC236}">
                <a16:creationId xmlns:a16="http://schemas.microsoft.com/office/drawing/2014/main" id="{EEC941F4-980B-9233-C36A-AA9E19870055}"/>
              </a:ext>
            </a:extLst>
          </xdr:cNvPr>
          <xdr:cNvSpPr txBox="1"/>
        </xdr:nvSpPr>
        <xdr:spPr>
          <a:xfrm>
            <a:off x="796785" y="13738483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21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38" name="正方形/長方形 137">
            <a:extLst>
              <a:ext uri="{FF2B5EF4-FFF2-40B4-BE49-F238E27FC236}">
                <a16:creationId xmlns:a16="http://schemas.microsoft.com/office/drawing/2014/main" id="{286F9B76-50C0-77A5-A8AE-9AC185ABD58A}"/>
              </a:ext>
            </a:extLst>
          </xdr:cNvPr>
          <xdr:cNvSpPr/>
        </xdr:nvSpPr>
        <xdr:spPr>
          <a:xfrm>
            <a:off x="819977" y="13728546"/>
            <a:ext cx="265043" cy="472342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39" name="テキスト ボックス 138">
            <a:extLst>
              <a:ext uri="{FF2B5EF4-FFF2-40B4-BE49-F238E27FC236}">
                <a16:creationId xmlns:a16="http://schemas.microsoft.com/office/drawing/2014/main" id="{9E6337C5-1C15-9380-ABAC-BDF026138278}"/>
              </a:ext>
            </a:extLst>
          </xdr:cNvPr>
          <xdr:cNvSpPr txBox="1"/>
        </xdr:nvSpPr>
        <xdr:spPr>
          <a:xfrm>
            <a:off x="791816" y="14224080"/>
            <a:ext cx="34060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22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40" name="正方形/長方形 139">
            <a:extLst>
              <a:ext uri="{FF2B5EF4-FFF2-40B4-BE49-F238E27FC236}">
                <a16:creationId xmlns:a16="http://schemas.microsoft.com/office/drawing/2014/main" id="{512393CB-20DF-7E43-E93E-3F1BD4690279}"/>
              </a:ext>
            </a:extLst>
          </xdr:cNvPr>
          <xdr:cNvSpPr/>
        </xdr:nvSpPr>
        <xdr:spPr>
          <a:xfrm>
            <a:off x="815007" y="14249165"/>
            <a:ext cx="295336" cy="1448035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</xdr:grpSp>
    <xdr:clientData/>
  </xdr:twoCellAnchor>
  <xdr:twoCellAnchor editAs="oneCell">
    <xdr:from>
      <xdr:col>9</xdr:col>
      <xdr:colOff>1977504</xdr:colOff>
      <xdr:row>16</xdr:row>
      <xdr:rowOff>211321</xdr:rowOff>
    </xdr:from>
    <xdr:to>
      <xdr:col>10</xdr:col>
      <xdr:colOff>72437</xdr:colOff>
      <xdr:row>18</xdr:row>
      <xdr:rowOff>83329</xdr:rowOff>
    </xdr:to>
    <xdr:pic>
      <xdr:nvPicPr>
        <xdr:cNvPr id="141" name="図 140">
          <a:extLst>
            <a:ext uri="{FF2B5EF4-FFF2-40B4-BE49-F238E27FC236}">
              <a16:creationId xmlns:a16="http://schemas.microsoft.com/office/drawing/2014/main" id="{DE22109D-D5C9-4FA0-B1B4-3A9DE3A42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55324" flipH="1">
          <a:off x="9702279" y="4383271"/>
          <a:ext cx="476183" cy="367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122425</xdr:colOff>
      <xdr:row>45</xdr:row>
      <xdr:rowOff>68579</xdr:rowOff>
    </xdr:from>
    <xdr:to>
      <xdr:col>9</xdr:col>
      <xdr:colOff>2142565</xdr:colOff>
      <xdr:row>49</xdr:row>
      <xdr:rowOff>116540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68BD0E3-ED01-4FB4-83C7-2DB8EC28CCBB}"/>
            </a:ext>
          </a:extLst>
        </xdr:cNvPr>
        <xdr:cNvSpPr/>
      </xdr:nvSpPr>
      <xdr:spPr>
        <a:xfrm>
          <a:off x="8104375" y="11384279"/>
          <a:ext cx="2020140" cy="103856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ja-JP" altLang="en-US" sz="14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駒寄　山車　お囃子</a:t>
          </a:r>
          <a:endParaRPr kumimoji="1" lang="en-US" altLang="ja-JP" sz="1400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（会館脇に駐車）</a:t>
          </a:r>
        </a:p>
      </xdr:txBody>
    </xdr:sp>
    <xdr:clientData/>
  </xdr:twoCellAnchor>
  <xdr:twoCellAnchor>
    <xdr:from>
      <xdr:col>1</xdr:col>
      <xdr:colOff>888</xdr:colOff>
      <xdr:row>1</xdr:row>
      <xdr:rowOff>0</xdr:rowOff>
    </xdr:from>
    <xdr:to>
      <xdr:col>2</xdr:col>
      <xdr:colOff>84473</xdr:colOff>
      <xdr:row>61</xdr:row>
      <xdr:rowOff>14287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CAD32313-DCE5-47F3-A0B9-1344C0EAE94C}"/>
            </a:ext>
          </a:extLst>
        </xdr:cNvPr>
        <xdr:cNvGrpSpPr/>
      </xdr:nvGrpSpPr>
      <xdr:grpSpPr>
        <a:xfrm>
          <a:off x="547735" y="430306"/>
          <a:ext cx="361491" cy="15074993"/>
          <a:chOff x="663828" y="667431"/>
          <a:chExt cx="381061" cy="15044056"/>
        </a:xfrm>
      </xdr:grpSpPr>
      <xdr:sp macro="" textlink="">
        <xdr:nvSpPr>
          <xdr:cNvPr id="4" name="四角形: 角を丸くする 3">
            <a:extLst>
              <a:ext uri="{FF2B5EF4-FFF2-40B4-BE49-F238E27FC236}">
                <a16:creationId xmlns:a16="http://schemas.microsoft.com/office/drawing/2014/main" id="{827A5F82-3D70-5D1B-9A2E-F84535F70353}"/>
              </a:ext>
            </a:extLst>
          </xdr:cNvPr>
          <xdr:cNvSpPr/>
        </xdr:nvSpPr>
        <xdr:spPr>
          <a:xfrm>
            <a:off x="701236" y="667431"/>
            <a:ext cx="277627" cy="15044056"/>
          </a:xfrm>
          <a:prstGeom prst="roundRect">
            <a:avLst/>
          </a:prstGeom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E916EE22-08B5-C19E-C040-3CB9DAE4ABAF}"/>
              </a:ext>
            </a:extLst>
          </xdr:cNvPr>
          <xdr:cNvSpPr txBox="1"/>
        </xdr:nvSpPr>
        <xdr:spPr>
          <a:xfrm>
            <a:off x="709421" y="693170"/>
            <a:ext cx="28134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49278AE0-5A5E-391A-A373-CD47968997EA}"/>
              </a:ext>
            </a:extLst>
          </xdr:cNvPr>
          <xdr:cNvSpPr/>
        </xdr:nvSpPr>
        <xdr:spPr>
          <a:xfrm>
            <a:off x="724954" y="708250"/>
            <a:ext cx="234563" cy="144613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468A1F3A-D628-9C3C-82D4-82C79451D9B9}"/>
              </a:ext>
            </a:extLst>
          </xdr:cNvPr>
          <xdr:cNvSpPr txBox="1"/>
        </xdr:nvSpPr>
        <xdr:spPr>
          <a:xfrm>
            <a:off x="719983" y="2157694"/>
            <a:ext cx="28134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D3CD2DC2-1CA8-E24C-5C06-EE0731029EDB}"/>
              </a:ext>
            </a:extLst>
          </xdr:cNvPr>
          <xdr:cNvSpPr/>
        </xdr:nvSpPr>
        <xdr:spPr>
          <a:xfrm>
            <a:off x="728267" y="2195001"/>
            <a:ext cx="230481" cy="122150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5F9B5F39-61F1-3236-2561-561A7A3C7BC9}"/>
              </a:ext>
            </a:extLst>
          </xdr:cNvPr>
          <xdr:cNvSpPr txBox="1"/>
        </xdr:nvSpPr>
        <xdr:spPr>
          <a:xfrm>
            <a:off x="673685" y="3427920"/>
            <a:ext cx="278816" cy="2460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A4ADFD8B-5A50-C164-4972-440E561EE828}"/>
              </a:ext>
            </a:extLst>
          </xdr:cNvPr>
          <xdr:cNvSpPr/>
        </xdr:nvSpPr>
        <xdr:spPr>
          <a:xfrm>
            <a:off x="723297" y="3443868"/>
            <a:ext cx="234563" cy="98661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D1F3ACF1-FEA2-C083-8B0B-ADD7AF8D490F}"/>
              </a:ext>
            </a:extLst>
          </xdr:cNvPr>
          <xdr:cNvSpPr txBox="1"/>
        </xdr:nvSpPr>
        <xdr:spPr>
          <a:xfrm>
            <a:off x="672338" y="4456435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1E83E790-F1A3-6393-7573-630DF6ECD029}"/>
              </a:ext>
            </a:extLst>
          </xdr:cNvPr>
          <xdr:cNvSpPr/>
        </xdr:nvSpPr>
        <xdr:spPr>
          <a:xfrm>
            <a:off x="726611" y="4468585"/>
            <a:ext cx="225890" cy="145536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0DBE84A5-7A78-E9F1-E6A2-D9B5972D4FDF}"/>
              </a:ext>
            </a:extLst>
          </xdr:cNvPr>
          <xdr:cNvSpPr txBox="1"/>
        </xdr:nvSpPr>
        <xdr:spPr>
          <a:xfrm>
            <a:off x="675736" y="5947833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F24B55BC-1EBD-76FD-DD99-AC8D72B2080A}"/>
              </a:ext>
            </a:extLst>
          </xdr:cNvPr>
          <xdr:cNvSpPr/>
        </xdr:nvSpPr>
        <xdr:spPr>
          <a:xfrm>
            <a:off x="719253" y="5948129"/>
            <a:ext cx="241569" cy="122419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8BCB599E-B54C-E5FF-01D8-6FA41DC6D94D}"/>
              </a:ext>
            </a:extLst>
          </xdr:cNvPr>
          <xdr:cNvSpPr txBox="1"/>
        </xdr:nvSpPr>
        <xdr:spPr>
          <a:xfrm>
            <a:off x="671231" y="7180580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A5C58CCC-9C07-68F4-6AA1-9CED2E121280}"/>
              </a:ext>
            </a:extLst>
          </xdr:cNvPr>
          <xdr:cNvSpPr/>
        </xdr:nvSpPr>
        <xdr:spPr>
          <a:xfrm>
            <a:off x="722863" y="7204256"/>
            <a:ext cx="234563" cy="121969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62B19232-697C-24D0-9D8A-4EE6332D4F6A}"/>
              </a:ext>
            </a:extLst>
          </xdr:cNvPr>
          <xdr:cNvSpPr txBox="1"/>
        </xdr:nvSpPr>
        <xdr:spPr>
          <a:xfrm>
            <a:off x="666448" y="8458051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38E2535C-76BE-F470-F782-C554FA01B1E4}"/>
              </a:ext>
            </a:extLst>
          </xdr:cNvPr>
          <xdr:cNvSpPr/>
        </xdr:nvSpPr>
        <xdr:spPr>
          <a:xfrm>
            <a:off x="722970" y="8455475"/>
            <a:ext cx="231299" cy="145188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C23BB6B8-74E1-B3CC-712A-10AA42722856}"/>
              </a:ext>
            </a:extLst>
          </xdr:cNvPr>
          <xdr:cNvSpPr txBox="1"/>
        </xdr:nvSpPr>
        <xdr:spPr>
          <a:xfrm>
            <a:off x="663828" y="9943578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11406959-F40B-A0EA-8BD7-0AD36692897C}"/>
              </a:ext>
            </a:extLst>
          </xdr:cNvPr>
          <xdr:cNvSpPr/>
        </xdr:nvSpPr>
        <xdr:spPr>
          <a:xfrm>
            <a:off x="716641" y="9952945"/>
            <a:ext cx="242183" cy="1220562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FF02419A-0F41-4E3E-DE98-4328CDBCC8B6}"/>
              </a:ext>
            </a:extLst>
          </xdr:cNvPr>
          <xdr:cNvSpPr txBox="1"/>
        </xdr:nvSpPr>
        <xdr:spPr>
          <a:xfrm>
            <a:off x="669429" y="11193190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5BD4D6D0-D8DA-5D15-7F47-5763950AA888}"/>
              </a:ext>
            </a:extLst>
          </xdr:cNvPr>
          <xdr:cNvSpPr/>
        </xdr:nvSpPr>
        <xdr:spPr>
          <a:xfrm>
            <a:off x="716237" y="11201666"/>
            <a:ext cx="242183" cy="1725253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01B5BBAB-2DEE-A84F-8901-1CDC606CF724}"/>
              </a:ext>
            </a:extLst>
          </xdr:cNvPr>
          <xdr:cNvSpPr txBox="1"/>
        </xdr:nvSpPr>
        <xdr:spPr>
          <a:xfrm>
            <a:off x="667669" y="12946760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A92B490A-B5F7-5AEC-11C3-10B35A2B200B}"/>
              </a:ext>
            </a:extLst>
          </xdr:cNvPr>
          <xdr:cNvSpPr/>
        </xdr:nvSpPr>
        <xdr:spPr>
          <a:xfrm>
            <a:off x="711267" y="12950548"/>
            <a:ext cx="246883" cy="98529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" name="テキスト ボックス 24">
            <a:extLst>
              <a:ext uri="{FF2B5EF4-FFF2-40B4-BE49-F238E27FC236}">
                <a16:creationId xmlns:a16="http://schemas.microsoft.com/office/drawing/2014/main" id="{12169074-3D25-12B9-0A34-41C7BC46C3AC}"/>
              </a:ext>
            </a:extLst>
          </xdr:cNvPr>
          <xdr:cNvSpPr txBox="1"/>
        </xdr:nvSpPr>
        <xdr:spPr>
          <a:xfrm>
            <a:off x="674430" y="13933653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6E560FF0-0541-E407-F8C4-8D14DCD6C80A}"/>
              </a:ext>
            </a:extLst>
          </xdr:cNvPr>
          <xdr:cNvSpPr/>
        </xdr:nvSpPr>
        <xdr:spPr>
          <a:xfrm>
            <a:off x="716672" y="13968414"/>
            <a:ext cx="242183" cy="722256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7" name="テキスト ボックス 26">
            <a:extLst>
              <a:ext uri="{FF2B5EF4-FFF2-40B4-BE49-F238E27FC236}">
                <a16:creationId xmlns:a16="http://schemas.microsoft.com/office/drawing/2014/main" id="{EE1327A8-3919-CC9E-D9AD-84C085E3B689}"/>
              </a:ext>
            </a:extLst>
          </xdr:cNvPr>
          <xdr:cNvSpPr txBox="1"/>
        </xdr:nvSpPr>
        <xdr:spPr>
          <a:xfrm>
            <a:off x="680027" y="14683003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3BD5C496-BF30-26EA-C60D-B1451F264A64}"/>
              </a:ext>
            </a:extLst>
          </xdr:cNvPr>
          <xdr:cNvSpPr/>
        </xdr:nvSpPr>
        <xdr:spPr>
          <a:xfrm>
            <a:off x="710463" y="14715116"/>
            <a:ext cx="242183" cy="464333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9" name="テキスト ボックス 28">
            <a:extLst>
              <a:ext uri="{FF2B5EF4-FFF2-40B4-BE49-F238E27FC236}">
                <a16:creationId xmlns:a16="http://schemas.microsoft.com/office/drawing/2014/main" id="{C9AE4F58-5AE7-1593-8D83-4AAA8A4347AD}"/>
              </a:ext>
            </a:extLst>
          </xdr:cNvPr>
          <xdr:cNvSpPr txBox="1"/>
        </xdr:nvSpPr>
        <xdr:spPr>
          <a:xfrm>
            <a:off x="678316" y="15198055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BAD9C10B-D7BE-6E9C-E482-72437E83BB1F}"/>
              </a:ext>
            </a:extLst>
          </xdr:cNvPr>
          <xdr:cNvSpPr/>
        </xdr:nvSpPr>
        <xdr:spPr>
          <a:xfrm>
            <a:off x="710252" y="15209189"/>
            <a:ext cx="242183" cy="471003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</xdr:grpSp>
    <xdr:clientData/>
  </xdr:twoCellAnchor>
  <xdr:twoCellAnchor editAs="oneCell">
    <xdr:from>
      <xdr:col>3</xdr:col>
      <xdr:colOff>2449287</xdr:colOff>
      <xdr:row>56</xdr:row>
      <xdr:rowOff>217715</xdr:rowOff>
    </xdr:from>
    <xdr:to>
      <xdr:col>4</xdr:col>
      <xdr:colOff>76213</xdr:colOff>
      <xdr:row>59</xdr:row>
      <xdr:rowOff>91031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0136C10-9D7F-41E6-AED1-5ACAA3053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080061" flipV="1">
          <a:off x="3573237" y="14257565"/>
          <a:ext cx="589201" cy="616266"/>
        </a:xfrm>
        <a:prstGeom prst="rect">
          <a:avLst/>
        </a:prstGeom>
      </xdr:spPr>
    </xdr:pic>
    <xdr:clientData/>
  </xdr:twoCellAnchor>
  <xdr:twoCellAnchor editAs="oneCell">
    <xdr:from>
      <xdr:col>2</xdr:col>
      <xdr:colOff>10885</xdr:colOff>
      <xdr:row>52</xdr:row>
      <xdr:rowOff>54428</xdr:rowOff>
    </xdr:from>
    <xdr:to>
      <xdr:col>3</xdr:col>
      <xdr:colOff>435553</xdr:colOff>
      <xdr:row>54</xdr:row>
      <xdr:rowOff>11454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7A1CF76D-F5D3-410D-9582-D9E5BFFB4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839560" y="13103678"/>
          <a:ext cx="719943" cy="452326"/>
        </a:xfrm>
        <a:prstGeom prst="rect">
          <a:avLst/>
        </a:prstGeom>
      </xdr:spPr>
    </xdr:pic>
    <xdr:clientData/>
  </xdr:twoCellAnchor>
  <xdr:twoCellAnchor editAs="oneCell">
    <xdr:from>
      <xdr:col>5</xdr:col>
      <xdr:colOff>87086</xdr:colOff>
      <xdr:row>14</xdr:row>
      <xdr:rowOff>141514</xdr:rowOff>
    </xdr:from>
    <xdr:to>
      <xdr:col>6</xdr:col>
      <xdr:colOff>166956</xdr:colOff>
      <xdr:row>16</xdr:row>
      <xdr:rowOff>119676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30047625-BFA6-4730-8E92-7164D798C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756415" flipH="1" flipV="1">
          <a:off x="4367040" y="3833985"/>
          <a:ext cx="473462" cy="365620"/>
        </a:xfrm>
        <a:prstGeom prst="rect">
          <a:avLst/>
        </a:prstGeom>
      </xdr:spPr>
    </xdr:pic>
    <xdr:clientData/>
  </xdr:twoCellAnchor>
  <xdr:twoCellAnchor editAs="oneCell">
    <xdr:from>
      <xdr:col>8</xdr:col>
      <xdr:colOff>21773</xdr:colOff>
      <xdr:row>25</xdr:row>
      <xdr:rowOff>108857</xdr:rowOff>
    </xdr:from>
    <xdr:to>
      <xdr:col>9</xdr:col>
      <xdr:colOff>68984</xdr:colOff>
      <xdr:row>27</xdr:row>
      <xdr:rowOff>87019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9E95D6D5-5422-4E93-AFE3-3BC516B0A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756415" flipH="1" flipV="1">
          <a:off x="7628673" y="6522757"/>
          <a:ext cx="473462" cy="371061"/>
        </a:xfrm>
        <a:prstGeom prst="rect">
          <a:avLst/>
        </a:prstGeom>
      </xdr:spPr>
    </xdr:pic>
    <xdr:clientData/>
  </xdr:twoCellAnchor>
  <xdr:twoCellAnchor editAs="oneCell">
    <xdr:from>
      <xdr:col>7</xdr:col>
      <xdr:colOff>268942</xdr:colOff>
      <xdr:row>5</xdr:row>
      <xdr:rowOff>143436</xdr:rowOff>
    </xdr:from>
    <xdr:to>
      <xdr:col>9</xdr:col>
      <xdr:colOff>196861</xdr:colOff>
      <xdr:row>7</xdr:row>
      <xdr:rowOff>61791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C750634F-CDEF-4DA7-A3D3-FB9CA3CFC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89886" flipV="1">
          <a:off x="7660342" y="1553136"/>
          <a:ext cx="518469" cy="413655"/>
        </a:xfrm>
        <a:prstGeom prst="rect">
          <a:avLst/>
        </a:prstGeom>
      </xdr:spPr>
    </xdr:pic>
    <xdr:clientData/>
  </xdr:twoCellAnchor>
  <xdr:oneCellAnchor>
    <xdr:from>
      <xdr:col>7</xdr:col>
      <xdr:colOff>20989</xdr:colOff>
      <xdr:row>42</xdr:row>
      <xdr:rowOff>211206</xdr:rowOff>
    </xdr:from>
    <xdr:ext cx="327654" cy="264560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25E8AD51-6F57-4BBD-82EA-4AD454E4D9FC}"/>
            </a:ext>
          </a:extLst>
        </xdr:cNvPr>
        <xdr:cNvSpPr txBox="1"/>
      </xdr:nvSpPr>
      <xdr:spPr>
        <a:xfrm>
          <a:off x="7431439" y="10783956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chemeClr val="bg1"/>
              </a:solidFill>
            </a:rPr>
            <a:t>18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0</xdr:col>
      <xdr:colOff>76199</xdr:colOff>
      <xdr:row>47</xdr:row>
      <xdr:rowOff>54428</xdr:rowOff>
    </xdr:from>
    <xdr:to>
      <xdr:col>1</xdr:col>
      <xdr:colOff>119753</xdr:colOff>
      <xdr:row>49</xdr:row>
      <xdr:rowOff>227467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CB755A7F-24D5-4755-9455-6A63B5792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080061">
          <a:off x="76199" y="11865428"/>
          <a:ext cx="596004" cy="668339"/>
        </a:xfrm>
        <a:prstGeom prst="rect">
          <a:avLst/>
        </a:prstGeom>
      </xdr:spPr>
    </xdr:pic>
    <xdr:clientData/>
  </xdr:twoCellAnchor>
  <xdr:twoCellAnchor>
    <xdr:from>
      <xdr:col>3</xdr:col>
      <xdr:colOff>2940032</xdr:colOff>
      <xdr:row>1</xdr:row>
      <xdr:rowOff>0</xdr:rowOff>
    </xdr:from>
    <xdr:to>
      <xdr:col>5</xdr:col>
      <xdr:colOff>84474</xdr:colOff>
      <xdr:row>61</xdr:row>
      <xdr:rowOff>14287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06E35F22-AEF6-49F5-B65F-67F766FA227E}"/>
            </a:ext>
          </a:extLst>
        </xdr:cNvPr>
        <xdr:cNvGrpSpPr/>
      </xdr:nvGrpSpPr>
      <xdr:grpSpPr>
        <a:xfrm>
          <a:off x="4060620" y="430306"/>
          <a:ext cx="389666" cy="15074993"/>
          <a:chOff x="663828" y="667431"/>
          <a:chExt cx="381061" cy="15044056"/>
        </a:xfrm>
      </xdr:grpSpPr>
      <xdr:sp macro="" textlink="">
        <xdr:nvSpPr>
          <xdr:cNvPr id="39" name="四角形: 角を丸くする 38">
            <a:extLst>
              <a:ext uri="{FF2B5EF4-FFF2-40B4-BE49-F238E27FC236}">
                <a16:creationId xmlns:a16="http://schemas.microsoft.com/office/drawing/2014/main" id="{6342FE6F-6523-7DA3-07C0-6BE31EDA49D0}"/>
              </a:ext>
            </a:extLst>
          </xdr:cNvPr>
          <xdr:cNvSpPr/>
        </xdr:nvSpPr>
        <xdr:spPr>
          <a:xfrm>
            <a:off x="701236" y="667431"/>
            <a:ext cx="277627" cy="15044056"/>
          </a:xfrm>
          <a:prstGeom prst="roundRect">
            <a:avLst/>
          </a:prstGeom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40" name="テキスト ボックス 39">
            <a:extLst>
              <a:ext uri="{FF2B5EF4-FFF2-40B4-BE49-F238E27FC236}">
                <a16:creationId xmlns:a16="http://schemas.microsoft.com/office/drawing/2014/main" id="{F5E945B3-D3C3-13BC-C232-6C54A97F1BFA}"/>
              </a:ext>
            </a:extLst>
          </xdr:cNvPr>
          <xdr:cNvSpPr txBox="1"/>
        </xdr:nvSpPr>
        <xdr:spPr>
          <a:xfrm>
            <a:off x="709421" y="693170"/>
            <a:ext cx="28134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9A92A241-C700-7DE3-116B-41A87B2B8411}"/>
              </a:ext>
            </a:extLst>
          </xdr:cNvPr>
          <xdr:cNvSpPr/>
        </xdr:nvSpPr>
        <xdr:spPr>
          <a:xfrm>
            <a:off x="724954" y="708250"/>
            <a:ext cx="234563" cy="144613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42" name="テキスト ボックス 41">
            <a:extLst>
              <a:ext uri="{FF2B5EF4-FFF2-40B4-BE49-F238E27FC236}">
                <a16:creationId xmlns:a16="http://schemas.microsoft.com/office/drawing/2014/main" id="{17C5CD21-CB96-8B88-C31E-BCFC5CCB0134}"/>
              </a:ext>
            </a:extLst>
          </xdr:cNvPr>
          <xdr:cNvSpPr txBox="1"/>
        </xdr:nvSpPr>
        <xdr:spPr>
          <a:xfrm>
            <a:off x="719983" y="2157694"/>
            <a:ext cx="28134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2FB458B3-186C-334C-62EB-2D69A98649EB}"/>
              </a:ext>
            </a:extLst>
          </xdr:cNvPr>
          <xdr:cNvSpPr/>
        </xdr:nvSpPr>
        <xdr:spPr>
          <a:xfrm>
            <a:off x="728267" y="2195001"/>
            <a:ext cx="230481" cy="122150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44" name="テキスト ボックス 43">
            <a:extLst>
              <a:ext uri="{FF2B5EF4-FFF2-40B4-BE49-F238E27FC236}">
                <a16:creationId xmlns:a16="http://schemas.microsoft.com/office/drawing/2014/main" id="{BC001E23-574C-B3AD-CD4B-906A21A2E550}"/>
              </a:ext>
            </a:extLst>
          </xdr:cNvPr>
          <xdr:cNvSpPr txBox="1"/>
        </xdr:nvSpPr>
        <xdr:spPr>
          <a:xfrm>
            <a:off x="673685" y="3427920"/>
            <a:ext cx="278816" cy="2460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82E363C8-A0D1-3A4A-BC08-F3DA293CDCEF}"/>
              </a:ext>
            </a:extLst>
          </xdr:cNvPr>
          <xdr:cNvSpPr/>
        </xdr:nvSpPr>
        <xdr:spPr>
          <a:xfrm>
            <a:off x="723297" y="3443868"/>
            <a:ext cx="234563" cy="98661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46" name="テキスト ボックス 45">
            <a:extLst>
              <a:ext uri="{FF2B5EF4-FFF2-40B4-BE49-F238E27FC236}">
                <a16:creationId xmlns:a16="http://schemas.microsoft.com/office/drawing/2014/main" id="{B0D2FEAB-565D-29F3-B4C7-AD8B725EC988}"/>
              </a:ext>
            </a:extLst>
          </xdr:cNvPr>
          <xdr:cNvSpPr txBox="1"/>
        </xdr:nvSpPr>
        <xdr:spPr>
          <a:xfrm>
            <a:off x="672338" y="4456435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DBCCEEBF-C549-9BC4-48EB-0B4891AFEBAD}"/>
              </a:ext>
            </a:extLst>
          </xdr:cNvPr>
          <xdr:cNvSpPr/>
        </xdr:nvSpPr>
        <xdr:spPr>
          <a:xfrm>
            <a:off x="726611" y="4468585"/>
            <a:ext cx="225890" cy="145536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48" name="テキスト ボックス 47">
            <a:extLst>
              <a:ext uri="{FF2B5EF4-FFF2-40B4-BE49-F238E27FC236}">
                <a16:creationId xmlns:a16="http://schemas.microsoft.com/office/drawing/2014/main" id="{C86BD43D-81FE-57F7-3CC0-F68FF8AD199B}"/>
              </a:ext>
            </a:extLst>
          </xdr:cNvPr>
          <xdr:cNvSpPr txBox="1"/>
        </xdr:nvSpPr>
        <xdr:spPr>
          <a:xfrm>
            <a:off x="675736" y="5947833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39741073-9310-A0F6-3D6D-9FE8676DBC4F}"/>
              </a:ext>
            </a:extLst>
          </xdr:cNvPr>
          <xdr:cNvSpPr/>
        </xdr:nvSpPr>
        <xdr:spPr>
          <a:xfrm>
            <a:off x="719253" y="5948129"/>
            <a:ext cx="241569" cy="122419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0" name="テキスト ボックス 49">
            <a:extLst>
              <a:ext uri="{FF2B5EF4-FFF2-40B4-BE49-F238E27FC236}">
                <a16:creationId xmlns:a16="http://schemas.microsoft.com/office/drawing/2014/main" id="{FEA48B2D-F574-7314-775A-C243CE0179A8}"/>
              </a:ext>
            </a:extLst>
          </xdr:cNvPr>
          <xdr:cNvSpPr txBox="1"/>
        </xdr:nvSpPr>
        <xdr:spPr>
          <a:xfrm>
            <a:off x="671231" y="7180580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F2B9DE39-3FE3-1A94-CEBE-D09AE902C2F4}"/>
              </a:ext>
            </a:extLst>
          </xdr:cNvPr>
          <xdr:cNvSpPr/>
        </xdr:nvSpPr>
        <xdr:spPr>
          <a:xfrm>
            <a:off x="722863" y="7204256"/>
            <a:ext cx="234563" cy="121969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2" name="テキスト ボックス 51">
            <a:extLst>
              <a:ext uri="{FF2B5EF4-FFF2-40B4-BE49-F238E27FC236}">
                <a16:creationId xmlns:a16="http://schemas.microsoft.com/office/drawing/2014/main" id="{A44C2194-303D-095A-C394-B97870E7396D}"/>
              </a:ext>
            </a:extLst>
          </xdr:cNvPr>
          <xdr:cNvSpPr txBox="1"/>
        </xdr:nvSpPr>
        <xdr:spPr>
          <a:xfrm>
            <a:off x="666448" y="8458051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77440468-59C8-BCE8-69DB-3C91902C5AE3}"/>
              </a:ext>
            </a:extLst>
          </xdr:cNvPr>
          <xdr:cNvSpPr/>
        </xdr:nvSpPr>
        <xdr:spPr>
          <a:xfrm>
            <a:off x="722970" y="8455475"/>
            <a:ext cx="231299" cy="145188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4" name="テキスト ボックス 53">
            <a:extLst>
              <a:ext uri="{FF2B5EF4-FFF2-40B4-BE49-F238E27FC236}">
                <a16:creationId xmlns:a16="http://schemas.microsoft.com/office/drawing/2014/main" id="{7C7D3995-B4AE-91EB-4506-042EB9370A74}"/>
              </a:ext>
            </a:extLst>
          </xdr:cNvPr>
          <xdr:cNvSpPr txBox="1"/>
        </xdr:nvSpPr>
        <xdr:spPr>
          <a:xfrm>
            <a:off x="663828" y="9943578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06B8D3C1-89DD-5BC8-1A98-72E5C5075EEB}"/>
              </a:ext>
            </a:extLst>
          </xdr:cNvPr>
          <xdr:cNvSpPr/>
        </xdr:nvSpPr>
        <xdr:spPr>
          <a:xfrm>
            <a:off x="716641" y="9952945"/>
            <a:ext cx="242183" cy="1220562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6" name="テキスト ボックス 55">
            <a:extLst>
              <a:ext uri="{FF2B5EF4-FFF2-40B4-BE49-F238E27FC236}">
                <a16:creationId xmlns:a16="http://schemas.microsoft.com/office/drawing/2014/main" id="{10BE3910-888F-2CFF-E6BA-3C5F8C020556}"/>
              </a:ext>
            </a:extLst>
          </xdr:cNvPr>
          <xdr:cNvSpPr txBox="1"/>
        </xdr:nvSpPr>
        <xdr:spPr>
          <a:xfrm>
            <a:off x="669429" y="11193190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27F6114E-9D00-50C3-DDF0-BB838CF2508B}"/>
              </a:ext>
            </a:extLst>
          </xdr:cNvPr>
          <xdr:cNvSpPr/>
        </xdr:nvSpPr>
        <xdr:spPr>
          <a:xfrm>
            <a:off x="716237" y="11201666"/>
            <a:ext cx="242183" cy="1725253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8" name="テキスト ボックス 57">
            <a:extLst>
              <a:ext uri="{FF2B5EF4-FFF2-40B4-BE49-F238E27FC236}">
                <a16:creationId xmlns:a16="http://schemas.microsoft.com/office/drawing/2014/main" id="{CEBDFBC0-53EC-1E24-58A1-5C163EBFD063}"/>
              </a:ext>
            </a:extLst>
          </xdr:cNvPr>
          <xdr:cNvSpPr txBox="1"/>
        </xdr:nvSpPr>
        <xdr:spPr>
          <a:xfrm>
            <a:off x="667669" y="12946760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C18C326F-D78C-4C52-E9E9-65203F46864F}"/>
              </a:ext>
            </a:extLst>
          </xdr:cNvPr>
          <xdr:cNvSpPr/>
        </xdr:nvSpPr>
        <xdr:spPr>
          <a:xfrm>
            <a:off x="711267" y="12950548"/>
            <a:ext cx="246883" cy="98529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60" name="テキスト ボックス 59">
            <a:extLst>
              <a:ext uri="{FF2B5EF4-FFF2-40B4-BE49-F238E27FC236}">
                <a16:creationId xmlns:a16="http://schemas.microsoft.com/office/drawing/2014/main" id="{59FB7C5E-6B11-8AB7-7126-655037C5BA40}"/>
              </a:ext>
            </a:extLst>
          </xdr:cNvPr>
          <xdr:cNvSpPr txBox="1"/>
        </xdr:nvSpPr>
        <xdr:spPr>
          <a:xfrm>
            <a:off x="674430" y="13933653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FB5E2162-55DE-A51D-70F3-9E8FDB79E06F}"/>
              </a:ext>
            </a:extLst>
          </xdr:cNvPr>
          <xdr:cNvSpPr/>
        </xdr:nvSpPr>
        <xdr:spPr>
          <a:xfrm>
            <a:off x="716672" y="13968414"/>
            <a:ext cx="242183" cy="722256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62" name="テキスト ボックス 61">
            <a:extLst>
              <a:ext uri="{FF2B5EF4-FFF2-40B4-BE49-F238E27FC236}">
                <a16:creationId xmlns:a16="http://schemas.microsoft.com/office/drawing/2014/main" id="{0A83A959-8D61-344E-D19B-4B08B7E598C7}"/>
              </a:ext>
            </a:extLst>
          </xdr:cNvPr>
          <xdr:cNvSpPr txBox="1"/>
        </xdr:nvSpPr>
        <xdr:spPr>
          <a:xfrm>
            <a:off x="680027" y="14683003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4B1279CC-E364-43C4-A02F-E8C633FD6721}"/>
              </a:ext>
            </a:extLst>
          </xdr:cNvPr>
          <xdr:cNvSpPr/>
        </xdr:nvSpPr>
        <xdr:spPr>
          <a:xfrm>
            <a:off x="710463" y="14715116"/>
            <a:ext cx="242183" cy="464333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64" name="テキスト ボックス 63">
            <a:extLst>
              <a:ext uri="{FF2B5EF4-FFF2-40B4-BE49-F238E27FC236}">
                <a16:creationId xmlns:a16="http://schemas.microsoft.com/office/drawing/2014/main" id="{C91779C2-A4B2-79F7-F6C3-199254F2CF1E}"/>
              </a:ext>
            </a:extLst>
          </xdr:cNvPr>
          <xdr:cNvSpPr txBox="1"/>
        </xdr:nvSpPr>
        <xdr:spPr>
          <a:xfrm>
            <a:off x="678316" y="15198055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01E2A9CE-005D-12C8-5F27-AC97FB40415F}"/>
              </a:ext>
            </a:extLst>
          </xdr:cNvPr>
          <xdr:cNvSpPr/>
        </xdr:nvSpPr>
        <xdr:spPr>
          <a:xfrm>
            <a:off x="710252" y="15209189"/>
            <a:ext cx="242183" cy="471003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</xdr:grpSp>
    <xdr:clientData/>
  </xdr:twoCellAnchor>
  <xdr:twoCellAnchor>
    <xdr:from>
      <xdr:col>6</xdr:col>
      <xdr:colOff>2754977</xdr:colOff>
      <xdr:row>0</xdr:row>
      <xdr:rowOff>413657</xdr:rowOff>
    </xdr:from>
    <xdr:to>
      <xdr:col>8</xdr:col>
      <xdr:colOff>73591</xdr:colOff>
      <xdr:row>61</xdr:row>
      <xdr:rowOff>3401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AA9D3DBF-7E94-4F69-9D52-9D8E114571E9}"/>
            </a:ext>
          </a:extLst>
        </xdr:cNvPr>
        <xdr:cNvGrpSpPr/>
      </xdr:nvGrpSpPr>
      <xdr:grpSpPr>
        <a:xfrm>
          <a:off x="7398695" y="413657"/>
          <a:ext cx="348684" cy="15080756"/>
          <a:chOff x="663828" y="667431"/>
          <a:chExt cx="381061" cy="15044056"/>
        </a:xfrm>
      </xdr:grpSpPr>
      <xdr:sp macro="" textlink="">
        <xdr:nvSpPr>
          <xdr:cNvPr id="67" name="四角形: 角を丸くする 66">
            <a:extLst>
              <a:ext uri="{FF2B5EF4-FFF2-40B4-BE49-F238E27FC236}">
                <a16:creationId xmlns:a16="http://schemas.microsoft.com/office/drawing/2014/main" id="{4A9370AC-A2AC-F5B3-1DA1-0F2CB2E3AC21}"/>
              </a:ext>
            </a:extLst>
          </xdr:cNvPr>
          <xdr:cNvSpPr/>
        </xdr:nvSpPr>
        <xdr:spPr>
          <a:xfrm>
            <a:off x="701236" y="667431"/>
            <a:ext cx="277627" cy="15044056"/>
          </a:xfrm>
          <a:prstGeom prst="roundRect">
            <a:avLst/>
          </a:prstGeom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68" name="テキスト ボックス 67">
            <a:extLst>
              <a:ext uri="{FF2B5EF4-FFF2-40B4-BE49-F238E27FC236}">
                <a16:creationId xmlns:a16="http://schemas.microsoft.com/office/drawing/2014/main" id="{CFAAA7D2-56B1-6BC2-12A9-6DC9F6C69D15}"/>
              </a:ext>
            </a:extLst>
          </xdr:cNvPr>
          <xdr:cNvSpPr txBox="1"/>
        </xdr:nvSpPr>
        <xdr:spPr>
          <a:xfrm>
            <a:off x="709421" y="693170"/>
            <a:ext cx="28134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69" name="正方形/長方形 68">
            <a:extLst>
              <a:ext uri="{FF2B5EF4-FFF2-40B4-BE49-F238E27FC236}">
                <a16:creationId xmlns:a16="http://schemas.microsoft.com/office/drawing/2014/main" id="{5C2A2E7D-5D2B-9A7E-39F7-C9E2024A5B26}"/>
              </a:ext>
            </a:extLst>
          </xdr:cNvPr>
          <xdr:cNvSpPr/>
        </xdr:nvSpPr>
        <xdr:spPr>
          <a:xfrm>
            <a:off x="724954" y="708250"/>
            <a:ext cx="234563" cy="144613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70" name="テキスト ボックス 69">
            <a:extLst>
              <a:ext uri="{FF2B5EF4-FFF2-40B4-BE49-F238E27FC236}">
                <a16:creationId xmlns:a16="http://schemas.microsoft.com/office/drawing/2014/main" id="{CBE34D9D-F04F-327E-A94D-463C0630EB0C}"/>
              </a:ext>
            </a:extLst>
          </xdr:cNvPr>
          <xdr:cNvSpPr txBox="1"/>
        </xdr:nvSpPr>
        <xdr:spPr>
          <a:xfrm>
            <a:off x="719983" y="2157694"/>
            <a:ext cx="28134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71" name="正方形/長方形 70">
            <a:extLst>
              <a:ext uri="{FF2B5EF4-FFF2-40B4-BE49-F238E27FC236}">
                <a16:creationId xmlns:a16="http://schemas.microsoft.com/office/drawing/2014/main" id="{B9F8B21A-A242-C5D3-5F45-05E69C71462D}"/>
              </a:ext>
            </a:extLst>
          </xdr:cNvPr>
          <xdr:cNvSpPr/>
        </xdr:nvSpPr>
        <xdr:spPr>
          <a:xfrm>
            <a:off x="728267" y="2195001"/>
            <a:ext cx="230481" cy="122150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72" name="テキスト ボックス 71">
            <a:extLst>
              <a:ext uri="{FF2B5EF4-FFF2-40B4-BE49-F238E27FC236}">
                <a16:creationId xmlns:a16="http://schemas.microsoft.com/office/drawing/2014/main" id="{714E5BE4-91B3-B8E4-70BB-C292F913405A}"/>
              </a:ext>
            </a:extLst>
          </xdr:cNvPr>
          <xdr:cNvSpPr txBox="1"/>
        </xdr:nvSpPr>
        <xdr:spPr>
          <a:xfrm>
            <a:off x="673685" y="3427920"/>
            <a:ext cx="278816" cy="2460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73" name="正方形/長方形 72">
            <a:extLst>
              <a:ext uri="{FF2B5EF4-FFF2-40B4-BE49-F238E27FC236}">
                <a16:creationId xmlns:a16="http://schemas.microsoft.com/office/drawing/2014/main" id="{20590A13-9316-AB3B-FC07-24A346828E06}"/>
              </a:ext>
            </a:extLst>
          </xdr:cNvPr>
          <xdr:cNvSpPr/>
        </xdr:nvSpPr>
        <xdr:spPr>
          <a:xfrm>
            <a:off x="723297" y="3443868"/>
            <a:ext cx="234563" cy="98661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74" name="テキスト ボックス 73">
            <a:extLst>
              <a:ext uri="{FF2B5EF4-FFF2-40B4-BE49-F238E27FC236}">
                <a16:creationId xmlns:a16="http://schemas.microsoft.com/office/drawing/2014/main" id="{357CD453-EDFD-3CD1-1290-5953ACA79794}"/>
              </a:ext>
            </a:extLst>
          </xdr:cNvPr>
          <xdr:cNvSpPr txBox="1"/>
        </xdr:nvSpPr>
        <xdr:spPr>
          <a:xfrm>
            <a:off x="672338" y="4456435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75" name="正方形/長方形 74">
            <a:extLst>
              <a:ext uri="{FF2B5EF4-FFF2-40B4-BE49-F238E27FC236}">
                <a16:creationId xmlns:a16="http://schemas.microsoft.com/office/drawing/2014/main" id="{836EA0A6-B55A-0C43-F2CE-051E2D3104E0}"/>
              </a:ext>
            </a:extLst>
          </xdr:cNvPr>
          <xdr:cNvSpPr/>
        </xdr:nvSpPr>
        <xdr:spPr>
          <a:xfrm>
            <a:off x="726611" y="4468585"/>
            <a:ext cx="225890" cy="145536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76" name="テキスト ボックス 75">
            <a:extLst>
              <a:ext uri="{FF2B5EF4-FFF2-40B4-BE49-F238E27FC236}">
                <a16:creationId xmlns:a16="http://schemas.microsoft.com/office/drawing/2014/main" id="{ADE03A1B-1F5F-39F8-45E0-D9480F6F1771}"/>
              </a:ext>
            </a:extLst>
          </xdr:cNvPr>
          <xdr:cNvSpPr txBox="1"/>
        </xdr:nvSpPr>
        <xdr:spPr>
          <a:xfrm>
            <a:off x="675736" y="5947833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77" name="正方形/長方形 76">
            <a:extLst>
              <a:ext uri="{FF2B5EF4-FFF2-40B4-BE49-F238E27FC236}">
                <a16:creationId xmlns:a16="http://schemas.microsoft.com/office/drawing/2014/main" id="{5F6401AB-1EBF-9164-9727-53AEC60AE0F1}"/>
              </a:ext>
            </a:extLst>
          </xdr:cNvPr>
          <xdr:cNvSpPr/>
        </xdr:nvSpPr>
        <xdr:spPr>
          <a:xfrm>
            <a:off x="719253" y="5948129"/>
            <a:ext cx="241569" cy="122419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78" name="テキスト ボックス 77">
            <a:extLst>
              <a:ext uri="{FF2B5EF4-FFF2-40B4-BE49-F238E27FC236}">
                <a16:creationId xmlns:a16="http://schemas.microsoft.com/office/drawing/2014/main" id="{043351D4-6EB6-09D5-C0D1-76D32C695322}"/>
              </a:ext>
            </a:extLst>
          </xdr:cNvPr>
          <xdr:cNvSpPr txBox="1"/>
        </xdr:nvSpPr>
        <xdr:spPr>
          <a:xfrm>
            <a:off x="671231" y="7180580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20E606B3-B7B7-C4C7-8FE7-3F0201B37F29}"/>
              </a:ext>
            </a:extLst>
          </xdr:cNvPr>
          <xdr:cNvSpPr/>
        </xdr:nvSpPr>
        <xdr:spPr>
          <a:xfrm>
            <a:off x="722863" y="7204256"/>
            <a:ext cx="234563" cy="121969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0" name="テキスト ボックス 79">
            <a:extLst>
              <a:ext uri="{FF2B5EF4-FFF2-40B4-BE49-F238E27FC236}">
                <a16:creationId xmlns:a16="http://schemas.microsoft.com/office/drawing/2014/main" id="{946FD233-859F-82A0-B6CD-A126221379A3}"/>
              </a:ext>
            </a:extLst>
          </xdr:cNvPr>
          <xdr:cNvSpPr txBox="1"/>
        </xdr:nvSpPr>
        <xdr:spPr>
          <a:xfrm>
            <a:off x="666448" y="8458051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B2988F46-EF2F-F124-09D0-B8E1AB05A5C9}"/>
              </a:ext>
            </a:extLst>
          </xdr:cNvPr>
          <xdr:cNvSpPr/>
        </xdr:nvSpPr>
        <xdr:spPr>
          <a:xfrm>
            <a:off x="722970" y="8455475"/>
            <a:ext cx="231299" cy="145188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2" name="テキスト ボックス 81">
            <a:extLst>
              <a:ext uri="{FF2B5EF4-FFF2-40B4-BE49-F238E27FC236}">
                <a16:creationId xmlns:a16="http://schemas.microsoft.com/office/drawing/2014/main" id="{0CA95DA3-9F67-0419-77E5-07BA7D0CF55C}"/>
              </a:ext>
            </a:extLst>
          </xdr:cNvPr>
          <xdr:cNvSpPr txBox="1"/>
        </xdr:nvSpPr>
        <xdr:spPr>
          <a:xfrm>
            <a:off x="663828" y="9943578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6AF86881-9DFB-AAF4-D973-B78A375AC202}"/>
              </a:ext>
            </a:extLst>
          </xdr:cNvPr>
          <xdr:cNvSpPr/>
        </xdr:nvSpPr>
        <xdr:spPr>
          <a:xfrm>
            <a:off x="716641" y="9952945"/>
            <a:ext cx="242183" cy="1220562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4" name="テキスト ボックス 83">
            <a:extLst>
              <a:ext uri="{FF2B5EF4-FFF2-40B4-BE49-F238E27FC236}">
                <a16:creationId xmlns:a16="http://schemas.microsoft.com/office/drawing/2014/main" id="{C7D01EED-1FB3-99A5-D988-9FA40D5803DC}"/>
              </a:ext>
            </a:extLst>
          </xdr:cNvPr>
          <xdr:cNvSpPr txBox="1"/>
        </xdr:nvSpPr>
        <xdr:spPr>
          <a:xfrm>
            <a:off x="669429" y="11193190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346D3B3D-57AD-A1C8-9BC0-56ADF9E602EB}"/>
              </a:ext>
            </a:extLst>
          </xdr:cNvPr>
          <xdr:cNvSpPr/>
        </xdr:nvSpPr>
        <xdr:spPr>
          <a:xfrm>
            <a:off x="716237" y="11201666"/>
            <a:ext cx="242183" cy="1725253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6" name="テキスト ボックス 85">
            <a:extLst>
              <a:ext uri="{FF2B5EF4-FFF2-40B4-BE49-F238E27FC236}">
                <a16:creationId xmlns:a16="http://schemas.microsoft.com/office/drawing/2014/main" id="{E67B5B11-F1D4-D2FD-EADD-58D6D81F0AE7}"/>
              </a:ext>
            </a:extLst>
          </xdr:cNvPr>
          <xdr:cNvSpPr txBox="1"/>
        </xdr:nvSpPr>
        <xdr:spPr>
          <a:xfrm>
            <a:off x="667669" y="12946760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87" name="正方形/長方形 86">
            <a:extLst>
              <a:ext uri="{FF2B5EF4-FFF2-40B4-BE49-F238E27FC236}">
                <a16:creationId xmlns:a16="http://schemas.microsoft.com/office/drawing/2014/main" id="{34B06621-DC36-0E3B-9950-6C664D6FD01F}"/>
              </a:ext>
            </a:extLst>
          </xdr:cNvPr>
          <xdr:cNvSpPr/>
        </xdr:nvSpPr>
        <xdr:spPr>
          <a:xfrm>
            <a:off x="711267" y="12950548"/>
            <a:ext cx="246883" cy="98529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36D2F52A-2483-C159-897C-B663538743F3}"/>
              </a:ext>
            </a:extLst>
          </xdr:cNvPr>
          <xdr:cNvSpPr txBox="1"/>
        </xdr:nvSpPr>
        <xdr:spPr>
          <a:xfrm>
            <a:off x="674430" y="13933653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4FC90EC2-3034-D7B6-DCF4-7D3E6828A5E0}"/>
              </a:ext>
            </a:extLst>
          </xdr:cNvPr>
          <xdr:cNvSpPr/>
        </xdr:nvSpPr>
        <xdr:spPr>
          <a:xfrm>
            <a:off x="716672" y="13968414"/>
            <a:ext cx="242183" cy="722256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0" name="テキスト ボックス 89">
            <a:extLst>
              <a:ext uri="{FF2B5EF4-FFF2-40B4-BE49-F238E27FC236}">
                <a16:creationId xmlns:a16="http://schemas.microsoft.com/office/drawing/2014/main" id="{9A016E58-340D-96D3-3453-99585E04FA56}"/>
              </a:ext>
            </a:extLst>
          </xdr:cNvPr>
          <xdr:cNvSpPr txBox="1"/>
        </xdr:nvSpPr>
        <xdr:spPr>
          <a:xfrm>
            <a:off x="680027" y="14683003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91" name="正方形/長方形 90">
            <a:extLst>
              <a:ext uri="{FF2B5EF4-FFF2-40B4-BE49-F238E27FC236}">
                <a16:creationId xmlns:a16="http://schemas.microsoft.com/office/drawing/2014/main" id="{8CE548AA-32C3-CA43-2ADF-1F48FB4EA3E2}"/>
              </a:ext>
            </a:extLst>
          </xdr:cNvPr>
          <xdr:cNvSpPr/>
        </xdr:nvSpPr>
        <xdr:spPr>
          <a:xfrm>
            <a:off x="710463" y="14715116"/>
            <a:ext cx="242183" cy="464333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2" name="テキスト ボックス 91">
            <a:extLst>
              <a:ext uri="{FF2B5EF4-FFF2-40B4-BE49-F238E27FC236}">
                <a16:creationId xmlns:a16="http://schemas.microsoft.com/office/drawing/2014/main" id="{D9F0B441-2FE5-8861-4C83-DC4D8A6E1D88}"/>
              </a:ext>
            </a:extLst>
          </xdr:cNvPr>
          <xdr:cNvSpPr txBox="1"/>
        </xdr:nvSpPr>
        <xdr:spPr>
          <a:xfrm>
            <a:off x="678316" y="15198055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93" name="正方形/長方形 92">
            <a:extLst>
              <a:ext uri="{FF2B5EF4-FFF2-40B4-BE49-F238E27FC236}">
                <a16:creationId xmlns:a16="http://schemas.microsoft.com/office/drawing/2014/main" id="{6952828C-1D28-326D-8BBC-B2D7D4E60547}"/>
              </a:ext>
            </a:extLst>
          </xdr:cNvPr>
          <xdr:cNvSpPr/>
        </xdr:nvSpPr>
        <xdr:spPr>
          <a:xfrm>
            <a:off x="710252" y="15209189"/>
            <a:ext cx="242183" cy="471003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</xdr:grpSp>
    <xdr:clientData/>
  </xdr:twoCellAnchor>
  <xdr:twoCellAnchor>
    <xdr:from>
      <xdr:col>9</xdr:col>
      <xdr:colOff>2526379</xdr:colOff>
      <xdr:row>0</xdr:row>
      <xdr:rowOff>402771</xdr:rowOff>
    </xdr:from>
    <xdr:to>
      <xdr:col>11</xdr:col>
      <xdr:colOff>51821</xdr:colOff>
      <xdr:row>60</xdr:row>
      <xdr:rowOff>242887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F2E90B17-DF88-4DC9-B792-CD396F319FF5}"/>
            </a:ext>
          </a:extLst>
        </xdr:cNvPr>
        <xdr:cNvGrpSpPr/>
      </xdr:nvGrpSpPr>
      <xdr:grpSpPr>
        <a:xfrm>
          <a:off x="10522897" y="402771"/>
          <a:ext cx="358289" cy="15080116"/>
          <a:chOff x="663828" y="667431"/>
          <a:chExt cx="381061" cy="15044056"/>
        </a:xfrm>
      </xdr:grpSpPr>
      <xdr:sp macro="" textlink="">
        <xdr:nvSpPr>
          <xdr:cNvPr id="95" name="四角形: 角を丸くする 94">
            <a:extLst>
              <a:ext uri="{FF2B5EF4-FFF2-40B4-BE49-F238E27FC236}">
                <a16:creationId xmlns:a16="http://schemas.microsoft.com/office/drawing/2014/main" id="{74421ADF-CFA7-FE39-A5E9-B4B972728A99}"/>
              </a:ext>
            </a:extLst>
          </xdr:cNvPr>
          <xdr:cNvSpPr/>
        </xdr:nvSpPr>
        <xdr:spPr>
          <a:xfrm>
            <a:off x="701236" y="667431"/>
            <a:ext cx="277627" cy="15044056"/>
          </a:xfrm>
          <a:prstGeom prst="roundRect">
            <a:avLst/>
          </a:prstGeom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6" name="テキスト ボックス 95">
            <a:extLst>
              <a:ext uri="{FF2B5EF4-FFF2-40B4-BE49-F238E27FC236}">
                <a16:creationId xmlns:a16="http://schemas.microsoft.com/office/drawing/2014/main" id="{FA1F295E-445C-2AB4-618A-4A8AD9055BD8}"/>
              </a:ext>
            </a:extLst>
          </xdr:cNvPr>
          <xdr:cNvSpPr txBox="1"/>
        </xdr:nvSpPr>
        <xdr:spPr>
          <a:xfrm>
            <a:off x="709421" y="693170"/>
            <a:ext cx="28134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97" name="正方形/長方形 96">
            <a:extLst>
              <a:ext uri="{FF2B5EF4-FFF2-40B4-BE49-F238E27FC236}">
                <a16:creationId xmlns:a16="http://schemas.microsoft.com/office/drawing/2014/main" id="{10147618-B852-1926-065E-6D3749B8C8B1}"/>
              </a:ext>
            </a:extLst>
          </xdr:cNvPr>
          <xdr:cNvSpPr/>
        </xdr:nvSpPr>
        <xdr:spPr>
          <a:xfrm>
            <a:off x="724954" y="708250"/>
            <a:ext cx="234563" cy="144613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8" name="テキスト ボックス 97">
            <a:extLst>
              <a:ext uri="{FF2B5EF4-FFF2-40B4-BE49-F238E27FC236}">
                <a16:creationId xmlns:a16="http://schemas.microsoft.com/office/drawing/2014/main" id="{DABC8A8E-E915-40C3-39E7-AAFD91A69631}"/>
              </a:ext>
            </a:extLst>
          </xdr:cNvPr>
          <xdr:cNvSpPr txBox="1"/>
        </xdr:nvSpPr>
        <xdr:spPr>
          <a:xfrm>
            <a:off x="719983" y="2157694"/>
            <a:ext cx="28134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99" name="正方形/長方形 98">
            <a:extLst>
              <a:ext uri="{FF2B5EF4-FFF2-40B4-BE49-F238E27FC236}">
                <a16:creationId xmlns:a16="http://schemas.microsoft.com/office/drawing/2014/main" id="{C88674D0-51B5-1447-417C-EBD61F75A2B6}"/>
              </a:ext>
            </a:extLst>
          </xdr:cNvPr>
          <xdr:cNvSpPr/>
        </xdr:nvSpPr>
        <xdr:spPr>
          <a:xfrm>
            <a:off x="728267" y="2195001"/>
            <a:ext cx="230481" cy="122150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00" name="テキスト ボックス 99">
            <a:extLst>
              <a:ext uri="{FF2B5EF4-FFF2-40B4-BE49-F238E27FC236}">
                <a16:creationId xmlns:a16="http://schemas.microsoft.com/office/drawing/2014/main" id="{7B7B34BC-E05D-29DA-CFCF-32983BFEBC06}"/>
              </a:ext>
            </a:extLst>
          </xdr:cNvPr>
          <xdr:cNvSpPr txBox="1"/>
        </xdr:nvSpPr>
        <xdr:spPr>
          <a:xfrm>
            <a:off x="673685" y="3427920"/>
            <a:ext cx="278816" cy="2460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101" name="正方形/長方形 100">
            <a:extLst>
              <a:ext uri="{FF2B5EF4-FFF2-40B4-BE49-F238E27FC236}">
                <a16:creationId xmlns:a16="http://schemas.microsoft.com/office/drawing/2014/main" id="{9C84F47C-93BE-1818-FB2C-81C04B8A383E}"/>
              </a:ext>
            </a:extLst>
          </xdr:cNvPr>
          <xdr:cNvSpPr/>
        </xdr:nvSpPr>
        <xdr:spPr>
          <a:xfrm>
            <a:off x="723297" y="3443868"/>
            <a:ext cx="234563" cy="98661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02" name="テキスト ボックス 101">
            <a:extLst>
              <a:ext uri="{FF2B5EF4-FFF2-40B4-BE49-F238E27FC236}">
                <a16:creationId xmlns:a16="http://schemas.microsoft.com/office/drawing/2014/main" id="{AC32BFAB-150C-CAEA-ED75-1B353C0F78B5}"/>
              </a:ext>
            </a:extLst>
          </xdr:cNvPr>
          <xdr:cNvSpPr txBox="1"/>
        </xdr:nvSpPr>
        <xdr:spPr>
          <a:xfrm>
            <a:off x="672338" y="4456435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103" name="正方形/長方形 102">
            <a:extLst>
              <a:ext uri="{FF2B5EF4-FFF2-40B4-BE49-F238E27FC236}">
                <a16:creationId xmlns:a16="http://schemas.microsoft.com/office/drawing/2014/main" id="{24B22B65-5DAE-C039-B3B6-FAABED9F7D33}"/>
              </a:ext>
            </a:extLst>
          </xdr:cNvPr>
          <xdr:cNvSpPr/>
        </xdr:nvSpPr>
        <xdr:spPr>
          <a:xfrm>
            <a:off x="726611" y="4468585"/>
            <a:ext cx="225890" cy="145536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04" name="テキスト ボックス 103">
            <a:extLst>
              <a:ext uri="{FF2B5EF4-FFF2-40B4-BE49-F238E27FC236}">
                <a16:creationId xmlns:a16="http://schemas.microsoft.com/office/drawing/2014/main" id="{AD5F6DDB-560E-C9B1-DCA8-289C2EFF3A86}"/>
              </a:ext>
            </a:extLst>
          </xdr:cNvPr>
          <xdr:cNvSpPr txBox="1"/>
        </xdr:nvSpPr>
        <xdr:spPr>
          <a:xfrm>
            <a:off x="675736" y="5947833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05" name="正方形/長方形 104">
            <a:extLst>
              <a:ext uri="{FF2B5EF4-FFF2-40B4-BE49-F238E27FC236}">
                <a16:creationId xmlns:a16="http://schemas.microsoft.com/office/drawing/2014/main" id="{0A2A0AC3-37FE-F26E-0374-C6BA61878F8B}"/>
              </a:ext>
            </a:extLst>
          </xdr:cNvPr>
          <xdr:cNvSpPr/>
        </xdr:nvSpPr>
        <xdr:spPr>
          <a:xfrm>
            <a:off x="719253" y="5948129"/>
            <a:ext cx="241569" cy="122419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06" name="テキスト ボックス 105">
            <a:extLst>
              <a:ext uri="{FF2B5EF4-FFF2-40B4-BE49-F238E27FC236}">
                <a16:creationId xmlns:a16="http://schemas.microsoft.com/office/drawing/2014/main" id="{AF104522-E344-2C66-62A9-05ED2F174B69}"/>
              </a:ext>
            </a:extLst>
          </xdr:cNvPr>
          <xdr:cNvSpPr txBox="1"/>
        </xdr:nvSpPr>
        <xdr:spPr>
          <a:xfrm>
            <a:off x="671231" y="7180580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07" name="正方形/長方形 106">
            <a:extLst>
              <a:ext uri="{FF2B5EF4-FFF2-40B4-BE49-F238E27FC236}">
                <a16:creationId xmlns:a16="http://schemas.microsoft.com/office/drawing/2014/main" id="{368E0411-F262-2E63-D942-401C708F13CB}"/>
              </a:ext>
            </a:extLst>
          </xdr:cNvPr>
          <xdr:cNvSpPr/>
        </xdr:nvSpPr>
        <xdr:spPr>
          <a:xfrm>
            <a:off x="722863" y="7204256"/>
            <a:ext cx="234563" cy="121969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08" name="テキスト ボックス 107">
            <a:extLst>
              <a:ext uri="{FF2B5EF4-FFF2-40B4-BE49-F238E27FC236}">
                <a16:creationId xmlns:a16="http://schemas.microsoft.com/office/drawing/2014/main" id="{F4643F23-517B-F8D6-DA0E-314E017B8ECD}"/>
              </a:ext>
            </a:extLst>
          </xdr:cNvPr>
          <xdr:cNvSpPr txBox="1"/>
        </xdr:nvSpPr>
        <xdr:spPr>
          <a:xfrm>
            <a:off x="666448" y="8458051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09" name="正方形/長方形 108">
            <a:extLst>
              <a:ext uri="{FF2B5EF4-FFF2-40B4-BE49-F238E27FC236}">
                <a16:creationId xmlns:a16="http://schemas.microsoft.com/office/drawing/2014/main" id="{D9C6DDF5-0CAB-D4F3-CD5F-BD227961A496}"/>
              </a:ext>
            </a:extLst>
          </xdr:cNvPr>
          <xdr:cNvSpPr/>
        </xdr:nvSpPr>
        <xdr:spPr>
          <a:xfrm>
            <a:off x="722970" y="8455475"/>
            <a:ext cx="231299" cy="145188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0" name="テキスト ボックス 109">
            <a:extLst>
              <a:ext uri="{FF2B5EF4-FFF2-40B4-BE49-F238E27FC236}">
                <a16:creationId xmlns:a16="http://schemas.microsoft.com/office/drawing/2014/main" id="{C9C1BFF9-6D13-DF9E-3904-A944C75F4F2D}"/>
              </a:ext>
            </a:extLst>
          </xdr:cNvPr>
          <xdr:cNvSpPr txBox="1"/>
        </xdr:nvSpPr>
        <xdr:spPr>
          <a:xfrm>
            <a:off x="663828" y="9943578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11" name="正方形/長方形 110">
            <a:extLst>
              <a:ext uri="{FF2B5EF4-FFF2-40B4-BE49-F238E27FC236}">
                <a16:creationId xmlns:a16="http://schemas.microsoft.com/office/drawing/2014/main" id="{037E514F-E484-B4C4-E83C-0C15475B87B1}"/>
              </a:ext>
            </a:extLst>
          </xdr:cNvPr>
          <xdr:cNvSpPr/>
        </xdr:nvSpPr>
        <xdr:spPr>
          <a:xfrm>
            <a:off x="716641" y="9952945"/>
            <a:ext cx="242183" cy="1220562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2" name="テキスト ボックス 111">
            <a:extLst>
              <a:ext uri="{FF2B5EF4-FFF2-40B4-BE49-F238E27FC236}">
                <a16:creationId xmlns:a16="http://schemas.microsoft.com/office/drawing/2014/main" id="{49E88393-11F6-4AEC-5DAB-22428ECC0B1D}"/>
              </a:ext>
            </a:extLst>
          </xdr:cNvPr>
          <xdr:cNvSpPr txBox="1"/>
        </xdr:nvSpPr>
        <xdr:spPr>
          <a:xfrm>
            <a:off x="669429" y="11193190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3410CAB1-DFE1-8F6E-21EC-CBFFC72CF09C}"/>
              </a:ext>
            </a:extLst>
          </xdr:cNvPr>
          <xdr:cNvSpPr/>
        </xdr:nvSpPr>
        <xdr:spPr>
          <a:xfrm>
            <a:off x="716237" y="11201666"/>
            <a:ext cx="242183" cy="1725253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4" name="テキスト ボックス 113">
            <a:extLst>
              <a:ext uri="{FF2B5EF4-FFF2-40B4-BE49-F238E27FC236}">
                <a16:creationId xmlns:a16="http://schemas.microsoft.com/office/drawing/2014/main" id="{850E7208-83A0-12F9-FA45-CA4B28722274}"/>
              </a:ext>
            </a:extLst>
          </xdr:cNvPr>
          <xdr:cNvSpPr txBox="1"/>
        </xdr:nvSpPr>
        <xdr:spPr>
          <a:xfrm>
            <a:off x="667669" y="12946760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15" name="正方形/長方形 114">
            <a:extLst>
              <a:ext uri="{FF2B5EF4-FFF2-40B4-BE49-F238E27FC236}">
                <a16:creationId xmlns:a16="http://schemas.microsoft.com/office/drawing/2014/main" id="{C5277968-DB74-B0DB-FC14-871736791DE1}"/>
              </a:ext>
            </a:extLst>
          </xdr:cNvPr>
          <xdr:cNvSpPr/>
        </xdr:nvSpPr>
        <xdr:spPr>
          <a:xfrm>
            <a:off x="711267" y="12950548"/>
            <a:ext cx="246883" cy="98529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6" name="テキスト ボックス 115">
            <a:extLst>
              <a:ext uri="{FF2B5EF4-FFF2-40B4-BE49-F238E27FC236}">
                <a16:creationId xmlns:a16="http://schemas.microsoft.com/office/drawing/2014/main" id="{F42426E0-3C2F-5A4E-0DD9-AE378357DAE5}"/>
              </a:ext>
            </a:extLst>
          </xdr:cNvPr>
          <xdr:cNvSpPr txBox="1"/>
        </xdr:nvSpPr>
        <xdr:spPr>
          <a:xfrm>
            <a:off x="674430" y="13933653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17" name="正方形/長方形 116">
            <a:extLst>
              <a:ext uri="{FF2B5EF4-FFF2-40B4-BE49-F238E27FC236}">
                <a16:creationId xmlns:a16="http://schemas.microsoft.com/office/drawing/2014/main" id="{B86A8E4C-2D55-0624-51D7-BEDBBB4EADAD}"/>
              </a:ext>
            </a:extLst>
          </xdr:cNvPr>
          <xdr:cNvSpPr/>
        </xdr:nvSpPr>
        <xdr:spPr>
          <a:xfrm>
            <a:off x="716672" y="13968414"/>
            <a:ext cx="242183" cy="722256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8" name="テキスト ボックス 117">
            <a:extLst>
              <a:ext uri="{FF2B5EF4-FFF2-40B4-BE49-F238E27FC236}">
                <a16:creationId xmlns:a16="http://schemas.microsoft.com/office/drawing/2014/main" id="{14482837-19A2-BCA6-D63E-F01019453049}"/>
              </a:ext>
            </a:extLst>
          </xdr:cNvPr>
          <xdr:cNvSpPr txBox="1"/>
        </xdr:nvSpPr>
        <xdr:spPr>
          <a:xfrm>
            <a:off x="680027" y="14683003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19" name="正方形/長方形 118">
            <a:extLst>
              <a:ext uri="{FF2B5EF4-FFF2-40B4-BE49-F238E27FC236}">
                <a16:creationId xmlns:a16="http://schemas.microsoft.com/office/drawing/2014/main" id="{C7003AEC-DE70-9AD3-195A-1DFC67BBD0AF}"/>
              </a:ext>
            </a:extLst>
          </xdr:cNvPr>
          <xdr:cNvSpPr/>
        </xdr:nvSpPr>
        <xdr:spPr>
          <a:xfrm>
            <a:off x="710463" y="14715116"/>
            <a:ext cx="242183" cy="464333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20" name="テキスト ボックス 119">
            <a:extLst>
              <a:ext uri="{FF2B5EF4-FFF2-40B4-BE49-F238E27FC236}">
                <a16:creationId xmlns:a16="http://schemas.microsoft.com/office/drawing/2014/main" id="{9C5F84A7-61E4-761F-E934-7376A2FA1E46}"/>
              </a:ext>
            </a:extLst>
          </xdr:cNvPr>
          <xdr:cNvSpPr txBox="1"/>
        </xdr:nvSpPr>
        <xdr:spPr>
          <a:xfrm>
            <a:off x="678316" y="15198055"/>
            <a:ext cx="364862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21" name="正方形/長方形 120">
            <a:extLst>
              <a:ext uri="{FF2B5EF4-FFF2-40B4-BE49-F238E27FC236}">
                <a16:creationId xmlns:a16="http://schemas.microsoft.com/office/drawing/2014/main" id="{B4576DC8-1778-5AE8-E1A8-1ABEF8B073D4}"/>
              </a:ext>
            </a:extLst>
          </xdr:cNvPr>
          <xdr:cNvSpPr/>
        </xdr:nvSpPr>
        <xdr:spPr>
          <a:xfrm>
            <a:off x="710252" y="15209189"/>
            <a:ext cx="242183" cy="471003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</xdr:grpSp>
    <xdr:clientData/>
  </xdr:twoCellAnchor>
  <xdr:twoCellAnchor editAs="oneCell">
    <xdr:from>
      <xdr:col>6</xdr:col>
      <xdr:colOff>2367047</xdr:colOff>
      <xdr:row>20</xdr:row>
      <xdr:rowOff>54836</xdr:rowOff>
    </xdr:from>
    <xdr:to>
      <xdr:col>6</xdr:col>
      <xdr:colOff>2786144</xdr:colOff>
      <xdr:row>22</xdr:row>
      <xdr:rowOff>63309</xdr:rowOff>
    </xdr:to>
    <xdr:pic>
      <xdr:nvPicPr>
        <xdr:cNvPr id="122" name="図 121">
          <a:extLst>
            <a:ext uri="{FF2B5EF4-FFF2-40B4-BE49-F238E27FC236}">
              <a16:creationId xmlns:a16="http://schemas.microsoft.com/office/drawing/2014/main" id="{1157853C-D8E5-4D66-BAA4-831D01BF7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V="1">
          <a:off x="6944334" y="5221624"/>
          <a:ext cx="503773" cy="419097"/>
        </a:xfrm>
        <a:prstGeom prst="rect">
          <a:avLst/>
        </a:prstGeom>
      </xdr:spPr>
    </xdr:pic>
    <xdr:clientData/>
  </xdr:twoCellAnchor>
  <xdr:oneCellAnchor>
    <xdr:from>
      <xdr:col>9</xdr:col>
      <xdr:colOff>1948540</xdr:colOff>
      <xdr:row>54</xdr:row>
      <xdr:rowOff>76199</xdr:rowOff>
    </xdr:from>
    <xdr:ext cx="718582" cy="457769"/>
    <xdr:pic>
      <xdr:nvPicPr>
        <xdr:cNvPr id="123" name="図 122">
          <a:extLst>
            <a:ext uri="{FF2B5EF4-FFF2-40B4-BE49-F238E27FC236}">
              <a16:creationId xmlns:a16="http://schemas.microsoft.com/office/drawing/2014/main" id="{8647A585-76BF-4EAD-B2F2-8AA31F4AF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9853468" flipV="1">
          <a:off x="9930490" y="13620749"/>
          <a:ext cx="718582" cy="457769"/>
        </a:xfrm>
        <a:prstGeom prst="rect">
          <a:avLst/>
        </a:prstGeom>
      </xdr:spPr>
    </xdr:pic>
    <xdr:clientData/>
  </xdr:oneCellAnchor>
  <xdr:oneCellAnchor>
    <xdr:from>
      <xdr:col>5</xdr:col>
      <xdr:colOff>87086</xdr:colOff>
      <xdr:row>13</xdr:row>
      <xdr:rowOff>141514</xdr:rowOff>
    </xdr:from>
    <xdr:ext cx="357776" cy="480185"/>
    <xdr:pic>
      <xdr:nvPicPr>
        <xdr:cNvPr id="124" name="図 123">
          <a:extLst>
            <a:ext uri="{FF2B5EF4-FFF2-40B4-BE49-F238E27FC236}">
              <a16:creationId xmlns:a16="http://schemas.microsoft.com/office/drawing/2014/main" id="{D15D8E62-83A0-4C36-92BE-A1402CE15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756415" flipH="1" flipV="1">
          <a:off x="4355834" y="3896178"/>
          <a:ext cx="480185" cy="35777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20934</xdr:colOff>
      <xdr:row>1</xdr:row>
      <xdr:rowOff>0</xdr:rowOff>
    </xdr:from>
    <xdr:to>
      <xdr:col>8</xdr:col>
      <xdr:colOff>293076</xdr:colOff>
      <xdr:row>21</xdr:row>
      <xdr:rowOff>150767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0A7E27F-1FC1-4F9E-8E70-77368C5F33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348"/>
        <a:stretch/>
      </xdr:blipFill>
      <xdr:spPr>
        <a:xfrm>
          <a:off x="8181954" y="228600"/>
          <a:ext cx="272142" cy="472276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11995</xdr:rowOff>
    </xdr:from>
    <xdr:to>
      <xdr:col>8</xdr:col>
      <xdr:colOff>268040</xdr:colOff>
      <xdr:row>60</xdr:row>
      <xdr:rowOff>205761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2E58143-D286-4838-8BCA-DC200223D8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999" t="6250" r="1666" b="21381"/>
        <a:stretch/>
      </xdr:blipFill>
      <xdr:spPr>
        <a:xfrm>
          <a:off x="8161020" y="9613195"/>
          <a:ext cx="268040" cy="4308566"/>
        </a:xfrm>
        <a:prstGeom prst="rect">
          <a:avLst/>
        </a:prstGeom>
      </xdr:spPr>
    </xdr:pic>
    <xdr:clientData/>
  </xdr:twoCellAnchor>
  <xdr:twoCellAnchor editAs="oneCell">
    <xdr:from>
      <xdr:col>8</xdr:col>
      <xdr:colOff>20934</xdr:colOff>
      <xdr:row>21</xdr:row>
      <xdr:rowOff>121284</xdr:rowOff>
    </xdr:from>
    <xdr:to>
      <xdr:col>8</xdr:col>
      <xdr:colOff>306140</xdr:colOff>
      <xdr:row>42</xdr:row>
      <xdr:rowOff>12866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4C9FC93-850F-49FD-A684-F7EB8E061E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3" t="6856" r="-7500" b="19385"/>
        <a:stretch/>
      </xdr:blipFill>
      <xdr:spPr>
        <a:xfrm>
          <a:off x="8181954" y="4921884"/>
          <a:ext cx="285206" cy="469218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318379</xdr:colOff>
      <xdr:row>21</xdr:row>
      <xdr:rowOff>148294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E8A62A2-6F25-48DB-A47F-FC8A0936EF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348"/>
        <a:stretch/>
      </xdr:blipFill>
      <xdr:spPr>
        <a:xfrm flipH="1">
          <a:off x="8831580" y="228600"/>
          <a:ext cx="318379" cy="4720294"/>
        </a:xfrm>
        <a:prstGeom prst="rect">
          <a:avLst/>
        </a:prstGeom>
      </xdr:spPr>
    </xdr:pic>
    <xdr:clientData/>
  </xdr:twoCellAnchor>
  <xdr:twoCellAnchor editAs="oneCell">
    <xdr:from>
      <xdr:col>9</xdr:col>
      <xdr:colOff>40820</xdr:colOff>
      <xdr:row>40</xdr:row>
      <xdr:rowOff>79213</xdr:rowOff>
    </xdr:from>
    <xdr:to>
      <xdr:col>9</xdr:col>
      <xdr:colOff>362490</xdr:colOff>
      <xdr:row>60</xdr:row>
      <xdr:rowOff>192674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0AB1F6D-F3AB-4196-85F1-E8896D160D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999" t="6250" r="1666" b="21381"/>
        <a:stretch/>
      </xdr:blipFill>
      <xdr:spPr>
        <a:xfrm flipH="1">
          <a:off x="8872400" y="9223213"/>
          <a:ext cx="321670" cy="468546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111179</xdr:rowOff>
    </xdr:from>
    <xdr:to>
      <xdr:col>9</xdr:col>
      <xdr:colOff>320433</xdr:colOff>
      <xdr:row>40</xdr:row>
      <xdr:rowOff>126715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D5602E2-EA5F-4BE5-B28B-B41F10DBAC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3" t="6856" r="-7500" b="19385"/>
        <a:stretch/>
      </xdr:blipFill>
      <xdr:spPr>
        <a:xfrm flipH="1">
          <a:off x="8831580" y="4911779"/>
          <a:ext cx="320433" cy="43589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11</xdr:col>
      <xdr:colOff>354874</xdr:colOff>
      <xdr:row>5</xdr:row>
      <xdr:rowOff>134038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AADE748-9D44-4B89-AF05-428B6B01C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2140" y="457200"/>
          <a:ext cx="1025434" cy="81983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11</xdr:col>
      <xdr:colOff>92719</xdr:colOff>
      <xdr:row>9</xdr:row>
      <xdr:rowOff>76771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F967C5A-24D1-432C-9F87-AEA2856E9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9502140" y="1600200"/>
          <a:ext cx="763279" cy="53397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11</xdr:col>
      <xdr:colOff>85205</xdr:colOff>
      <xdr:row>14</xdr:row>
      <xdr:rowOff>227414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C121F75-7829-4B58-91FF-8C570E39F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2140" y="2743200"/>
          <a:ext cx="755765" cy="68461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587840</xdr:colOff>
      <xdr:row>4</xdr:row>
      <xdr:rowOff>44068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53E7FAB-AAAF-47ED-A545-83611702C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080061" flipV="1">
          <a:off x="10843260" y="457200"/>
          <a:ext cx="587840" cy="50126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590007</xdr:colOff>
      <xdr:row>8</xdr:row>
      <xdr:rowOff>206038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9C9F1EE-87E1-4BFD-BE70-B5756A470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>
          <a:off x="10843260" y="1371600"/>
          <a:ext cx="590007" cy="663238"/>
        </a:xfrm>
        <a:prstGeom prst="rect">
          <a:avLst/>
        </a:prstGeom>
      </xdr:spPr>
    </xdr:pic>
    <xdr:clientData/>
  </xdr:twoCellAnchor>
  <xdr:twoCellAnchor editAs="oneCell">
    <xdr:from>
      <xdr:col>10</xdr:col>
      <xdr:colOff>121920</xdr:colOff>
      <xdr:row>17</xdr:row>
      <xdr:rowOff>30480</xdr:rowOff>
    </xdr:from>
    <xdr:to>
      <xdr:col>11</xdr:col>
      <xdr:colOff>91853</xdr:colOff>
      <xdr:row>20</xdr:row>
      <xdr:rowOff>20475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433264D-F885-4B6A-AA45-15A8DCA3B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4499338" flipV="1">
          <a:off x="9606409" y="3934331"/>
          <a:ext cx="675795" cy="64049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478905</xdr:colOff>
      <xdr:row>12</xdr:row>
      <xdr:rowOff>145992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AF9B163-9A1B-43A9-88F6-FEA1E451E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423612" flipH="1">
          <a:off x="10843260" y="2514600"/>
          <a:ext cx="478905" cy="3745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316402</xdr:colOff>
      <xdr:row>2</xdr:row>
      <xdr:rowOff>338523</xdr:rowOff>
    </xdr:from>
    <xdr:to>
      <xdr:col>7</xdr:col>
      <xdr:colOff>116470</xdr:colOff>
      <xdr:row>3</xdr:row>
      <xdr:rowOff>148022</xdr:rowOff>
    </xdr:to>
    <xdr:sp macro="" textlink="">
      <xdr:nvSpPr>
        <xdr:cNvPr id="17" name="十字形 16">
          <a:extLst>
            <a:ext uri="{FF2B5EF4-FFF2-40B4-BE49-F238E27FC236}">
              <a16:creationId xmlns:a16="http://schemas.microsoft.com/office/drawing/2014/main" id="{8808EE2F-9888-43E7-8458-C17D2845636D}"/>
            </a:ext>
          </a:extLst>
        </xdr:cNvPr>
        <xdr:cNvSpPr/>
      </xdr:nvSpPr>
      <xdr:spPr>
        <a:xfrm>
          <a:off x="6371581" y="1209380"/>
          <a:ext cx="235496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277091</xdr:colOff>
      <xdr:row>2</xdr:row>
      <xdr:rowOff>286987</xdr:rowOff>
    </xdr:from>
    <xdr:to>
      <xdr:col>4</xdr:col>
      <xdr:colOff>138630</xdr:colOff>
      <xdr:row>3</xdr:row>
      <xdr:rowOff>130104</xdr:rowOff>
    </xdr:to>
    <xdr:sp macro="" textlink="">
      <xdr:nvSpPr>
        <xdr:cNvPr id="18" name="次の値と等しい 17">
          <a:extLst>
            <a:ext uri="{FF2B5EF4-FFF2-40B4-BE49-F238E27FC236}">
              <a16:creationId xmlns:a16="http://schemas.microsoft.com/office/drawing/2014/main" id="{E78FC7C2-4095-42F8-AB43-A89230C8C024}"/>
            </a:ext>
          </a:extLst>
        </xdr:cNvPr>
        <xdr:cNvSpPr/>
      </xdr:nvSpPr>
      <xdr:spPr>
        <a:xfrm>
          <a:off x="3120984" y="1157844"/>
          <a:ext cx="296967" cy="278546"/>
        </a:xfrm>
        <a:prstGeom prst="mathEqual">
          <a:avLst>
            <a:gd name="adj1" fmla="val 8928"/>
            <a:gd name="adj2" fmla="val 21487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340152</xdr:colOff>
      <xdr:row>2</xdr:row>
      <xdr:rowOff>307845</xdr:rowOff>
    </xdr:from>
    <xdr:to>
      <xdr:col>10</xdr:col>
      <xdr:colOff>140220</xdr:colOff>
      <xdr:row>3</xdr:row>
      <xdr:rowOff>117344</xdr:rowOff>
    </xdr:to>
    <xdr:sp macro="" textlink="">
      <xdr:nvSpPr>
        <xdr:cNvPr id="19" name="十字形 18">
          <a:extLst>
            <a:ext uri="{FF2B5EF4-FFF2-40B4-BE49-F238E27FC236}">
              <a16:creationId xmlns:a16="http://schemas.microsoft.com/office/drawing/2014/main" id="{4046E4F9-BD9C-B15D-6C09-A82B29EB7463}"/>
            </a:ext>
          </a:extLst>
        </xdr:cNvPr>
        <xdr:cNvSpPr/>
      </xdr:nvSpPr>
      <xdr:spPr>
        <a:xfrm>
          <a:off x="9606616" y="1178702"/>
          <a:ext cx="235497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336688</xdr:colOff>
      <xdr:row>2</xdr:row>
      <xdr:rowOff>317989</xdr:rowOff>
    </xdr:from>
    <xdr:to>
      <xdr:col>13</xdr:col>
      <xdr:colOff>136757</xdr:colOff>
      <xdr:row>3</xdr:row>
      <xdr:rowOff>127488</xdr:rowOff>
    </xdr:to>
    <xdr:sp macro="" textlink="">
      <xdr:nvSpPr>
        <xdr:cNvPr id="20" name="十字形 19">
          <a:extLst>
            <a:ext uri="{FF2B5EF4-FFF2-40B4-BE49-F238E27FC236}">
              <a16:creationId xmlns:a16="http://schemas.microsoft.com/office/drawing/2014/main" id="{DAC9AFA7-E2BB-1241-9710-62A2DC54B079}"/>
            </a:ext>
          </a:extLst>
        </xdr:cNvPr>
        <xdr:cNvSpPr/>
      </xdr:nvSpPr>
      <xdr:spPr>
        <a:xfrm>
          <a:off x="12814438" y="1188846"/>
          <a:ext cx="235498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360438</xdr:colOff>
      <xdr:row>2</xdr:row>
      <xdr:rowOff>314524</xdr:rowOff>
    </xdr:from>
    <xdr:to>
      <xdr:col>16</xdr:col>
      <xdr:colOff>160507</xdr:colOff>
      <xdr:row>3</xdr:row>
      <xdr:rowOff>124023</xdr:rowOff>
    </xdr:to>
    <xdr:sp macro="" textlink="">
      <xdr:nvSpPr>
        <xdr:cNvPr id="21" name="十字形 20">
          <a:extLst>
            <a:ext uri="{FF2B5EF4-FFF2-40B4-BE49-F238E27FC236}">
              <a16:creationId xmlns:a16="http://schemas.microsoft.com/office/drawing/2014/main" id="{5CC31BE6-97E6-37C2-92BA-B081C4CF7DA4}"/>
            </a:ext>
          </a:extLst>
        </xdr:cNvPr>
        <xdr:cNvSpPr/>
      </xdr:nvSpPr>
      <xdr:spPr>
        <a:xfrm>
          <a:off x="16049474" y="1185381"/>
          <a:ext cx="235497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323574</xdr:colOff>
      <xdr:row>5</xdr:row>
      <xdr:rowOff>311061</xdr:rowOff>
    </xdr:from>
    <xdr:to>
      <xdr:col>16</xdr:col>
      <xdr:colOff>123643</xdr:colOff>
      <xdr:row>6</xdr:row>
      <xdr:rowOff>120561</xdr:rowOff>
    </xdr:to>
    <xdr:sp macro="" textlink="">
      <xdr:nvSpPr>
        <xdr:cNvPr id="22" name="十字形 21">
          <a:extLst>
            <a:ext uri="{FF2B5EF4-FFF2-40B4-BE49-F238E27FC236}">
              <a16:creationId xmlns:a16="http://schemas.microsoft.com/office/drawing/2014/main" id="{9AEA527D-97F3-CA21-8510-20A04C6A46CA}"/>
            </a:ext>
          </a:extLst>
        </xdr:cNvPr>
        <xdr:cNvSpPr/>
      </xdr:nvSpPr>
      <xdr:spPr>
        <a:xfrm>
          <a:off x="16012610" y="2488204"/>
          <a:ext cx="235497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333716</xdr:colOff>
      <xdr:row>5</xdr:row>
      <xdr:rowOff>301412</xdr:rowOff>
    </xdr:from>
    <xdr:to>
      <xdr:col>13</xdr:col>
      <xdr:colOff>133785</xdr:colOff>
      <xdr:row>6</xdr:row>
      <xdr:rowOff>110912</xdr:rowOff>
    </xdr:to>
    <xdr:sp macro="" textlink="">
      <xdr:nvSpPr>
        <xdr:cNvPr id="23" name="十字形 22">
          <a:extLst>
            <a:ext uri="{FF2B5EF4-FFF2-40B4-BE49-F238E27FC236}">
              <a16:creationId xmlns:a16="http://schemas.microsoft.com/office/drawing/2014/main" id="{C4341EAE-5D53-061C-E334-B78CC138A4EF}"/>
            </a:ext>
          </a:extLst>
        </xdr:cNvPr>
        <xdr:cNvSpPr/>
      </xdr:nvSpPr>
      <xdr:spPr>
        <a:xfrm>
          <a:off x="12811466" y="2478555"/>
          <a:ext cx="235498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303038</xdr:colOff>
      <xdr:row>5</xdr:row>
      <xdr:rowOff>318978</xdr:rowOff>
    </xdr:from>
    <xdr:to>
      <xdr:col>10</xdr:col>
      <xdr:colOff>103106</xdr:colOff>
      <xdr:row>6</xdr:row>
      <xdr:rowOff>128478</xdr:rowOff>
    </xdr:to>
    <xdr:sp macro="" textlink="">
      <xdr:nvSpPr>
        <xdr:cNvPr id="24" name="十字形 23">
          <a:extLst>
            <a:ext uri="{FF2B5EF4-FFF2-40B4-BE49-F238E27FC236}">
              <a16:creationId xmlns:a16="http://schemas.microsoft.com/office/drawing/2014/main" id="{F97D0DFF-CAD6-46E6-0EDE-CE80AF081FFC}"/>
            </a:ext>
          </a:extLst>
        </xdr:cNvPr>
        <xdr:cNvSpPr/>
      </xdr:nvSpPr>
      <xdr:spPr>
        <a:xfrm>
          <a:off x="9569502" y="2496121"/>
          <a:ext cx="235497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313180</xdr:colOff>
      <xdr:row>5</xdr:row>
      <xdr:rowOff>322937</xdr:rowOff>
    </xdr:from>
    <xdr:to>
      <xdr:col>7</xdr:col>
      <xdr:colOff>113248</xdr:colOff>
      <xdr:row>6</xdr:row>
      <xdr:rowOff>132437</xdr:rowOff>
    </xdr:to>
    <xdr:sp macro="" textlink="">
      <xdr:nvSpPr>
        <xdr:cNvPr id="25" name="十字形 24">
          <a:extLst>
            <a:ext uri="{FF2B5EF4-FFF2-40B4-BE49-F238E27FC236}">
              <a16:creationId xmlns:a16="http://schemas.microsoft.com/office/drawing/2014/main" id="{86746914-2EB5-0C99-9B12-D55ACD786777}"/>
            </a:ext>
          </a:extLst>
        </xdr:cNvPr>
        <xdr:cNvSpPr/>
      </xdr:nvSpPr>
      <xdr:spPr>
        <a:xfrm>
          <a:off x="6368359" y="2500080"/>
          <a:ext cx="235496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273628</xdr:colOff>
      <xdr:row>5</xdr:row>
      <xdr:rowOff>184563</xdr:rowOff>
    </xdr:from>
    <xdr:to>
      <xdr:col>4</xdr:col>
      <xdr:colOff>135167</xdr:colOff>
      <xdr:row>6</xdr:row>
      <xdr:rowOff>27681</xdr:rowOff>
    </xdr:to>
    <xdr:sp macro="" textlink="">
      <xdr:nvSpPr>
        <xdr:cNvPr id="26" name="次の値と等しい 25">
          <a:extLst>
            <a:ext uri="{FF2B5EF4-FFF2-40B4-BE49-F238E27FC236}">
              <a16:creationId xmlns:a16="http://schemas.microsoft.com/office/drawing/2014/main" id="{2335715A-6325-A0D1-64AF-AD971EAB59E6}"/>
            </a:ext>
          </a:extLst>
        </xdr:cNvPr>
        <xdr:cNvSpPr/>
      </xdr:nvSpPr>
      <xdr:spPr>
        <a:xfrm>
          <a:off x="3117521" y="2361706"/>
          <a:ext cx="296967" cy="278546"/>
        </a:xfrm>
        <a:prstGeom prst="mathEqual">
          <a:avLst>
            <a:gd name="adj1" fmla="val 8928"/>
            <a:gd name="adj2" fmla="val 21487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353785</xdr:colOff>
      <xdr:row>7</xdr:row>
      <xdr:rowOff>54429</xdr:rowOff>
    </xdr:from>
    <xdr:to>
      <xdr:col>8</xdr:col>
      <xdr:colOff>1823357</xdr:colOff>
      <xdr:row>8</xdr:row>
      <xdr:rowOff>108857</xdr:rowOff>
    </xdr:to>
    <xdr:sp macro="" textlink="">
      <xdr:nvSpPr>
        <xdr:cNvPr id="2" name="矢印: 下 1">
          <a:extLst>
            <a:ext uri="{FF2B5EF4-FFF2-40B4-BE49-F238E27FC236}">
              <a16:creationId xmlns:a16="http://schemas.microsoft.com/office/drawing/2014/main" id="{3979B278-E6CF-2688-5D43-95FF48293AE3}"/>
            </a:ext>
          </a:extLst>
        </xdr:cNvPr>
        <xdr:cNvSpPr/>
      </xdr:nvSpPr>
      <xdr:spPr>
        <a:xfrm>
          <a:off x="7279821" y="3102429"/>
          <a:ext cx="1469572" cy="340178"/>
        </a:xfrm>
        <a:prstGeom prst="down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内訳</a:t>
          </a:r>
        </a:p>
      </xdr:txBody>
    </xdr:sp>
    <xdr:clientData/>
  </xdr:twoCellAnchor>
  <xdr:twoCellAnchor>
    <xdr:from>
      <xdr:col>11</xdr:col>
      <xdr:colOff>424543</xdr:colOff>
      <xdr:row>7</xdr:row>
      <xdr:rowOff>43543</xdr:rowOff>
    </xdr:from>
    <xdr:to>
      <xdr:col>11</xdr:col>
      <xdr:colOff>1894115</xdr:colOff>
      <xdr:row>8</xdr:row>
      <xdr:rowOff>97971</xdr:rowOff>
    </xdr:to>
    <xdr:sp macro="" textlink="">
      <xdr:nvSpPr>
        <xdr:cNvPr id="3" name="矢印: 下 2">
          <a:extLst>
            <a:ext uri="{FF2B5EF4-FFF2-40B4-BE49-F238E27FC236}">
              <a16:creationId xmlns:a16="http://schemas.microsoft.com/office/drawing/2014/main" id="{CB163DF3-A605-A9DF-232E-4DA0EE9E2085}"/>
            </a:ext>
          </a:extLst>
        </xdr:cNvPr>
        <xdr:cNvSpPr/>
      </xdr:nvSpPr>
      <xdr:spPr>
        <a:xfrm>
          <a:off x="10561864" y="3091543"/>
          <a:ext cx="1469572" cy="571499"/>
        </a:xfrm>
        <a:prstGeom prst="down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内訳</a:t>
          </a:r>
        </a:p>
      </xdr:txBody>
    </xdr:sp>
    <xdr:clientData/>
  </xdr:twoCellAnchor>
  <xdr:twoCellAnchor>
    <xdr:from>
      <xdr:col>0</xdr:col>
      <xdr:colOff>598716</xdr:colOff>
      <xdr:row>12</xdr:row>
      <xdr:rowOff>163286</xdr:rowOff>
    </xdr:from>
    <xdr:to>
      <xdr:col>5</xdr:col>
      <xdr:colOff>1796144</xdr:colOff>
      <xdr:row>21</xdr:row>
      <xdr:rowOff>408216</xdr:rowOff>
    </xdr:to>
    <xdr:sp macro="" textlink="">
      <xdr:nvSpPr>
        <xdr:cNvPr id="4" name="四角形: 1 つの角を丸める 3">
          <a:extLst>
            <a:ext uri="{FF2B5EF4-FFF2-40B4-BE49-F238E27FC236}">
              <a16:creationId xmlns:a16="http://schemas.microsoft.com/office/drawing/2014/main" id="{32C673B6-4C64-886A-EA49-976FA9564321}"/>
            </a:ext>
          </a:extLst>
        </xdr:cNvPr>
        <xdr:cNvSpPr/>
      </xdr:nvSpPr>
      <xdr:spPr>
        <a:xfrm>
          <a:off x="598716" y="4844143"/>
          <a:ext cx="5075464" cy="3224894"/>
        </a:xfrm>
        <a:prstGeom prst="round1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「収支差」が意味するところは、</a:t>
          </a:r>
          <a:endParaRPr lang="ja-JP" altLang="ja-JP" sz="2000">
            <a:solidFill>
              <a:sysClr val="windowText" lastClr="000000"/>
            </a:solidFill>
            <a:effectLst/>
          </a:endParaRPr>
        </a:p>
        <a:p>
          <a:r>
            <a:rPr kumimoji="1" lang="ja-JP" altLang="ja-JP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１９万２</a:t>
          </a:r>
          <a:r>
            <a:rPr kumimoji="1" lang="en-US" altLang="ja-JP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kumimoji="1" lang="ja-JP" altLang="ja-JP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６３１円の赤字</a:t>
          </a:r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です。</a:t>
          </a:r>
          <a:endParaRPr kumimoji="1" lang="en-US" altLang="ja-JP" sz="20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ja-JP" altLang="ja-JP" sz="2000">
            <a:solidFill>
              <a:sysClr val="windowText" lastClr="000000"/>
            </a:solidFill>
            <a:effectLst/>
          </a:endParaRPr>
        </a:p>
        <a:p>
          <a:r>
            <a:rPr kumimoji="1" lang="en-US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ちなみに令和元年（</a:t>
          </a:r>
          <a:r>
            <a:rPr kumimoji="1" lang="en-US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2019</a:t>
          </a:r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年）度も</a:t>
          </a:r>
          <a:endParaRPr lang="ja-JP" altLang="ja-JP" sz="2000">
            <a:solidFill>
              <a:sysClr val="windowText" lastClr="000000"/>
            </a:solidFill>
            <a:effectLst/>
          </a:endParaRPr>
        </a:p>
        <a:p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ja-JP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約５万３千円ほど赤字</a:t>
          </a:r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でした。</a:t>
          </a:r>
          <a:endParaRPr lang="ja-JP" altLang="ja-JP" sz="2000">
            <a:solidFill>
              <a:sysClr val="windowText" lastClr="000000"/>
            </a:solidFill>
            <a:effectLst/>
          </a:endParaRPr>
        </a:p>
        <a:p>
          <a:pPr algn="r"/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（会計：橋本）</a:t>
          </a:r>
          <a:endParaRPr lang="ja-JP" altLang="ja-JP" sz="2000">
            <a:solidFill>
              <a:sysClr val="windowText" lastClr="000000"/>
            </a:solidFill>
            <a:effectLst/>
          </a:endParaRPr>
        </a:p>
        <a:p>
          <a:pPr algn="l"/>
          <a:endParaRPr kumimoji="1" lang="ja-JP" altLang="en-US" sz="20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CB0C-7EEF-4029-8104-DD8B5FB771C8}">
  <sheetPr>
    <pageSetUpPr fitToPage="1"/>
  </sheetPr>
  <dimension ref="C1:J65"/>
  <sheetViews>
    <sheetView view="pageBreakPreview" topLeftCell="A13" zoomScale="85" zoomScaleNormal="80" zoomScaleSheetLayoutView="85" workbookViewId="0">
      <selection activeCell="D27" sqref="C27:D27"/>
    </sheetView>
  </sheetViews>
  <sheetFormatPr defaultColWidth="9" defaultRowHeight="12.6"/>
  <cols>
    <col min="1" max="1" width="7.69921875" style="51" customWidth="1"/>
    <col min="2" max="2" width="5.59765625" style="51" customWidth="1"/>
    <col min="3" max="3" width="4" style="65" customWidth="1"/>
    <col min="4" max="4" width="33.59765625" style="51" customWidth="1"/>
    <col min="5" max="5" width="3.8984375" style="51" customWidth="1"/>
    <col min="6" max="6" width="4" style="65" customWidth="1"/>
    <col min="7" max="7" width="34.69921875" style="51" customWidth="1"/>
    <col min="8" max="8" width="3.69921875" style="51" customWidth="1"/>
    <col min="9" max="9" width="4" style="65" customWidth="1"/>
    <col min="10" max="10" width="31.19921875" style="51" customWidth="1"/>
    <col min="11" max="11" width="4.59765625" style="51" customWidth="1"/>
    <col min="12" max="16384" width="9" style="51"/>
  </cols>
  <sheetData>
    <row r="1" spans="3:10" ht="36" customHeight="1">
      <c r="C1" s="311" t="s">
        <v>105</v>
      </c>
      <c r="D1" s="311"/>
      <c r="E1" s="84"/>
      <c r="F1" s="311" t="s">
        <v>116</v>
      </c>
      <c r="G1" s="311"/>
      <c r="I1" s="311" t="s">
        <v>117</v>
      </c>
      <c r="J1" s="311"/>
    </row>
    <row r="2" spans="3:10" s="50" customFormat="1" ht="20.100000000000001" customHeight="1">
      <c r="C2" s="312"/>
      <c r="D2" s="312"/>
      <c r="E2" s="86"/>
      <c r="F2" s="89" t="s">
        <v>192</v>
      </c>
      <c r="G2" s="87" t="s">
        <v>112</v>
      </c>
      <c r="H2" s="86"/>
      <c r="I2" s="312"/>
      <c r="J2" s="312"/>
    </row>
    <row r="3" spans="3:10" ht="20.100000000000001" customHeight="1">
      <c r="C3" s="87"/>
      <c r="D3" s="86"/>
      <c r="E3" s="86"/>
      <c r="F3" s="89" t="s">
        <v>193</v>
      </c>
      <c r="G3" s="87" t="s">
        <v>251</v>
      </c>
      <c r="H3" s="101"/>
      <c r="I3" s="89"/>
      <c r="J3" s="86"/>
    </row>
    <row r="4" spans="3:10" ht="20.100000000000001" customHeight="1">
      <c r="C4" s="87"/>
      <c r="D4" s="86"/>
      <c r="E4" s="86"/>
      <c r="F4" s="87"/>
      <c r="G4" s="90" t="s">
        <v>119</v>
      </c>
      <c r="H4" s="86"/>
      <c r="I4" s="103"/>
      <c r="J4" s="86"/>
    </row>
    <row r="5" spans="3:10" ht="20.100000000000001" customHeight="1">
      <c r="C5" s="87"/>
      <c r="D5" s="86"/>
      <c r="E5" s="86"/>
      <c r="F5" s="91"/>
      <c r="G5" s="90" t="s">
        <v>252</v>
      </c>
      <c r="H5" s="86"/>
      <c r="I5" s="87"/>
      <c r="J5" s="86"/>
    </row>
    <row r="6" spans="3:10" ht="20.100000000000001" customHeight="1">
      <c r="C6" s="268" t="s">
        <v>243</v>
      </c>
      <c r="D6" s="86" t="s">
        <v>244</v>
      </c>
      <c r="E6" s="86"/>
      <c r="F6" s="91"/>
      <c r="G6" s="148" t="s">
        <v>231</v>
      </c>
      <c r="H6" s="86"/>
      <c r="I6" s="87"/>
      <c r="J6" s="86"/>
    </row>
    <row r="7" spans="3:10" ht="20.100000000000001" customHeight="1">
      <c r="C7" s="92"/>
      <c r="D7" s="319" t="s">
        <v>265</v>
      </c>
      <c r="E7" s="93"/>
      <c r="F7" s="92"/>
      <c r="G7" s="94"/>
      <c r="H7" s="86"/>
      <c r="I7" s="211"/>
      <c r="J7" s="212"/>
    </row>
    <row r="8" spans="3:10" ht="20.100000000000001" customHeight="1">
      <c r="C8" s="95" t="s">
        <v>192</v>
      </c>
      <c r="D8" s="96" t="s">
        <v>267</v>
      </c>
      <c r="E8" s="88"/>
      <c r="F8" s="89" t="s">
        <v>192</v>
      </c>
      <c r="G8" s="97" t="s">
        <v>182</v>
      </c>
      <c r="H8" s="210"/>
      <c r="I8" s="213"/>
      <c r="J8" s="214"/>
    </row>
    <row r="9" spans="3:10" ht="20.100000000000001" customHeight="1">
      <c r="C9" s="99"/>
      <c r="D9" s="100"/>
      <c r="E9" s="86"/>
      <c r="F9" s="87"/>
      <c r="G9" s="90" t="s">
        <v>224</v>
      </c>
      <c r="H9" s="101"/>
      <c r="I9" s="87"/>
      <c r="J9" s="101"/>
    </row>
    <row r="10" spans="3:10" ht="20.100000000000001" customHeight="1">
      <c r="C10" s="99"/>
      <c r="D10" s="100"/>
      <c r="E10" s="86"/>
      <c r="F10" s="87"/>
      <c r="G10" s="86"/>
      <c r="H10" s="86"/>
      <c r="I10" s="87"/>
      <c r="J10" s="86"/>
    </row>
    <row r="11" spans="3:10" ht="20.100000000000001" customHeight="1">
      <c r="C11" s="99"/>
      <c r="D11" s="100"/>
      <c r="E11" s="86"/>
      <c r="F11" s="87"/>
      <c r="G11" s="86"/>
      <c r="H11" s="86"/>
      <c r="I11" s="89"/>
      <c r="J11" s="86"/>
    </row>
    <row r="12" spans="3:10" ht="20.100000000000001" customHeight="1">
      <c r="C12" s="99"/>
      <c r="D12" s="100"/>
      <c r="E12" s="86"/>
      <c r="F12" s="87"/>
      <c r="G12" s="86"/>
      <c r="H12" s="86"/>
      <c r="I12" s="87"/>
      <c r="J12" s="86"/>
    </row>
    <row r="13" spans="3:10" ht="20.100000000000001" customHeight="1">
      <c r="C13" s="99"/>
      <c r="D13" s="100"/>
      <c r="E13" s="86"/>
      <c r="F13" s="211"/>
      <c r="G13" s="212"/>
      <c r="H13" s="212"/>
      <c r="I13" s="211"/>
      <c r="J13" s="212"/>
    </row>
    <row r="14" spans="3:10" ht="20.100000000000001" customHeight="1">
      <c r="C14" s="276"/>
      <c r="D14" s="277"/>
      <c r="E14" s="86"/>
      <c r="F14" s="211"/>
      <c r="G14" s="212"/>
      <c r="H14" s="215"/>
      <c r="I14" s="211"/>
      <c r="J14" s="212"/>
    </row>
    <row r="15" spans="3:10" ht="20.100000000000001" customHeight="1">
      <c r="C15" s="202"/>
      <c r="D15" s="102"/>
      <c r="E15" s="86"/>
      <c r="F15" s="221"/>
      <c r="G15" s="212"/>
      <c r="H15" s="212"/>
      <c r="I15" s="274"/>
      <c r="J15" s="275"/>
    </row>
    <row r="16" spans="3:10" ht="20.100000000000001" customHeight="1">
      <c r="C16" s="103"/>
      <c r="D16" s="86" t="s">
        <v>166</v>
      </c>
      <c r="E16" s="86"/>
      <c r="F16" s="103"/>
      <c r="G16" s="86"/>
      <c r="H16" s="86"/>
      <c r="I16" s="87"/>
      <c r="J16" s="86"/>
    </row>
    <row r="17" spans="3:10" ht="20.100000000000001" customHeight="1">
      <c r="C17" s="103"/>
      <c r="D17" s="86"/>
      <c r="E17" s="86"/>
      <c r="F17" s="103"/>
      <c r="G17" s="86"/>
      <c r="H17" s="86"/>
      <c r="I17" s="87"/>
      <c r="J17" s="86"/>
    </row>
    <row r="18" spans="3:10" ht="20.100000000000001" customHeight="1">
      <c r="C18" s="278" t="s">
        <v>192</v>
      </c>
      <c r="D18" s="279" t="s">
        <v>266</v>
      </c>
      <c r="E18" s="275"/>
      <c r="F18" s="280"/>
      <c r="G18" s="281"/>
      <c r="H18" s="275"/>
      <c r="I18" s="274"/>
      <c r="J18" s="275"/>
    </row>
    <row r="19" spans="3:10" ht="20.100000000000001" customHeight="1">
      <c r="C19" s="99"/>
      <c r="D19" s="100"/>
      <c r="E19" s="104"/>
      <c r="F19" s="89"/>
      <c r="G19" s="105"/>
      <c r="H19" s="105"/>
      <c r="I19" s="282"/>
      <c r="J19" s="283"/>
    </row>
    <row r="20" spans="3:10" ht="20.100000000000001" customHeight="1">
      <c r="C20" s="99"/>
      <c r="D20" s="306" t="s">
        <v>253</v>
      </c>
      <c r="E20" s="86"/>
      <c r="F20" s="89"/>
      <c r="G20" s="105"/>
      <c r="H20" s="106"/>
      <c r="I20" s="284"/>
      <c r="J20" s="106"/>
    </row>
    <row r="21" spans="3:10" ht="20.100000000000001" customHeight="1">
      <c r="C21" s="107"/>
      <c r="D21" s="108" t="s">
        <v>202</v>
      </c>
      <c r="E21" s="86"/>
      <c r="F21" s="203"/>
      <c r="G21" s="204" t="s">
        <v>311</v>
      </c>
      <c r="H21" s="90"/>
      <c r="I21" s="89"/>
      <c r="J21" s="90"/>
    </row>
    <row r="22" spans="3:10" ht="20.100000000000001" customHeight="1">
      <c r="C22" s="224" t="s">
        <v>194</v>
      </c>
      <c r="D22" s="225" t="s">
        <v>245</v>
      </c>
      <c r="E22" s="212"/>
      <c r="F22" s="224" t="s">
        <v>194</v>
      </c>
      <c r="G22" s="226" t="s">
        <v>177</v>
      </c>
      <c r="H22" s="216"/>
      <c r="I22" s="216"/>
      <c r="J22" s="216"/>
    </row>
    <row r="23" spans="3:10" ht="20.100000000000001" customHeight="1">
      <c r="C23" s="114" t="s">
        <v>192</v>
      </c>
      <c r="D23" s="110" t="s">
        <v>175</v>
      </c>
      <c r="E23" s="101"/>
      <c r="F23" s="109" t="s">
        <v>192</v>
      </c>
      <c r="G23" s="205" t="s">
        <v>178</v>
      </c>
      <c r="H23" s="111"/>
      <c r="I23" s="89"/>
      <c r="J23" s="111"/>
    </row>
    <row r="24" spans="3:10" ht="20.100000000000001" customHeight="1">
      <c r="C24" s="112"/>
      <c r="D24" s="110"/>
      <c r="E24" s="86"/>
      <c r="F24" s="109" t="s">
        <v>201</v>
      </c>
      <c r="G24" s="205" t="s">
        <v>179</v>
      </c>
      <c r="H24" s="113"/>
      <c r="I24" s="217"/>
      <c r="J24" s="299" t="s">
        <v>246</v>
      </c>
    </row>
    <row r="25" spans="3:10" ht="20.100000000000001" customHeight="1">
      <c r="C25" s="112"/>
      <c r="D25" s="110"/>
      <c r="E25" s="111"/>
      <c r="F25" s="109" t="s">
        <v>193</v>
      </c>
      <c r="G25" s="205" t="s">
        <v>180</v>
      </c>
      <c r="H25" s="90"/>
      <c r="I25" s="109" t="s">
        <v>193</v>
      </c>
      <c r="J25" s="205" t="s">
        <v>247</v>
      </c>
    </row>
    <row r="26" spans="3:10" ht="20.100000000000001" customHeight="1" thickBot="1">
      <c r="C26" s="343"/>
      <c r="D26" s="344"/>
      <c r="E26" s="110"/>
      <c r="F26" s="224" t="s">
        <v>194</v>
      </c>
      <c r="G26" s="338" t="s">
        <v>248</v>
      </c>
      <c r="H26" s="216"/>
      <c r="I26" s="228"/>
      <c r="J26" s="228" t="s">
        <v>234</v>
      </c>
    </row>
    <row r="27" spans="3:10" ht="20.100000000000001" customHeight="1">
      <c r="C27" s="346" t="s">
        <v>192</v>
      </c>
      <c r="D27" s="110" t="s">
        <v>176</v>
      </c>
      <c r="E27" s="86"/>
      <c r="F27" s="109" t="s">
        <v>192</v>
      </c>
      <c r="G27" s="339" t="s">
        <v>223</v>
      </c>
      <c r="H27" s="86"/>
      <c r="I27" s="227"/>
      <c r="J27" s="125" t="s">
        <v>235</v>
      </c>
    </row>
    <row r="28" spans="3:10" ht="20.100000000000001" customHeight="1" thickBot="1">
      <c r="C28" s="112"/>
      <c r="D28" s="110"/>
      <c r="E28" s="86"/>
      <c r="F28" s="206"/>
      <c r="G28" s="340" t="s">
        <v>254</v>
      </c>
      <c r="H28" s="86"/>
      <c r="I28" s="209"/>
      <c r="J28" s="115" t="s">
        <v>229</v>
      </c>
    </row>
    <row r="29" spans="3:10" ht="20.100000000000001" customHeight="1">
      <c r="C29" s="117"/>
      <c r="D29" s="118"/>
      <c r="E29" s="86"/>
      <c r="F29" s="207" t="s">
        <v>201</v>
      </c>
      <c r="G29" s="208" t="s">
        <v>181</v>
      </c>
      <c r="H29" s="86"/>
      <c r="I29" s="116" t="s">
        <v>201</v>
      </c>
      <c r="J29" s="119" t="s">
        <v>222</v>
      </c>
    </row>
    <row r="30" spans="3:10" ht="20.100000000000001" customHeight="1">
      <c r="C30" s="117" t="s">
        <v>193</v>
      </c>
      <c r="D30" s="120" t="s">
        <v>268</v>
      </c>
      <c r="E30" s="86"/>
      <c r="F30" s="89"/>
      <c r="G30" s="161" t="s">
        <v>250</v>
      </c>
      <c r="H30" s="105"/>
      <c r="I30" s="116"/>
      <c r="J30" s="119" t="s">
        <v>167</v>
      </c>
    </row>
    <row r="31" spans="3:10" ht="20.100000000000001" customHeight="1">
      <c r="C31" s="342" t="s">
        <v>194</v>
      </c>
      <c r="D31" s="228" t="s">
        <v>312</v>
      </c>
      <c r="E31" s="90"/>
      <c r="F31" s="89"/>
      <c r="G31" s="251" t="s">
        <v>249</v>
      </c>
      <c r="H31" s="105"/>
      <c r="I31" s="116"/>
      <c r="J31" s="119" t="s">
        <v>168</v>
      </c>
    </row>
    <row r="32" spans="3:10" ht="20.100000000000001" customHeight="1">
      <c r="C32" s="343" t="s">
        <v>195</v>
      </c>
      <c r="D32" s="120" t="s">
        <v>313</v>
      </c>
      <c r="E32" s="212"/>
      <c r="F32" s="222"/>
      <c r="G32" s="223"/>
      <c r="H32" s="223"/>
      <c r="I32" s="230"/>
      <c r="J32" s="231" t="s">
        <v>256</v>
      </c>
    </row>
    <row r="33" spans="3:10" ht="20.100000000000001" customHeight="1">
      <c r="C33" s="342" t="s">
        <v>196</v>
      </c>
      <c r="D33" s="120" t="s">
        <v>314</v>
      </c>
      <c r="E33" s="86"/>
      <c r="F33" s="89"/>
      <c r="G33" s="105"/>
      <c r="H33" s="105"/>
      <c r="I33" s="229"/>
      <c r="J33" s="119" t="s">
        <v>255</v>
      </c>
    </row>
    <row r="34" spans="3:10" ht="20.100000000000001" customHeight="1">
      <c r="C34" s="342" t="s">
        <v>197</v>
      </c>
      <c r="D34" s="120" t="s">
        <v>262</v>
      </c>
      <c r="E34" s="86"/>
      <c r="F34" s="89"/>
      <c r="G34" s="105"/>
      <c r="H34" s="105"/>
      <c r="I34" s="220" t="s">
        <v>201</v>
      </c>
      <c r="J34" s="121" t="s">
        <v>191</v>
      </c>
    </row>
    <row r="35" spans="3:10" ht="20.100000000000001" customHeight="1">
      <c r="C35" s="342" t="s">
        <v>193</v>
      </c>
      <c r="D35" s="120" t="s">
        <v>315</v>
      </c>
      <c r="E35" s="86"/>
      <c r="F35" s="89"/>
      <c r="G35" s="105"/>
      <c r="H35" s="105"/>
      <c r="I35" s="122"/>
      <c r="J35" s="105"/>
    </row>
    <row r="36" spans="3:10" ht="20.100000000000001" customHeight="1">
      <c r="C36" s="342" t="s">
        <v>198</v>
      </c>
      <c r="D36" s="228" t="s">
        <v>316</v>
      </c>
      <c r="E36" s="86"/>
      <c r="F36" s="89"/>
      <c r="G36" s="105"/>
      <c r="H36" s="105"/>
      <c r="I36" s="87"/>
      <c r="J36" s="86"/>
    </row>
    <row r="37" spans="3:10" ht="20.100000000000001" customHeight="1">
      <c r="C37" s="343" t="s">
        <v>199</v>
      </c>
      <c r="D37" s="120" t="s">
        <v>317</v>
      </c>
      <c r="E37" s="86"/>
      <c r="F37" s="89"/>
      <c r="G37" s="105"/>
      <c r="H37" s="105"/>
      <c r="I37" s="87"/>
      <c r="J37" s="86"/>
    </row>
    <row r="38" spans="3:10" ht="20.100000000000001" customHeight="1">
      <c r="C38" s="207" t="s">
        <v>193</v>
      </c>
      <c r="D38" s="341" t="s">
        <v>318</v>
      </c>
      <c r="E38" s="86"/>
      <c r="F38" s="89"/>
      <c r="G38" s="105"/>
      <c r="H38" s="105"/>
      <c r="I38" s="87"/>
      <c r="J38" s="86"/>
    </row>
    <row r="39" spans="3:10" ht="20.100000000000001" customHeight="1">
      <c r="C39" s="129"/>
      <c r="D39" s="90"/>
      <c r="E39" s="86"/>
      <c r="F39" s="123"/>
      <c r="G39" s="126" t="s">
        <v>299</v>
      </c>
      <c r="H39" s="86"/>
      <c r="I39" s="87"/>
      <c r="J39" s="86"/>
    </row>
    <row r="40" spans="3:10" ht="20.100000000000001" customHeight="1">
      <c r="C40" s="129"/>
      <c r="D40" s="90"/>
      <c r="E40" s="86"/>
      <c r="F40" s="298" t="s">
        <v>192</v>
      </c>
      <c r="G40" s="233" t="s">
        <v>183</v>
      </c>
      <c r="H40" s="86"/>
      <c r="I40" s="123"/>
      <c r="J40" s="124" t="s">
        <v>230</v>
      </c>
    </row>
    <row r="41" spans="3:10" ht="20.100000000000001" customHeight="1">
      <c r="C41" s="129"/>
      <c r="D41" s="90"/>
      <c r="E41" s="86"/>
      <c r="F41" s="132" t="s">
        <v>201</v>
      </c>
      <c r="G41" s="133" t="s">
        <v>301</v>
      </c>
      <c r="H41" s="88"/>
      <c r="I41" s="127"/>
      <c r="J41" s="294" t="s">
        <v>242</v>
      </c>
    </row>
    <row r="42" spans="3:10" ht="20.100000000000001" customHeight="1">
      <c r="C42" s="129"/>
      <c r="D42" s="90"/>
      <c r="E42" s="86"/>
      <c r="F42" s="132" t="s">
        <v>194</v>
      </c>
      <c r="G42" s="322" t="s">
        <v>302</v>
      </c>
      <c r="H42" s="105"/>
      <c r="I42" s="127" t="s">
        <v>203</v>
      </c>
      <c r="J42" s="128" t="s">
        <v>118</v>
      </c>
    </row>
    <row r="43" spans="3:10" ht="20.100000000000001" customHeight="1">
      <c r="C43" s="129"/>
      <c r="D43" s="90"/>
      <c r="E43" s="86"/>
      <c r="F43" s="137"/>
      <c r="G43" s="133" t="s">
        <v>187</v>
      </c>
      <c r="H43" s="111"/>
      <c r="I43" s="135"/>
      <c r="J43" s="128"/>
    </row>
    <row r="44" spans="3:10" ht="20.100000000000001" customHeight="1">
      <c r="C44" s="129"/>
      <c r="D44" s="90"/>
      <c r="E44" s="86"/>
      <c r="F44" s="137" t="s">
        <v>200</v>
      </c>
      <c r="G44" s="138" t="s">
        <v>303</v>
      </c>
      <c r="H44" s="105"/>
      <c r="I44" s="128"/>
      <c r="J44" s="136"/>
    </row>
    <row r="45" spans="3:10" ht="20.100000000000001" customHeight="1">
      <c r="C45" s="89"/>
      <c r="D45" s="86"/>
      <c r="E45" s="86"/>
      <c r="F45" s="219"/>
      <c r="G45" s="323" t="s">
        <v>300</v>
      </c>
      <c r="H45" s="111"/>
      <c r="I45" s="128"/>
      <c r="J45" s="131"/>
    </row>
    <row r="46" spans="3:10" ht="20.100000000000001" customHeight="1">
      <c r="C46" s="211"/>
      <c r="D46" s="212"/>
      <c r="E46" s="212"/>
      <c r="F46" s="232" t="s">
        <v>204</v>
      </c>
      <c r="G46" s="133" t="s">
        <v>187</v>
      </c>
      <c r="H46" s="212"/>
      <c r="I46" s="234"/>
      <c r="J46" s="235"/>
    </row>
    <row r="47" spans="3:10" ht="20.100000000000001" customHeight="1">
      <c r="C47" s="87"/>
      <c r="D47" s="86"/>
      <c r="E47" s="86"/>
      <c r="F47" s="137" t="s">
        <v>201</v>
      </c>
      <c r="G47" s="138" t="s">
        <v>185</v>
      </c>
      <c r="H47" s="90"/>
      <c r="I47" s="139"/>
      <c r="J47" s="139"/>
    </row>
    <row r="48" spans="3:10" ht="20.100000000000001" customHeight="1">
      <c r="C48" s="87"/>
      <c r="D48" s="86"/>
      <c r="E48" s="86"/>
      <c r="F48" s="134"/>
      <c r="G48" s="323" t="s">
        <v>300</v>
      </c>
      <c r="H48" s="86"/>
      <c r="I48" s="130"/>
      <c r="J48" s="131"/>
    </row>
    <row r="49" spans="3:10" ht="20.100000000000001" customHeight="1">
      <c r="C49" s="87"/>
      <c r="D49" s="86"/>
      <c r="E49" s="86"/>
      <c r="F49" s="137"/>
      <c r="G49" s="143" t="s">
        <v>304</v>
      </c>
      <c r="H49" s="86"/>
      <c r="I49" s="130"/>
      <c r="J49" s="131"/>
    </row>
    <row r="50" spans="3:10" ht="20.100000000000001" customHeight="1">
      <c r="C50" s="87"/>
      <c r="D50" s="86"/>
      <c r="E50" s="86"/>
      <c r="F50" s="137"/>
      <c r="G50" s="138"/>
      <c r="H50" s="90"/>
      <c r="I50" s="139"/>
      <c r="J50" s="139"/>
    </row>
    <row r="51" spans="3:10" ht="20.100000000000001" customHeight="1">
      <c r="C51" s="211"/>
      <c r="D51" s="212"/>
      <c r="E51" s="212"/>
      <c r="F51" s="234"/>
      <c r="G51" s="235"/>
      <c r="H51" s="236"/>
      <c r="I51" s="237"/>
      <c r="J51" s="238"/>
    </row>
    <row r="52" spans="3:10" ht="20.100000000000001" customHeight="1">
      <c r="C52" s="87"/>
      <c r="D52" s="86"/>
      <c r="E52" s="86"/>
      <c r="F52" s="137"/>
      <c r="G52" s="138"/>
      <c r="H52" s="90"/>
      <c r="I52" s="139"/>
      <c r="J52" s="139"/>
    </row>
    <row r="53" spans="3:10" ht="20.100000000000001" customHeight="1">
      <c r="C53" s="87"/>
      <c r="D53" s="86"/>
      <c r="E53" s="86"/>
      <c r="F53" s="132"/>
      <c r="G53" s="143"/>
      <c r="H53" s="106"/>
      <c r="I53" s="141"/>
      <c r="J53" s="142"/>
    </row>
    <row r="54" spans="3:10" ht="20.100000000000001" customHeight="1">
      <c r="C54" s="87"/>
      <c r="D54" s="86"/>
      <c r="E54" s="86"/>
      <c r="F54" s="307"/>
      <c r="G54" s="308" t="s">
        <v>305</v>
      </c>
      <c r="H54" s="90"/>
      <c r="I54" s="139"/>
      <c r="J54" s="139"/>
    </row>
    <row r="55" spans="3:10" ht="20.100000000000001" customHeight="1">
      <c r="C55" s="87"/>
      <c r="D55" s="86"/>
      <c r="E55" s="86"/>
      <c r="F55" s="132" t="s">
        <v>194</v>
      </c>
      <c r="G55" s="143" t="s">
        <v>184</v>
      </c>
      <c r="H55" s="101"/>
      <c r="I55" s="130"/>
      <c r="J55" s="144"/>
    </row>
    <row r="56" spans="3:10" ht="20.100000000000001" customHeight="1">
      <c r="C56" s="211"/>
      <c r="D56" s="212"/>
      <c r="E56" s="105"/>
      <c r="F56" s="145"/>
      <c r="G56" s="140" t="s">
        <v>186</v>
      </c>
      <c r="H56" s="86"/>
      <c r="I56" s="234"/>
      <c r="J56" s="235"/>
    </row>
    <row r="57" spans="3:10" ht="20.100000000000001" customHeight="1">
      <c r="C57" s="87"/>
      <c r="D57" s="86"/>
      <c r="E57" s="86"/>
      <c r="F57" s="146"/>
      <c r="G57" s="147" t="s">
        <v>233</v>
      </c>
      <c r="H57" s="86"/>
      <c r="I57" s="127" t="s">
        <v>192</v>
      </c>
      <c r="J57" s="139" t="s">
        <v>111</v>
      </c>
    </row>
    <row r="58" spans="3:10" ht="20.100000000000001" customHeight="1">
      <c r="C58" s="211"/>
      <c r="D58" s="212"/>
      <c r="E58" s="212"/>
      <c r="F58" s="310" t="s">
        <v>201</v>
      </c>
      <c r="G58" s="297" t="s">
        <v>174</v>
      </c>
      <c r="H58" s="212"/>
      <c r="I58" s="241"/>
      <c r="J58" s="212"/>
    </row>
    <row r="59" spans="3:10" ht="20.100000000000001" customHeight="1">
      <c r="C59" s="87"/>
      <c r="D59" s="86"/>
      <c r="E59" s="86"/>
      <c r="F59" s="239" t="s">
        <v>192</v>
      </c>
      <c r="G59" s="240" t="s">
        <v>103</v>
      </c>
      <c r="H59" s="86"/>
      <c r="I59" s="87"/>
      <c r="J59" s="86"/>
    </row>
    <row r="60" spans="3:10" ht="20.100000000000001" customHeight="1">
      <c r="C60" s="87"/>
      <c r="D60" s="86"/>
      <c r="E60" s="86"/>
      <c r="F60" s="87"/>
      <c r="G60" s="86"/>
      <c r="H60" s="86"/>
      <c r="I60" s="87"/>
      <c r="J60" s="86"/>
    </row>
    <row r="61" spans="3:10" ht="20.100000000000001" customHeight="1">
      <c r="C61" s="87"/>
      <c r="D61" s="86"/>
      <c r="E61" s="86"/>
      <c r="F61" s="87"/>
      <c r="G61" s="86"/>
      <c r="H61" s="86"/>
      <c r="I61" s="87"/>
      <c r="J61" s="86"/>
    </row>
    <row r="62" spans="3:10" ht="20.100000000000001" customHeight="1">
      <c r="C62" s="87"/>
      <c r="D62" s="86"/>
      <c r="E62" s="86"/>
      <c r="F62" s="87"/>
      <c r="G62" s="86"/>
      <c r="H62" s="86"/>
      <c r="I62" s="87"/>
      <c r="J62" s="86"/>
    </row>
    <row r="63" spans="3:10" ht="20.100000000000001" customHeight="1">
      <c r="C63" s="87"/>
      <c r="D63" s="86"/>
      <c r="E63" s="86"/>
      <c r="F63" s="87"/>
      <c r="G63" s="86"/>
      <c r="H63" s="86"/>
      <c r="I63" s="87"/>
      <c r="J63" s="86"/>
    </row>
    <row r="64" spans="3:10" ht="20.100000000000001" customHeight="1">
      <c r="C64" s="87"/>
      <c r="D64" s="86"/>
      <c r="E64" s="86"/>
      <c r="F64" s="87"/>
      <c r="G64" s="86"/>
      <c r="H64" s="86"/>
      <c r="I64" s="87"/>
      <c r="J64" s="86"/>
    </row>
    <row r="65" ht="20.100000000000001" customHeight="1"/>
  </sheetData>
  <mergeCells count="5">
    <mergeCell ref="C1:D1"/>
    <mergeCell ref="F1:G1"/>
    <mergeCell ref="I1:J1"/>
    <mergeCell ref="C2:D2"/>
    <mergeCell ref="I2:J2"/>
  </mergeCells>
  <phoneticPr fontId="1"/>
  <pageMargins left="0.70866141732283472" right="0.31496062992125984" top="1.1417322834645669" bottom="0.55118110236220474" header="0.51181102362204722" footer="0.11811023622047245"/>
  <pageSetup paperSize="8" scale="79" orientation="portrait" cellComments="asDisplayed" r:id="rId1"/>
  <headerFooter>
    <oddHeader>&amp;L&amp;"BIZ UDP明朝 Medium,太字"&amp;22 令和８年　&amp;C&amp;"BIZ UDP明朝 Medium,太字"&amp;22 &amp;U7月１8日（土） （宵宮祭）　＜駒寄＞ 進行表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E502-2F53-4713-82D0-9E2BD9E408C5}">
  <sheetPr>
    <pageSetUpPr fitToPage="1"/>
  </sheetPr>
  <dimension ref="C1:O72"/>
  <sheetViews>
    <sheetView tabSelected="1" view="pageBreakPreview" topLeftCell="A14" zoomScale="85" zoomScaleNormal="80" zoomScaleSheetLayoutView="85" workbookViewId="0">
      <selection activeCell="D30" sqref="D30"/>
    </sheetView>
  </sheetViews>
  <sheetFormatPr defaultColWidth="9" defaultRowHeight="18"/>
  <cols>
    <col min="1" max="1" width="7.19921875" style="11" customWidth="1"/>
    <col min="2" max="2" width="3.59765625" style="11" customWidth="1"/>
    <col min="3" max="3" width="3.8984375" style="85" customWidth="1"/>
    <col min="4" max="4" width="38.8984375" style="11" customWidth="1"/>
    <col min="5" max="5" width="3.59765625" style="11" customWidth="1"/>
    <col min="6" max="6" width="3.69921875" style="85" customWidth="1"/>
    <col min="7" max="7" width="36.59765625" style="11" customWidth="1"/>
    <col min="8" max="8" width="3.19921875" style="11" customWidth="1"/>
    <col min="9" max="9" width="4.19921875" style="85" customWidth="1"/>
    <col min="10" max="10" width="33.5" style="11" customWidth="1"/>
    <col min="11" max="11" width="3.59765625" style="11" customWidth="1"/>
    <col min="12" max="16384" width="9" style="11"/>
  </cols>
  <sheetData>
    <row r="1" spans="3:14" ht="33.6" customHeight="1">
      <c r="C1" s="311" t="s">
        <v>105</v>
      </c>
      <c r="D1" s="311"/>
      <c r="F1" s="311" t="s">
        <v>116</v>
      </c>
      <c r="G1" s="311"/>
      <c r="I1" s="311" t="s">
        <v>117</v>
      </c>
      <c r="J1" s="311"/>
    </row>
    <row r="2" spans="3:14" ht="20.100000000000001" customHeight="1">
      <c r="C2" s="149"/>
      <c r="D2" s="86"/>
      <c r="E2" s="86"/>
      <c r="F2" s="149"/>
      <c r="G2" s="86"/>
      <c r="H2" s="86"/>
      <c r="I2" s="149"/>
      <c r="J2" s="86"/>
    </row>
    <row r="3" spans="3:14" ht="20.100000000000001" customHeight="1">
      <c r="C3" s="149"/>
      <c r="D3" s="86"/>
      <c r="E3" s="86"/>
      <c r="H3" s="86"/>
      <c r="I3" s="149"/>
      <c r="J3" s="86"/>
    </row>
    <row r="4" spans="3:14" ht="20.100000000000001" customHeight="1">
      <c r="C4" s="150"/>
      <c r="D4" s="86"/>
      <c r="E4" s="86"/>
      <c r="F4" s="150" t="s">
        <v>193</v>
      </c>
      <c r="G4" s="87" t="s">
        <v>112</v>
      </c>
      <c r="H4" s="88"/>
      <c r="I4" s="149"/>
      <c r="J4" s="86"/>
    </row>
    <row r="5" spans="3:14" ht="20.100000000000001" customHeight="1">
      <c r="C5" s="149"/>
      <c r="D5" s="86"/>
      <c r="E5" s="86"/>
      <c r="F5" s="149"/>
      <c r="G5" s="90" t="s">
        <v>119</v>
      </c>
      <c r="H5" s="86"/>
      <c r="I5" s="149"/>
      <c r="J5" s="86"/>
    </row>
    <row r="6" spans="3:14" ht="20.100000000000001" customHeight="1">
      <c r="C6" s="243"/>
      <c r="D6" s="244" t="s">
        <v>263</v>
      </c>
      <c r="E6" s="86"/>
      <c r="F6" s="149"/>
      <c r="G6" s="151"/>
      <c r="H6" s="86"/>
      <c r="I6" s="149"/>
      <c r="J6" s="86"/>
    </row>
    <row r="7" spans="3:14" ht="20.100000000000001" customHeight="1">
      <c r="C7" s="155" t="s">
        <v>192</v>
      </c>
      <c r="D7" s="156" t="s">
        <v>269</v>
      </c>
      <c r="E7" s="212"/>
      <c r="F7" s="245"/>
      <c r="G7" s="246"/>
      <c r="H7" s="212"/>
      <c r="I7" s="245"/>
      <c r="J7" s="212"/>
    </row>
    <row r="8" spans="3:14" ht="20.100000000000001" customHeight="1">
      <c r="C8" s="155" t="s">
        <v>192</v>
      </c>
      <c r="D8" s="156" t="s">
        <v>319</v>
      </c>
      <c r="E8" s="86"/>
      <c r="F8" s="152" t="s">
        <v>192</v>
      </c>
      <c r="G8" s="242" t="s">
        <v>165</v>
      </c>
      <c r="H8" s="98"/>
      <c r="I8" s="152"/>
      <c r="J8" s="98"/>
      <c r="N8" s="82"/>
    </row>
    <row r="9" spans="3:14" ht="20.100000000000001" customHeight="1">
      <c r="C9" s="345" t="s">
        <v>193</v>
      </c>
      <c r="D9" s="228" t="s">
        <v>270</v>
      </c>
      <c r="E9" s="86"/>
      <c r="F9" s="149"/>
      <c r="G9" s="154" t="s">
        <v>173</v>
      </c>
      <c r="H9" s="86"/>
      <c r="I9" s="149"/>
      <c r="J9" s="86"/>
    </row>
    <row r="10" spans="3:14" ht="20.100000000000001" customHeight="1">
      <c r="C10" s="318" t="s">
        <v>193</v>
      </c>
      <c r="D10" s="159" t="s">
        <v>320</v>
      </c>
      <c r="E10" s="86"/>
      <c r="F10" s="300"/>
      <c r="G10" s="301"/>
      <c r="H10" s="152"/>
      <c r="I10" s="149"/>
      <c r="J10" s="86"/>
    </row>
    <row r="11" spans="3:14" ht="20.100000000000001" customHeight="1">
      <c r="C11" s="155" t="s">
        <v>207</v>
      </c>
      <c r="D11" s="248" t="s">
        <v>271</v>
      </c>
      <c r="E11" s="86"/>
      <c r="F11" s="173"/>
      <c r="G11" s="324" t="s">
        <v>308</v>
      </c>
      <c r="H11" s="152"/>
      <c r="I11" s="160"/>
      <c r="J11" s="115" t="s">
        <v>232</v>
      </c>
    </row>
    <row r="12" spans="3:14" ht="20.100000000000001" customHeight="1">
      <c r="C12" s="247" t="s">
        <v>264</v>
      </c>
      <c r="D12" s="320" t="s">
        <v>272</v>
      </c>
      <c r="E12" s="212"/>
      <c r="F12" s="173" t="s">
        <v>194</v>
      </c>
      <c r="G12" s="174" t="s">
        <v>219</v>
      </c>
      <c r="H12" s="249"/>
      <c r="I12" s="250" t="s">
        <v>195</v>
      </c>
      <c r="J12" s="251" t="s">
        <v>219</v>
      </c>
    </row>
    <row r="13" spans="3:14" ht="20.100000000000001" customHeight="1">
      <c r="C13" s="155" t="s">
        <v>196</v>
      </c>
      <c r="D13" s="156" t="s">
        <v>273</v>
      </c>
      <c r="E13" s="86"/>
      <c r="F13" s="173" t="s">
        <v>192</v>
      </c>
      <c r="G13" s="176" t="s">
        <v>238</v>
      </c>
      <c r="H13" s="152"/>
      <c r="I13" s="162" t="s">
        <v>192</v>
      </c>
      <c r="J13" s="163" t="s">
        <v>239</v>
      </c>
    </row>
    <row r="14" spans="3:14" ht="20.100000000000001" customHeight="1">
      <c r="C14" s="155" t="s">
        <v>208</v>
      </c>
      <c r="D14" s="156" t="s">
        <v>274</v>
      </c>
      <c r="E14" s="86"/>
      <c r="F14" s="173"/>
      <c r="G14" s="176" t="s">
        <v>171</v>
      </c>
      <c r="H14" s="152"/>
      <c r="I14" s="162"/>
      <c r="J14" s="163" t="s">
        <v>237</v>
      </c>
    </row>
    <row r="15" spans="3:14" ht="20.100000000000001" customHeight="1">
      <c r="C15" s="158" t="s">
        <v>209</v>
      </c>
      <c r="D15" s="159" t="s">
        <v>275</v>
      </c>
      <c r="E15" s="86"/>
      <c r="F15" s="173"/>
      <c r="G15" s="176" t="s">
        <v>258</v>
      </c>
      <c r="H15" s="152"/>
      <c r="I15" s="162"/>
      <c r="J15" s="163" t="s">
        <v>236</v>
      </c>
    </row>
    <row r="16" spans="3:14" ht="20.100000000000001" customHeight="1">
      <c r="C16" s="247" t="s">
        <v>210</v>
      </c>
      <c r="D16" s="248" t="s">
        <v>276</v>
      </c>
      <c r="E16" s="212"/>
      <c r="F16" s="173"/>
      <c r="G16" s="262" t="s">
        <v>259</v>
      </c>
      <c r="H16" s="249"/>
      <c r="I16" s="252"/>
      <c r="J16" s="253" t="s">
        <v>188</v>
      </c>
    </row>
    <row r="17" spans="3:10" ht="20.100000000000001" customHeight="1">
      <c r="C17" s="254"/>
      <c r="D17" s="255"/>
      <c r="E17" s="86"/>
      <c r="F17" s="261"/>
      <c r="G17" s="178" t="s">
        <v>261</v>
      </c>
      <c r="H17" s="152"/>
      <c r="I17" s="164" t="s">
        <v>192</v>
      </c>
      <c r="J17" s="165" t="s">
        <v>115</v>
      </c>
    </row>
    <row r="18" spans="3:10" ht="20.100000000000001" customHeight="1">
      <c r="C18" s="158" t="s">
        <v>211</v>
      </c>
      <c r="D18" s="159" t="s">
        <v>277</v>
      </c>
      <c r="E18" s="86"/>
      <c r="F18" s="185"/>
      <c r="G18" s="178" t="s">
        <v>189</v>
      </c>
      <c r="H18" s="152"/>
      <c r="I18" s="149"/>
      <c r="J18" s="152"/>
    </row>
    <row r="19" spans="3:10" ht="20.100000000000001" customHeight="1" thickBot="1">
      <c r="C19" s="155" t="s">
        <v>225</v>
      </c>
      <c r="D19" s="156" t="s">
        <v>278</v>
      </c>
      <c r="E19" s="86"/>
      <c r="F19" s="173" t="s">
        <v>193</v>
      </c>
      <c r="G19" s="181" t="s">
        <v>306</v>
      </c>
      <c r="H19" s="152"/>
      <c r="I19" s="152"/>
      <c r="J19" s="152"/>
    </row>
    <row r="20" spans="3:10" ht="20.100000000000001" customHeight="1">
      <c r="C20" s="155" t="s">
        <v>193</v>
      </c>
      <c r="D20" s="166" t="s">
        <v>327</v>
      </c>
      <c r="E20" s="86"/>
      <c r="F20" s="152"/>
      <c r="G20" s="152"/>
      <c r="H20" s="152"/>
      <c r="I20" s="152"/>
      <c r="J20" s="152"/>
    </row>
    <row r="21" spans="3:10" ht="20.100000000000001" customHeight="1">
      <c r="C21" s="155" t="s">
        <v>195</v>
      </c>
      <c r="D21" s="167" t="s">
        <v>279</v>
      </c>
      <c r="E21" s="86"/>
      <c r="F21" s="152"/>
      <c r="G21" s="152"/>
      <c r="H21" s="152"/>
      <c r="I21" s="152"/>
      <c r="J21" s="152"/>
    </row>
    <row r="22" spans="3:10" ht="20.100000000000001" customHeight="1">
      <c r="C22" s="247" t="s">
        <v>226</v>
      </c>
      <c r="D22" s="257" t="s">
        <v>280</v>
      </c>
      <c r="E22" s="212"/>
      <c r="F22" s="249"/>
      <c r="G22" s="249"/>
      <c r="H22" s="212"/>
      <c r="I22" s="245"/>
      <c r="J22" s="212"/>
    </row>
    <row r="23" spans="3:10" ht="20.100000000000001" customHeight="1">
      <c r="C23" s="155"/>
      <c r="D23" s="256" t="s">
        <v>114</v>
      </c>
      <c r="E23" s="86"/>
      <c r="F23" s="149"/>
      <c r="G23" s="86"/>
      <c r="H23" s="86"/>
      <c r="I23" s="149"/>
      <c r="J23" s="86"/>
    </row>
    <row r="24" spans="3:10" ht="20.100000000000001" customHeight="1">
      <c r="C24" s="155" t="s">
        <v>217</v>
      </c>
      <c r="D24" s="321" t="s">
        <v>281</v>
      </c>
      <c r="E24" s="86"/>
      <c r="F24" s="152"/>
      <c r="G24" s="152"/>
      <c r="H24" s="86"/>
      <c r="I24" s="149"/>
      <c r="J24" s="86"/>
    </row>
    <row r="25" spans="3:10" ht="20.100000000000001" customHeight="1" thickBot="1">
      <c r="C25" s="155" t="s">
        <v>227</v>
      </c>
      <c r="D25" s="168" t="s">
        <v>282</v>
      </c>
      <c r="E25" s="169"/>
      <c r="F25" s="170" t="s">
        <v>113</v>
      </c>
      <c r="G25" s="157" t="s">
        <v>170</v>
      </c>
      <c r="H25" s="86"/>
      <c r="I25" s="149"/>
      <c r="J25" s="86"/>
    </row>
    <row r="26" spans="3:10" ht="20.100000000000001" customHeight="1">
      <c r="C26" s="155" t="s">
        <v>212</v>
      </c>
      <c r="D26" s="156" t="s">
        <v>283</v>
      </c>
      <c r="E26" s="86"/>
      <c r="F26" s="152"/>
      <c r="G26" s="171"/>
      <c r="H26" s="86"/>
      <c r="I26" s="149"/>
      <c r="J26" s="86"/>
    </row>
    <row r="27" spans="3:10" ht="20.100000000000001" customHeight="1">
      <c r="C27" s="247" t="s">
        <v>199</v>
      </c>
      <c r="D27" s="248" t="s">
        <v>284</v>
      </c>
      <c r="E27" s="212"/>
      <c r="F27" s="249"/>
      <c r="G27" s="249"/>
      <c r="H27" s="212"/>
      <c r="I27" s="245"/>
      <c r="J27" s="212"/>
    </row>
    <row r="28" spans="3:10" ht="20.100000000000001" customHeight="1">
      <c r="C28" s="153"/>
      <c r="D28" s="258" t="s">
        <v>104</v>
      </c>
      <c r="E28" s="169"/>
      <c r="F28" s="170" t="s">
        <v>113</v>
      </c>
      <c r="G28" s="157" t="s">
        <v>169</v>
      </c>
      <c r="H28" s="86"/>
      <c r="I28" s="149"/>
      <c r="J28" s="86"/>
    </row>
    <row r="29" spans="3:10" ht="20.100000000000001" customHeight="1">
      <c r="C29" s="155" t="s">
        <v>212</v>
      </c>
      <c r="D29" s="258" t="s">
        <v>285</v>
      </c>
      <c r="E29" s="86"/>
      <c r="F29" s="152"/>
      <c r="G29" s="152"/>
      <c r="H29" s="152"/>
      <c r="I29" s="152"/>
      <c r="J29" s="152"/>
    </row>
    <row r="30" spans="3:10" ht="20.100000000000001" customHeight="1">
      <c r="C30" s="155" t="s">
        <v>213</v>
      </c>
      <c r="D30" s="156" t="s">
        <v>286</v>
      </c>
      <c r="E30" s="86"/>
      <c r="F30" s="152"/>
      <c r="G30" s="152"/>
      <c r="H30" s="152"/>
      <c r="I30" s="149"/>
      <c r="J30" s="86"/>
    </row>
    <row r="31" spans="3:10" ht="20.100000000000001" customHeight="1">
      <c r="C31" s="155"/>
      <c r="D31" s="156"/>
      <c r="E31" s="86"/>
      <c r="F31" s="173"/>
      <c r="G31" s="324" t="s">
        <v>307</v>
      </c>
      <c r="H31" s="152"/>
      <c r="I31" s="172"/>
      <c r="J31" s="115" t="s">
        <v>232</v>
      </c>
    </row>
    <row r="32" spans="3:10" ht="20.100000000000001" customHeight="1">
      <c r="C32" s="260"/>
      <c r="D32" s="225"/>
      <c r="E32" s="212"/>
      <c r="F32" s="173" t="s">
        <v>194</v>
      </c>
      <c r="G32" s="174" t="s">
        <v>219</v>
      </c>
      <c r="H32" s="249"/>
      <c r="I32" s="252" t="s">
        <v>195</v>
      </c>
      <c r="J32" s="251" t="s">
        <v>219</v>
      </c>
    </row>
    <row r="33" spans="3:15" ht="20.100000000000001" customHeight="1">
      <c r="C33" s="155" t="s">
        <v>200</v>
      </c>
      <c r="D33" s="156" t="s">
        <v>287</v>
      </c>
      <c r="E33" s="86"/>
      <c r="F33" s="173" t="s">
        <v>192</v>
      </c>
      <c r="G33" s="181" t="s">
        <v>326</v>
      </c>
      <c r="H33" s="152"/>
      <c r="I33" s="259" t="s">
        <v>192</v>
      </c>
      <c r="J33" s="163" t="s">
        <v>240</v>
      </c>
    </row>
    <row r="34" spans="3:15" ht="20.100000000000001" customHeight="1">
      <c r="C34" s="153"/>
      <c r="D34" s="156"/>
      <c r="E34" s="86"/>
      <c r="F34" s="173" t="s">
        <v>201</v>
      </c>
      <c r="G34" s="181" t="s">
        <v>321</v>
      </c>
      <c r="H34" s="152"/>
      <c r="I34" s="162"/>
      <c r="J34" s="175"/>
    </row>
    <row r="35" spans="3:15" ht="20.100000000000001" customHeight="1">
      <c r="C35" s="155" t="s">
        <v>214</v>
      </c>
      <c r="D35" s="156" t="s">
        <v>288</v>
      </c>
      <c r="E35" s="86"/>
      <c r="F35" s="173" t="s">
        <v>193</v>
      </c>
      <c r="G35" s="265" t="s">
        <v>168</v>
      </c>
      <c r="H35" s="152"/>
      <c r="I35" s="162"/>
      <c r="J35" s="163" t="s">
        <v>167</v>
      </c>
    </row>
    <row r="36" spans="3:15" ht="20.100000000000001" customHeight="1">
      <c r="C36" s="153"/>
      <c r="D36" s="156"/>
      <c r="E36" s="86"/>
      <c r="F36" s="173"/>
      <c r="G36" s="181" t="s">
        <v>322</v>
      </c>
      <c r="H36" s="86"/>
      <c r="I36" s="162"/>
      <c r="J36" s="175"/>
    </row>
    <row r="37" spans="3:15" ht="20.100000000000001" customHeight="1">
      <c r="C37" s="155" t="s">
        <v>204</v>
      </c>
      <c r="D37" s="156" t="s">
        <v>289</v>
      </c>
      <c r="E37" s="86"/>
      <c r="F37" s="173"/>
      <c r="G37" s="179" t="s">
        <v>323</v>
      </c>
      <c r="H37" s="86"/>
      <c r="I37" s="177"/>
      <c r="J37" s="163" t="s">
        <v>241</v>
      </c>
      <c r="O37" s="176" t="s">
        <v>260</v>
      </c>
    </row>
    <row r="38" spans="3:15" ht="20.100000000000001" customHeight="1">
      <c r="C38" s="247" t="s">
        <v>215</v>
      </c>
      <c r="D38" s="248" t="s">
        <v>290</v>
      </c>
      <c r="E38" s="212"/>
      <c r="F38" s="261"/>
      <c r="G38" s="191"/>
      <c r="H38" s="212"/>
      <c r="I38" s="263"/>
      <c r="J38" s="264"/>
    </row>
    <row r="39" spans="3:15" ht="20.100000000000001" customHeight="1">
      <c r="C39" s="153"/>
      <c r="D39" s="110"/>
      <c r="E39" s="86"/>
      <c r="F39" s="185"/>
      <c r="G39" s="181" t="s">
        <v>324</v>
      </c>
      <c r="H39" s="86"/>
      <c r="I39" s="177"/>
      <c r="J39" s="163" t="s">
        <v>188</v>
      </c>
    </row>
    <row r="40" spans="3:15" ht="20.100000000000001" customHeight="1">
      <c r="C40" s="155" t="s">
        <v>208</v>
      </c>
      <c r="D40" s="156" t="s">
        <v>291</v>
      </c>
      <c r="E40" s="86"/>
      <c r="F40" s="173"/>
      <c r="G40" s="178"/>
      <c r="H40" s="152"/>
      <c r="I40" s="177"/>
      <c r="J40" s="175"/>
    </row>
    <row r="41" spans="3:15" ht="20.100000000000001" customHeight="1">
      <c r="C41" s="155" t="s">
        <v>216</v>
      </c>
      <c r="D41" s="156" t="s">
        <v>292</v>
      </c>
      <c r="E41" s="86"/>
      <c r="F41" s="173" t="s">
        <v>193</v>
      </c>
      <c r="G41" s="325" t="s">
        <v>325</v>
      </c>
      <c r="H41" s="151"/>
      <c r="I41" s="180" t="s">
        <v>193</v>
      </c>
      <c r="J41" s="165" t="s">
        <v>257</v>
      </c>
      <c r="L41" s="83"/>
    </row>
    <row r="42" spans="3:15" ht="20.100000000000001" customHeight="1">
      <c r="C42" s="155" t="s">
        <v>207</v>
      </c>
      <c r="D42" s="156" t="s">
        <v>293</v>
      </c>
      <c r="E42" s="86"/>
      <c r="F42" s="329"/>
      <c r="G42" s="330"/>
      <c r="H42" s="182"/>
      <c r="I42" s="183"/>
      <c r="J42" s="86"/>
      <c r="L42" s="83"/>
    </row>
    <row r="43" spans="3:15" ht="20.100000000000001" customHeight="1" thickBot="1">
      <c r="C43" s="260"/>
      <c r="D43" s="347"/>
      <c r="E43" s="212"/>
      <c r="F43" s="331"/>
      <c r="G43" s="332"/>
      <c r="H43" s="182"/>
      <c r="I43" s="149"/>
      <c r="J43" s="86"/>
      <c r="L43" s="83"/>
    </row>
    <row r="44" spans="3:15" ht="20.100000000000001" customHeight="1">
      <c r="C44" s="158" t="s">
        <v>217</v>
      </c>
      <c r="D44" s="326" t="s">
        <v>294</v>
      </c>
      <c r="E44" s="86"/>
      <c r="F44" s="329"/>
      <c r="G44" s="330"/>
      <c r="H44" s="182"/>
      <c r="I44" s="184"/>
      <c r="J44" s="124" t="s">
        <v>230</v>
      </c>
      <c r="L44" s="83"/>
    </row>
    <row r="45" spans="3:15" ht="20.100000000000001" customHeight="1">
      <c r="C45" s="155" t="s">
        <v>218</v>
      </c>
      <c r="D45" s="327" t="s">
        <v>295</v>
      </c>
      <c r="E45" s="86"/>
      <c r="F45" s="333"/>
      <c r="G45" s="334"/>
      <c r="H45" s="182"/>
      <c r="I45" s="185"/>
      <c r="J45" s="294" t="s">
        <v>242</v>
      </c>
      <c r="L45" s="83"/>
    </row>
    <row r="46" spans="3:15" ht="20.100000000000001" customHeight="1">
      <c r="C46" s="155" t="s">
        <v>203</v>
      </c>
      <c r="D46" s="327" t="s">
        <v>309</v>
      </c>
      <c r="E46" s="86"/>
      <c r="F46" s="335"/>
      <c r="G46" s="330"/>
      <c r="H46" s="182"/>
      <c r="I46" s="186"/>
      <c r="J46" s="187"/>
    </row>
    <row r="47" spans="3:15" ht="20.100000000000001" customHeight="1">
      <c r="C47" s="155" t="s">
        <v>205</v>
      </c>
      <c r="D47" s="327" t="s">
        <v>296</v>
      </c>
      <c r="E47" s="86"/>
      <c r="F47" s="336"/>
      <c r="G47" s="337"/>
      <c r="H47" s="188"/>
      <c r="I47" s="189"/>
      <c r="J47" s="190"/>
    </row>
    <row r="48" spans="3:15" ht="20.100000000000001" customHeight="1" thickBot="1">
      <c r="C48" s="155" t="s">
        <v>206</v>
      </c>
      <c r="D48" s="328" t="s">
        <v>297</v>
      </c>
      <c r="E48" s="86"/>
      <c r="F48" s="304"/>
      <c r="G48" s="305"/>
      <c r="H48" s="188"/>
      <c r="I48" s="189"/>
      <c r="J48" s="190"/>
    </row>
    <row r="49" spans="3:10" ht="20.100000000000001" customHeight="1">
      <c r="C49" s="266"/>
      <c r="D49" s="267" t="s">
        <v>298</v>
      </c>
      <c r="E49" s="169" t="s">
        <v>113</v>
      </c>
      <c r="F49" s="302" t="s">
        <v>113</v>
      </c>
      <c r="G49" s="303" t="s">
        <v>172</v>
      </c>
      <c r="H49" s="86"/>
      <c r="I49" s="185"/>
      <c r="J49" s="131"/>
    </row>
    <row r="50" spans="3:10" ht="20.100000000000001" customHeight="1">
      <c r="C50" s="269"/>
      <c r="D50" s="270"/>
      <c r="E50" s="86"/>
      <c r="F50" s="152" t="s">
        <v>195</v>
      </c>
      <c r="G50" s="193" t="s">
        <v>221</v>
      </c>
      <c r="H50" s="86"/>
      <c r="I50" s="273"/>
      <c r="J50" s="262"/>
    </row>
    <row r="51" spans="3:10" ht="20.100000000000001" customHeight="1">
      <c r="C51" s="149"/>
      <c r="D51" s="86"/>
      <c r="E51" s="131"/>
      <c r="F51" s="194" t="s">
        <v>192</v>
      </c>
      <c r="G51" s="195" t="s">
        <v>310</v>
      </c>
      <c r="H51" s="196"/>
      <c r="I51" s="295"/>
      <c r="J51" s="296"/>
    </row>
    <row r="52" spans="3:10" ht="20.100000000000001" customHeight="1">
      <c r="C52" s="149"/>
      <c r="D52" s="86"/>
      <c r="E52" s="131"/>
      <c r="F52" s="185"/>
      <c r="G52" s="197" t="s">
        <v>228</v>
      </c>
      <c r="H52" s="169" t="s">
        <v>113</v>
      </c>
      <c r="I52" s="309" t="s">
        <v>113</v>
      </c>
      <c r="J52" s="293" t="s">
        <v>111</v>
      </c>
    </row>
    <row r="53" spans="3:10" ht="20.100000000000001" customHeight="1">
      <c r="C53" s="149"/>
      <c r="D53" s="86"/>
      <c r="E53" s="131"/>
      <c r="F53" s="218" t="s">
        <v>190</v>
      </c>
      <c r="G53" s="285"/>
      <c r="H53" s="86"/>
      <c r="I53" s="170"/>
      <c r="J53" s="86"/>
    </row>
    <row r="54" spans="3:10" ht="20.100000000000001" customHeight="1">
      <c r="C54" s="245"/>
      <c r="D54" s="212"/>
      <c r="E54" s="131"/>
      <c r="F54" s="198"/>
      <c r="G54" s="199"/>
      <c r="H54" s="86"/>
      <c r="I54" s="245"/>
      <c r="J54" s="212"/>
    </row>
    <row r="55" spans="3:10" ht="20.100000000000001" customHeight="1">
      <c r="C55" s="149"/>
      <c r="D55" s="86"/>
      <c r="E55" s="86"/>
      <c r="F55" s="152" t="s">
        <v>192</v>
      </c>
      <c r="G55" s="192" t="s">
        <v>220</v>
      </c>
      <c r="H55" s="86"/>
      <c r="I55" s="149"/>
      <c r="J55" s="86"/>
    </row>
    <row r="56" spans="3:10" ht="20.100000000000001" customHeight="1">
      <c r="C56" s="149"/>
      <c r="D56" s="86"/>
      <c r="E56" s="86"/>
      <c r="F56" s="201" t="s">
        <v>193</v>
      </c>
      <c r="G56" s="200" t="s">
        <v>233</v>
      </c>
      <c r="H56" s="101"/>
      <c r="I56" s="149"/>
      <c r="J56" s="149"/>
    </row>
    <row r="57" spans="3:10" ht="20.100000000000001" customHeight="1">
      <c r="C57" s="245"/>
      <c r="D57" s="212"/>
      <c r="E57" s="212"/>
      <c r="F57" s="286"/>
      <c r="G57" s="297" t="s">
        <v>174</v>
      </c>
      <c r="H57" s="287"/>
      <c r="I57" s="245"/>
      <c r="J57" s="245"/>
    </row>
    <row r="58" spans="3:10" ht="20.100000000000001" customHeight="1">
      <c r="C58" s="288"/>
      <c r="D58" s="215"/>
      <c r="E58" s="215"/>
      <c r="F58" s="289"/>
      <c r="G58" s="290"/>
      <c r="H58" s="215"/>
      <c r="I58" s="288"/>
      <c r="J58" s="215"/>
    </row>
    <row r="59" spans="3:10" ht="20.100000000000001" customHeight="1">
      <c r="C59" s="245"/>
      <c r="D59" s="212"/>
      <c r="E59" s="212"/>
      <c r="F59" s="291"/>
      <c r="G59" s="292"/>
      <c r="H59" s="216"/>
      <c r="I59" s="245"/>
      <c r="J59" s="212"/>
    </row>
    <row r="60" spans="3:10" ht="20.100000000000001" customHeight="1">
      <c r="C60" s="149"/>
      <c r="D60" s="86"/>
      <c r="E60" s="86"/>
      <c r="F60" s="271" t="s">
        <v>192</v>
      </c>
      <c r="G60" s="272" t="s">
        <v>103</v>
      </c>
      <c r="H60" s="86"/>
      <c r="I60" s="149"/>
      <c r="J60" s="86"/>
    </row>
    <row r="61" spans="3:10" ht="20.100000000000001" customHeight="1">
      <c r="C61" s="149"/>
      <c r="D61" s="86"/>
      <c r="E61" s="86"/>
      <c r="F61" s="149"/>
      <c r="G61" s="86"/>
      <c r="H61" s="86"/>
      <c r="I61" s="149"/>
      <c r="J61" s="86"/>
    </row>
    <row r="62" spans="3:10" ht="20.100000000000001" customHeight="1"/>
    <row r="63" spans="3:10" ht="20.100000000000001" customHeight="1"/>
    <row r="64" spans="3:10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</sheetData>
  <mergeCells count="3">
    <mergeCell ref="C1:D1"/>
    <mergeCell ref="F1:G1"/>
    <mergeCell ref="I1:J1"/>
  </mergeCells>
  <phoneticPr fontId="1"/>
  <pageMargins left="0.70866141732283472" right="0.31496062992125984" top="1.1417322834645669" bottom="0.55118110236220474" header="0.51181102362204722" footer="0.11811023622047245"/>
  <pageSetup paperSize="8" scale="84" orientation="portrait" cellComments="asDisplayed" r:id="rId1"/>
  <headerFooter>
    <oddHeader>&amp;C&amp;"BIZ UDP明朝 Medium,太字"&amp;22 &amp;U7月19日（日） （本祭）　＜駒寄＞ 進行表&amp;RRev.A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A6A7-6B92-4384-8987-F80208E4DDC0}">
  <sheetPr>
    <pageSetUpPr fitToPage="1"/>
  </sheetPr>
  <dimension ref="B2:G34"/>
  <sheetViews>
    <sheetView workbookViewId="0">
      <selection activeCell="M12" sqref="M12"/>
    </sheetView>
  </sheetViews>
  <sheetFormatPr defaultRowHeight="18"/>
  <cols>
    <col min="1" max="1" width="5.09765625" customWidth="1"/>
    <col min="2" max="2" width="5.09765625" style="76" customWidth="1"/>
    <col min="3" max="3" width="15.09765625" bestFit="1" customWidth="1"/>
    <col min="4" max="4" width="10.59765625" style="66" bestFit="1" customWidth="1"/>
    <col min="5" max="5" width="31.59765625" bestFit="1" customWidth="1"/>
    <col min="6" max="6" width="10.59765625" bestFit="1" customWidth="1"/>
    <col min="7" max="7" width="20.19921875" bestFit="1" customWidth="1"/>
  </cols>
  <sheetData>
    <row r="2" spans="2:7">
      <c r="B2" s="73" t="s">
        <v>136</v>
      </c>
      <c r="C2" s="313" t="s">
        <v>0</v>
      </c>
      <c r="D2" s="314"/>
      <c r="E2" s="313" t="s">
        <v>1</v>
      </c>
      <c r="F2" s="314"/>
      <c r="G2" s="73" t="s">
        <v>123</v>
      </c>
    </row>
    <row r="3" spans="2:7">
      <c r="B3" s="74">
        <f>ROW()-2</f>
        <v>1</v>
      </c>
      <c r="C3" s="77" t="s">
        <v>2</v>
      </c>
      <c r="D3" s="67">
        <v>840585</v>
      </c>
      <c r="E3" s="77" t="s">
        <v>122</v>
      </c>
      <c r="F3" s="67">
        <f>D3</f>
        <v>840585</v>
      </c>
      <c r="G3" s="70" t="s">
        <v>134</v>
      </c>
    </row>
    <row r="4" spans="2:7">
      <c r="B4" s="74">
        <f t="shared" ref="B4:B32" si="0">ROW()-2</f>
        <v>2</v>
      </c>
      <c r="C4" s="78" t="s">
        <v>120</v>
      </c>
      <c r="D4" s="68">
        <v>504000</v>
      </c>
      <c r="E4" s="78" t="s">
        <v>137</v>
      </c>
      <c r="F4" s="81">
        <v>25000</v>
      </c>
      <c r="G4" s="71"/>
    </row>
    <row r="5" spans="2:7">
      <c r="B5" s="74">
        <f t="shared" si="0"/>
        <v>3</v>
      </c>
      <c r="C5" s="78" t="s">
        <v>121</v>
      </c>
      <c r="D5" s="68">
        <v>150000</v>
      </c>
      <c r="E5" s="78" t="s">
        <v>63</v>
      </c>
      <c r="F5" s="81">
        <v>25000</v>
      </c>
      <c r="G5" s="71"/>
    </row>
    <row r="6" spans="2:7">
      <c r="B6" s="74">
        <f t="shared" si="0"/>
        <v>4</v>
      </c>
      <c r="C6" s="78" t="s">
        <v>5</v>
      </c>
      <c r="D6" s="68">
        <v>200000</v>
      </c>
      <c r="E6" s="78" t="s">
        <v>124</v>
      </c>
      <c r="F6" s="68">
        <f>D6/2</f>
        <v>100000</v>
      </c>
      <c r="G6" s="71" t="s">
        <v>164</v>
      </c>
    </row>
    <row r="7" spans="2:7">
      <c r="B7" s="74">
        <f t="shared" si="0"/>
        <v>5</v>
      </c>
      <c r="C7" s="78" t="s">
        <v>125</v>
      </c>
      <c r="D7" s="68">
        <v>10000</v>
      </c>
      <c r="E7" s="78" t="s">
        <v>127</v>
      </c>
      <c r="F7" s="81">
        <v>2140</v>
      </c>
      <c r="G7" s="71"/>
    </row>
    <row r="8" spans="2:7">
      <c r="B8" s="74">
        <f t="shared" si="0"/>
        <v>6</v>
      </c>
      <c r="C8" s="78"/>
      <c r="D8" s="68"/>
      <c r="E8" s="78" t="s">
        <v>140</v>
      </c>
      <c r="F8" s="68">
        <v>10000</v>
      </c>
      <c r="G8" s="71"/>
    </row>
    <row r="9" spans="2:7">
      <c r="B9" s="74">
        <f t="shared" si="0"/>
        <v>7</v>
      </c>
      <c r="C9" s="78"/>
      <c r="D9" s="68"/>
      <c r="E9" s="78" t="s">
        <v>144</v>
      </c>
      <c r="F9" s="81">
        <v>2000</v>
      </c>
      <c r="G9" s="71" t="s">
        <v>147</v>
      </c>
    </row>
    <row r="10" spans="2:7">
      <c r="B10" s="74">
        <f t="shared" si="0"/>
        <v>8</v>
      </c>
      <c r="C10" s="78"/>
      <c r="D10" s="68"/>
      <c r="E10" s="78" t="s">
        <v>146</v>
      </c>
      <c r="F10" s="68">
        <v>0</v>
      </c>
      <c r="G10" s="71" t="s">
        <v>143</v>
      </c>
    </row>
    <row r="11" spans="2:7">
      <c r="B11" s="74">
        <f t="shared" si="0"/>
        <v>9</v>
      </c>
      <c r="C11" s="78"/>
      <c r="D11" s="68"/>
      <c r="E11" s="78" t="s">
        <v>145</v>
      </c>
      <c r="F11" s="81">
        <v>49513</v>
      </c>
      <c r="G11" s="71" t="s">
        <v>135</v>
      </c>
    </row>
    <row r="12" spans="2:7">
      <c r="B12" s="74">
        <f t="shared" si="0"/>
        <v>10</v>
      </c>
      <c r="C12" s="78"/>
      <c r="D12" s="68"/>
      <c r="E12" s="78" t="s">
        <v>138</v>
      </c>
      <c r="F12" s="68">
        <v>14000</v>
      </c>
      <c r="G12" s="71"/>
    </row>
    <row r="13" spans="2:7">
      <c r="B13" s="74">
        <f t="shared" si="0"/>
        <v>11</v>
      </c>
      <c r="C13" s="78"/>
      <c r="D13" s="68"/>
      <c r="E13" s="78" t="s">
        <v>139</v>
      </c>
      <c r="F13" s="68">
        <v>4000</v>
      </c>
      <c r="G13" s="71"/>
    </row>
    <row r="14" spans="2:7">
      <c r="B14" s="74">
        <f t="shared" si="0"/>
        <v>12</v>
      </c>
      <c r="C14" s="78"/>
      <c r="D14" s="68"/>
      <c r="E14" s="78" t="s">
        <v>154</v>
      </c>
      <c r="F14" s="68">
        <v>58000</v>
      </c>
      <c r="G14" s="71"/>
    </row>
    <row r="15" spans="2:7">
      <c r="B15" s="74">
        <f t="shared" si="0"/>
        <v>13</v>
      </c>
      <c r="C15" s="78"/>
      <c r="D15" s="68"/>
      <c r="E15" s="78" t="s">
        <v>126</v>
      </c>
      <c r="F15" s="68">
        <v>80000</v>
      </c>
      <c r="G15" s="71"/>
    </row>
    <row r="16" spans="2:7">
      <c r="B16" s="74">
        <f t="shared" si="0"/>
        <v>14</v>
      </c>
      <c r="C16" s="78"/>
      <c r="D16" s="68"/>
      <c r="E16" s="78" t="s">
        <v>155</v>
      </c>
      <c r="F16" s="68">
        <v>350000</v>
      </c>
      <c r="G16" s="71"/>
    </row>
    <row r="17" spans="2:7">
      <c r="B17" s="74">
        <f t="shared" si="0"/>
        <v>15</v>
      </c>
      <c r="C17" s="78"/>
      <c r="D17" s="68"/>
      <c r="E17" s="78" t="s">
        <v>156</v>
      </c>
      <c r="F17" s="68">
        <v>0</v>
      </c>
      <c r="G17" s="71"/>
    </row>
    <row r="18" spans="2:7">
      <c r="B18" s="74">
        <f t="shared" si="0"/>
        <v>16</v>
      </c>
      <c r="C18" s="78"/>
      <c r="D18" s="68"/>
      <c r="E18" s="78" t="s">
        <v>157</v>
      </c>
      <c r="F18" s="68">
        <v>0</v>
      </c>
      <c r="G18" s="71" t="s">
        <v>153</v>
      </c>
    </row>
    <row r="19" spans="2:7">
      <c r="B19" s="74">
        <f t="shared" si="0"/>
        <v>17</v>
      </c>
      <c r="C19" s="78"/>
      <c r="D19" s="68"/>
      <c r="E19" s="78" t="s">
        <v>142</v>
      </c>
      <c r="F19" s="68">
        <v>15000</v>
      </c>
      <c r="G19" s="71" t="s">
        <v>162</v>
      </c>
    </row>
    <row r="20" spans="2:7">
      <c r="B20" s="74">
        <f t="shared" si="0"/>
        <v>18</v>
      </c>
      <c r="C20" s="78"/>
      <c r="D20" s="68"/>
      <c r="E20" s="78" t="s">
        <v>158</v>
      </c>
      <c r="F20" s="68">
        <v>0</v>
      </c>
      <c r="G20" s="71" t="s">
        <v>159</v>
      </c>
    </row>
    <row r="21" spans="2:7">
      <c r="B21" s="74">
        <f t="shared" si="0"/>
        <v>19</v>
      </c>
      <c r="C21" s="78"/>
      <c r="D21" s="68"/>
      <c r="E21" s="78" t="s">
        <v>161</v>
      </c>
      <c r="F21" s="68">
        <v>0</v>
      </c>
      <c r="G21" s="71" t="s">
        <v>160</v>
      </c>
    </row>
    <row r="22" spans="2:7">
      <c r="B22" s="74">
        <f t="shared" si="0"/>
        <v>20</v>
      </c>
      <c r="C22" s="78"/>
      <c r="D22" s="68"/>
      <c r="E22" s="78" t="s">
        <v>128</v>
      </c>
      <c r="F22" s="68">
        <v>5500</v>
      </c>
      <c r="G22" s="71" t="s">
        <v>141</v>
      </c>
    </row>
    <row r="23" spans="2:7">
      <c r="B23" s="74">
        <f t="shared" si="0"/>
        <v>21</v>
      </c>
      <c r="C23" s="78"/>
      <c r="D23" s="68"/>
      <c r="E23" s="78" t="s">
        <v>129</v>
      </c>
      <c r="F23" s="68">
        <v>0</v>
      </c>
      <c r="G23" s="71"/>
    </row>
    <row r="24" spans="2:7">
      <c r="B24" s="74">
        <f t="shared" si="0"/>
        <v>22</v>
      </c>
      <c r="C24" s="78"/>
      <c r="D24" s="68"/>
      <c r="E24" s="78" t="s">
        <v>7</v>
      </c>
      <c r="F24" s="68">
        <v>35000</v>
      </c>
      <c r="G24" s="71" t="s">
        <v>163</v>
      </c>
    </row>
    <row r="25" spans="2:7">
      <c r="B25" s="74">
        <f t="shared" si="0"/>
        <v>23</v>
      </c>
      <c r="C25" s="78"/>
      <c r="D25" s="68"/>
      <c r="E25" s="78" t="s">
        <v>130</v>
      </c>
      <c r="F25" s="68">
        <v>6000</v>
      </c>
      <c r="G25" s="71" t="s">
        <v>149</v>
      </c>
    </row>
    <row r="26" spans="2:7">
      <c r="B26" s="74">
        <f t="shared" si="0"/>
        <v>24</v>
      </c>
      <c r="C26" s="78"/>
      <c r="D26" s="68"/>
      <c r="E26" s="78" t="s">
        <v>131</v>
      </c>
      <c r="F26" s="68">
        <v>10000</v>
      </c>
      <c r="G26" s="71"/>
    </row>
    <row r="27" spans="2:7">
      <c r="B27" s="74">
        <f t="shared" si="0"/>
        <v>25</v>
      </c>
      <c r="C27" s="78"/>
      <c r="D27" s="68"/>
      <c r="E27" s="78" t="s">
        <v>148</v>
      </c>
      <c r="F27" s="68">
        <v>8000</v>
      </c>
      <c r="G27" s="71"/>
    </row>
    <row r="28" spans="2:7">
      <c r="B28" s="74">
        <f t="shared" si="0"/>
        <v>26</v>
      </c>
      <c r="C28" s="78"/>
      <c r="D28" s="68"/>
      <c r="E28" s="78" t="s">
        <v>132</v>
      </c>
      <c r="F28" s="68">
        <v>30000</v>
      </c>
      <c r="G28" s="71"/>
    </row>
    <row r="29" spans="2:7">
      <c r="B29" s="74">
        <f t="shared" si="0"/>
        <v>27</v>
      </c>
      <c r="C29" s="78"/>
      <c r="D29" s="68"/>
      <c r="E29" s="78"/>
      <c r="F29" s="68"/>
      <c r="G29" s="71"/>
    </row>
    <row r="30" spans="2:7">
      <c r="B30" s="74">
        <f t="shared" si="0"/>
        <v>28</v>
      </c>
      <c r="C30" s="78" t="s">
        <v>133</v>
      </c>
      <c r="D30" s="68">
        <f>SUM(D3:D29)</f>
        <v>1704585</v>
      </c>
      <c r="E30" s="78"/>
      <c r="F30" s="68">
        <f>SUM(F3:F29)</f>
        <v>1669738</v>
      </c>
      <c r="G30" s="71"/>
    </row>
    <row r="31" spans="2:7">
      <c r="B31" s="75">
        <f t="shared" si="0"/>
        <v>29</v>
      </c>
      <c r="C31" s="79" t="s">
        <v>150</v>
      </c>
      <c r="D31" s="69">
        <f>D30-D3</f>
        <v>864000</v>
      </c>
      <c r="E31" s="79" t="s">
        <v>151</v>
      </c>
      <c r="F31" s="69">
        <f>F30-F3</f>
        <v>829153</v>
      </c>
      <c r="G31" s="72"/>
    </row>
    <row r="32" spans="2:7">
      <c r="B32" s="75">
        <f t="shared" si="0"/>
        <v>30</v>
      </c>
      <c r="C32" s="79"/>
      <c r="D32" s="69"/>
      <c r="E32" s="79" t="s">
        <v>152</v>
      </c>
      <c r="F32" s="80">
        <f>D31-F31</f>
        <v>34847</v>
      </c>
      <c r="G32" s="72"/>
    </row>
    <row r="33" spans="6:6">
      <c r="F33" s="66"/>
    </row>
    <row r="34" spans="6:6">
      <c r="F34" s="66"/>
    </row>
  </sheetData>
  <mergeCells count="2">
    <mergeCell ref="C2:D2"/>
    <mergeCell ref="E2:F2"/>
  </mergeCells>
  <phoneticPr fontId="1"/>
  <pageMargins left="0.70866141732283472" right="0.70866141732283472" top="0.74803149606299213" bottom="0.74803149606299213" header="0.31496062992125984" footer="0.31496062992125984"/>
  <pageSetup paperSize="9" scale="81" orientation="portrait" r:id="rId1"/>
  <headerFooter>
    <oddHeader>&amp;C&amp;A&amp;R&amp;D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96"/>
  <sheetViews>
    <sheetView zoomScale="70" zoomScaleNormal="70" workbookViewId="0">
      <selection activeCell="S29" sqref="S29"/>
    </sheetView>
  </sheetViews>
  <sheetFormatPr defaultColWidth="9" defaultRowHeight="35.1" customHeight="1"/>
  <cols>
    <col min="1" max="1" width="8" style="13" customWidth="1"/>
    <col min="2" max="2" width="10.59765625" style="14" customWidth="1"/>
    <col min="3" max="3" width="20.59765625" style="13" customWidth="1"/>
    <col min="4" max="5" width="5.59765625" style="13" customWidth="1"/>
    <col min="6" max="6" width="30.59765625" style="14" customWidth="1"/>
    <col min="7" max="8" width="5.59765625" style="13" customWidth="1"/>
    <col min="9" max="9" width="30.59765625" style="14" customWidth="1"/>
    <col min="10" max="11" width="5.59765625" style="13" customWidth="1"/>
    <col min="12" max="12" width="30.59765625" style="14" customWidth="1"/>
    <col min="13" max="14" width="5.59765625" style="13" customWidth="1"/>
    <col min="15" max="15" width="30.59765625" style="14" customWidth="1"/>
    <col min="16" max="17" width="5.59765625" style="13" customWidth="1"/>
    <col min="18" max="18" width="30.59765625" style="14" customWidth="1"/>
    <col min="19" max="19" width="5.59765625" style="13" customWidth="1"/>
    <col min="20" max="16384" width="9" style="13"/>
  </cols>
  <sheetData>
    <row r="2" spans="1:19" ht="35.1" customHeight="1">
      <c r="F2" s="15" t="s">
        <v>99</v>
      </c>
      <c r="I2" s="15" t="s">
        <v>91</v>
      </c>
      <c r="L2" s="15" t="s">
        <v>97</v>
      </c>
      <c r="O2" s="15" t="s">
        <v>98</v>
      </c>
    </row>
    <row r="3" spans="1:19" ht="35.1" customHeight="1">
      <c r="B3" s="315" t="s">
        <v>0</v>
      </c>
      <c r="C3" s="316">
        <f>SUM(F4:R4)</f>
        <v>1648821</v>
      </c>
      <c r="E3" s="18"/>
      <c r="F3" s="16" t="s">
        <v>2</v>
      </c>
      <c r="I3" s="16" t="s">
        <v>3</v>
      </c>
      <c r="L3" s="16" t="s">
        <v>4</v>
      </c>
      <c r="O3" s="16" t="s">
        <v>5</v>
      </c>
      <c r="R3" s="16" t="s">
        <v>55</v>
      </c>
    </row>
    <row r="4" spans="1:19" s="19" customFormat="1" ht="35.1" customHeight="1">
      <c r="B4" s="315"/>
      <c r="C4" s="316"/>
      <c r="F4" s="20">
        <v>856821</v>
      </c>
      <c r="I4" s="17">
        <v>475000</v>
      </c>
      <c r="L4" s="17">
        <v>176000</v>
      </c>
      <c r="O4" s="20">
        <v>141000</v>
      </c>
      <c r="R4" s="20">
        <v>0</v>
      </c>
    </row>
    <row r="5" spans="1:19" ht="35.1" customHeight="1">
      <c r="B5" s="61" t="s">
        <v>110</v>
      </c>
      <c r="C5" s="62">
        <f>C3-F4</f>
        <v>792000</v>
      </c>
      <c r="I5" s="21"/>
      <c r="L5" s="21"/>
      <c r="O5" s="21"/>
    </row>
    <row r="6" spans="1:19" ht="35.1" customHeight="1">
      <c r="B6" s="317" t="s">
        <v>1</v>
      </c>
      <c r="C6" s="316">
        <f>SUM(F7:R7)</f>
        <v>1841452</v>
      </c>
      <c r="F6" s="23" t="s">
        <v>9</v>
      </c>
      <c r="H6" s="24"/>
      <c r="I6" s="22" t="s">
        <v>95</v>
      </c>
      <c r="K6" s="25"/>
      <c r="L6" s="22" t="s">
        <v>64</v>
      </c>
      <c r="M6" s="25"/>
      <c r="O6" s="48" t="s">
        <v>10</v>
      </c>
      <c r="R6" s="23" t="s">
        <v>69</v>
      </c>
    </row>
    <row r="7" spans="1:19" ht="35.1" customHeight="1">
      <c r="A7" s="19"/>
      <c r="B7" s="317"/>
      <c r="C7" s="316"/>
      <c r="D7" s="19"/>
      <c r="F7" s="20">
        <f>F4</f>
        <v>856821</v>
      </c>
      <c r="H7" s="24"/>
      <c r="I7" s="17">
        <f>SUM(I10:I17)</f>
        <v>30000</v>
      </c>
      <c r="K7" s="25"/>
      <c r="L7" s="17">
        <f>SUM(L10:L85)+SUM(R13:R29)</f>
        <v>813631</v>
      </c>
      <c r="M7" s="25"/>
      <c r="O7" s="49">
        <f>O4</f>
        <v>141000</v>
      </c>
      <c r="R7" s="20">
        <v>0</v>
      </c>
    </row>
    <row r="8" spans="1:19" ht="40.5" customHeight="1">
      <c r="B8" s="61" t="s">
        <v>110</v>
      </c>
      <c r="C8" s="62">
        <f>C6-F7</f>
        <v>984631</v>
      </c>
      <c r="F8" s="13"/>
    </row>
    <row r="9" spans="1:19" ht="9.9" customHeight="1">
      <c r="F9" s="13"/>
      <c r="H9" s="24"/>
      <c r="I9" s="26"/>
      <c r="K9" s="25"/>
      <c r="L9" s="27"/>
      <c r="M9" s="25"/>
      <c r="N9" s="25"/>
      <c r="O9" s="27"/>
      <c r="P9" s="25"/>
    </row>
    <row r="10" spans="1:19" ht="35.1" customHeight="1">
      <c r="F10" s="13"/>
      <c r="H10" s="24"/>
      <c r="I10" s="23" t="s">
        <v>65</v>
      </c>
      <c r="K10" s="25"/>
      <c r="L10" s="22" t="s">
        <v>63</v>
      </c>
      <c r="M10" s="28"/>
      <c r="N10" s="29"/>
      <c r="O10" s="22" t="s">
        <v>68</v>
      </c>
      <c r="P10" s="25"/>
    </row>
    <row r="11" spans="1:19" ht="35.1" customHeight="1">
      <c r="B11" s="12" t="s">
        <v>56</v>
      </c>
      <c r="C11" s="64">
        <f>C3-C6</f>
        <v>-192631</v>
      </c>
      <c r="F11" s="13"/>
      <c r="H11" s="24"/>
      <c r="I11" s="17">
        <v>2000</v>
      </c>
      <c r="K11" s="25"/>
      <c r="L11" s="46">
        <f>SUM(O10:O14)</f>
        <v>19500</v>
      </c>
      <c r="M11" s="30"/>
      <c r="N11" s="30"/>
      <c r="O11" s="31">
        <v>11000</v>
      </c>
      <c r="P11" s="25"/>
    </row>
    <row r="12" spans="1:19" ht="9.9" customHeight="1">
      <c r="F12" s="13"/>
      <c r="H12" s="24"/>
      <c r="I12" s="26"/>
      <c r="K12" s="25"/>
      <c r="L12" s="27"/>
      <c r="M12" s="25"/>
      <c r="N12" s="32"/>
      <c r="O12" s="27"/>
      <c r="P12" s="25"/>
      <c r="Q12" s="25"/>
      <c r="R12" s="27"/>
      <c r="S12" s="25"/>
    </row>
    <row r="13" spans="1:19" ht="35.1" customHeight="1">
      <c r="F13" s="13"/>
      <c r="H13" s="24"/>
      <c r="I13" s="23" t="s">
        <v>84</v>
      </c>
      <c r="K13" s="25"/>
      <c r="L13" s="27"/>
      <c r="M13" s="25"/>
      <c r="N13" s="33"/>
      <c r="O13" s="22" t="s">
        <v>12</v>
      </c>
      <c r="P13" s="25"/>
      <c r="Q13" s="25"/>
      <c r="R13" s="63" t="s">
        <v>8</v>
      </c>
      <c r="S13" s="25"/>
    </row>
    <row r="14" spans="1:19" ht="35.1" customHeight="1">
      <c r="F14" s="13"/>
      <c r="H14" s="24"/>
      <c r="I14" s="17">
        <v>25000</v>
      </c>
      <c r="K14" s="25"/>
      <c r="L14" s="27"/>
      <c r="M14" s="25"/>
      <c r="N14" s="25"/>
      <c r="O14" s="31">
        <v>8500</v>
      </c>
      <c r="P14" s="25"/>
      <c r="Q14" s="25"/>
      <c r="R14" s="46">
        <v>60000</v>
      </c>
      <c r="S14" s="25"/>
    </row>
    <row r="15" spans="1:19" ht="9.9" customHeight="1">
      <c r="F15" s="13"/>
      <c r="H15" s="24"/>
      <c r="I15" s="26"/>
      <c r="K15" s="25"/>
      <c r="L15" s="27"/>
      <c r="M15" s="25"/>
      <c r="N15" s="25"/>
      <c r="O15" s="27"/>
      <c r="P15" s="25"/>
      <c r="Q15" s="25"/>
      <c r="R15" s="27"/>
      <c r="S15" s="25"/>
    </row>
    <row r="16" spans="1:19" ht="35.1" customHeight="1">
      <c r="F16" s="13"/>
      <c r="H16" s="24"/>
      <c r="I16" s="22" t="s">
        <v>6</v>
      </c>
      <c r="K16" s="25"/>
      <c r="L16" s="22" t="s">
        <v>17</v>
      </c>
      <c r="M16" s="34"/>
      <c r="N16" s="29"/>
      <c r="O16" s="23" t="s">
        <v>83</v>
      </c>
      <c r="P16" s="25"/>
      <c r="Q16" s="25"/>
      <c r="R16" s="22" t="s">
        <v>96</v>
      </c>
      <c r="S16" s="25"/>
    </row>
    <row r="17" spans="8:19" ht="35.1" customHeight="1">
      <c r="H17" s="24"/>
      <c r="I17" s="17">
        <v>3000</v>
      </c>
      <c r="K17" s="25"/>
      <c r="L17" s="17">
        <f>SUM(O16:O34)</f>
        <v>62113</v>
      </c>
      <c r="M17" s="25"/>
      <c r="N17" s="35"/>
      <c r="O17" s="31">
        <v>8000</v>
      </c>
      <c r="P17" s="36"/>
      <c r="Q17" s="25"/>
      <c r="R17" s="37">
        <v>10340</v>
      </c>
      <c r="S17" s="25"/>
    </row>
    <row r="18" spans="8:19" ht="9.9" customHeight="1">
      <c r="H18" s="24"/>
      <c r="I18" s="38"/>
      <c r="K18" s="25"/>
      <c r="L18" s="39"/>
      <c r="M18" s="25"/>
      <c r="N18" s="32"/>
      <c r="O18" s="27"/>
      <c r="P18" s="25"/>
      <c r="Q18" s="25"/>
      <c r="R18" s="40"/>
      <c r="S18" s="25"/>
    </row>
    <row r="19" spans="8:19" ht="35.1" customHeight="1">
      <c r="K19" s="36"/>
      <c r="L19" s="27"/>
      <c r="M19" s="25"/>
      <c r="N19" s="33"/>
      <c r="O19" s="23" t="s">
        <v>86</v>
      </c>
      <c r="P19" s="25"/>
      <c r="Q19" s="25"/>
      <c r="R19" s="23" t="s">
        <v>109</v>
      </c>
      <c r="S19" s="25"/>
    </row>
    <row r="20" spans="8:19" ht="35.1" customHeight="1">
      <c r="K20" s="25"/>
      <c r="L20" s="27"/>
      <c r="M20" s="25"/>
      <c r="N20" s="32"/>
      <c r="O20" s="31">
        <v>9256</v>
      </c>
      <c r="P20" s="25"/>
      <c r="Q20" s="25"/>
      <c r="R20" s="17">
        <v>5000</v>
      </c>
      <c r="S20" s="41"/>
    </row>
    <row r="21" spans="8:19" ht="9.9" customHeight="1">
      <c r="K21" s="25"/>
      <c r="L21" s="27"/>
      <c r="M21" s="25"/>
      <c r="N21" s="32"/>
      <c r="O21" s="27"/>
      <c r="P21" s="25"/>
      <c r="Q21" s="25"/>
      <c r="R21" s="40"/>
      <c r="S21" s="25"/>
    </row>
    <row r="22" spans="8:19" ht="35.1" customHeight="1">
      <c r="K22" s="25"/>
      <c r="L22" s="27"/>
      <c r="M22" s="25"/>
      <c r="N22" s="33"/>
      <c r="O22" s="23" t="s">
        <v>92</v>
      </c>
      <c r="P22" s="25"/>
      <c r="Q22" s="25"/>
      <c r="R22" s="23" t="s">
        <v>70</v>
      </c>
      <c r="S22" s="25"/>
    </row>
    <row r="23" spans="8:19" ht="35.1" customHeight="1">
      <c r="K23" s="25"/>
      <c r="L23" s="27"/>
      <c r="M23" s="25"/>
      <c r="N23" s="32"/>
      <c r="O23" s="31">
        <f>5978+419+2016+12257</f>
        <v>20670</v>
      </c>
      <c r="P23" s="25"/>
      <c r="Q23" s="25"/>
      <c r="R23" s="17">
        <v>10000</v>
      </c>
      <c r="S23" s="41"/>
    </row>
    <row r="24" spans="8:19" ht="9.9" customHeight="1">
      <c r="K24" s="25"/>
      <c r="L24" s="27"/>
      <c r="M24" s="25"/>
      <c r="N24" s="32"/>
      <c r="O24" s="27"/>
      <c r="P24" s="25"/>
      <c r="Q24" s="25"/>
      <c r="R24" s="40"/>
      <c r="S24" s="25"/>
    </row>
    <row r="25" spans="8:19" ht="35.1" customHeight="1">
      <c r="K25" s="25"/>
      <c r="L25" s="27"/>
      <c r="M25" s="25"/>
      <c r="N25" s="33"/>
      <c r="O25" s="23" t="s">
        <v>93</v>
      </c>
      <c r="P25" s="25"/>
      <c r="Q25" s="25"/>
      <c r="R25" s="23" t="s">
        <v>90</v>
      </c>
      <c r="S25" s="25"/>
    </row>
    <row r="26" spans="8:19" ht="35.1" customHeight="1">
      <c r="K26" s="25"/>
      <c r="L26" s="27"/>
      <c r="M26" s="25"/>
      <c r="N26" s="32"/>
      <c r="O26" s="31">
        <v>12912</v>
      </c>
      <c r="P26" s="25"/>
      <c r="Q26" s="25"/>
      <c r="R26" s="17">
        <f>1451+740</f>
        <v>2191</v>
      </c>
      <c r="S26" s="41"/>
    </row>
    <row r="27" spans="8:19" ht="9.9" customHeight="1">
      <c r="K27" s="25"/>
      <c r="L27" s="27"/>
      <c r="M27" s="25"/>
      <c r="N27" s="32"/>
      <c r="O27" s="27"/>
      <c r="P27" s="25"/>
      <c r="Q27" s="25"/>
      <c r="R27" s="27"/>
      <c r="S27" s="25"/>
    </row>
    <row r="28" spans="8:19" ht="35.1" customHeight="1">
      <c r="K28" s="25"/>
      <c r="L28" s="27"/>
      <c r="M28" s="25"/>
      <c r="N28" s="33"/>
      <c r="O28" s="23" t="s">
        <v>85</v>
      </c>
      <c r="P28" s="25"/>
      <c r="Q28" s="25"/>
      <c r="R28" s="23" t="s">
        <v>79</v>
      </c>
      <c r="S28" s="25"/>
    </row>
    <row r="29" spans="8:19" ht="35.1" customHeight="1">
      <c r="K29" s="25"/>
      <c r="L29" s="27"/>
      <c r="M29" s="25"/>
      <c r="N29" s="32"/>
      <c r="O29" s="31"/>
      <c r="P29" s="25"/>
      <c r="Q29" s="25"/>
      <c r="R29" s="17">
        <v>11520</v>
      </c>
      <c r="S29" s="41" t="s">
        <v>94</v>
      </c>
    </row>
    <row r="30" spans="8:19" ht="9.9" customHeight="1">
      <c r="K30" s="25"/>
      <c r="L30" s="27"/>
      <c r="M30" s="25"/>
      <c r="N30" s="32"/>
      <c r="O30" s="27"/>
      <c r="P30" s="25"/>
      <c r="Q30" s="25"/>
      <c r="R30" s="27"/>
      <c r="S30" s="25"/>
    </row>
    <row r="31" spans="8:19" ht="35.1" customHeight="1">
      <c r="K31" s="25"/>
      <c r="L31" s="27"/>
      <c r="M31" s="25"/>
      <c r="N31" s="33"/>
      <c r="O31" s="23" t="s">
        <v>19</v>
      </c>
      <c r="P31" s="25"/>
    </row>
    <row r="32" spans="8:19" ht="35.1" customHeight="1">
      <c r="K32" s="25"/>
      <c r="L32" s="27"/>
      <c r="M32" s="25"/>
      <c r="N32" s="42"/>
      <c r="O32" s="31">
        <v>8100</v>
      </c>
      <c r="P32" s="41" t="s">
        <v>74</v>
      </c>
    </row>
    <row r="33" spans="11:16" ht="35.1" customHeight="1">
      <c r="K33" s="25"/>
      <c r="L33" s="27"/>
      <c r="M33" s="25"/>
      <c r="N33" s="43"/>
      <c r="O33" s="31">
        <v>2095</v>
      </c>
      <c r="P33" s="41" t="s">
        <v>75</v>
      </c>
    </row>
    <row r="34" spans="11:16" ht="35.1" customHeight="1">
      <c r="K34" s="25"/>
      <c r="L34" s="27"/>
      <c r="M34" s="25"/>
      <c r="N34" s="43"/>
      <c r="O34" s="31">
        <v>1080</v>
      </c>
      <c r="P34" s="41" t="s">
        <v>76</v>
      </c>
    </row>
    <row r="35" spans="11:16" ht="9.9" customHeight="1">
      <c r="K35" s="25"/>
      <c r="L35" s="27"/>
      <c r="M35" s="25"/>
      <c r="N35" s="25"/>
      <c r="O35" s="27"/>
      <c r="P35" s="25"/>
    </row>
    <row r="36" spans="11:16" ht="35.1" customHeight="1">
      <c r="K36" s="25"/>
      <c r="L36" s="22" t="s">
        <v>11</v>
      </c>
      <c r="M36" s="28"/>
      <c r="N36" s="29"/>
      <c r="O36" s="23" t="s">
        <v>71</v>
      </c>
      <c r="P36" s="25"/>
    </row>
    <row r="37" spans="11:16" ht="35.1" customHeight="1">
      <c r="K37" s="25"/>
      <c r="L37" s="17">
        <f>SUM(O36:O40)</f>
        <v>19000</v>
      </c>
      <c r="M37" s="30"/>
      <c r="N37" s="30"/>
      <c r="O37" s="47">
        <v>9500</v>
      </c>
      <c r="P37" s="25"/>
    </row>
    <row r="38" spans="11:16" ht="9.9" customHeight="1">
      <c r="K38" s="25"/>
      <c r="L38" s="27"/>
      <c r="M38" s="25"/>
      <c r="N38" s="32"/>
      <c r="O38" s="27"/>
      <c r="P38" s="25"/>
    </row>
    <row r="39" spans="11:16" ht="35.1" customHeight="1">
      <c r="K39" s="25"/>
      <c r="L39" s="27"/>
      <c r="M39" s="25"/>
      <c r="N39" s="33"/>
      <c r="O39" s="23" t="s">
        <v>77</v>
      </c>
      <c r="P39" s="41"/>
    </row>
    <row r="40" spans="11:16" ht="35.1" customHeight="1">
      <c r="K40" s="25"/>
      <c r="L40" s="27"/>
      <c r="M40" s="25"/>
      <c r="N40" s="25"/>
      <c r="O40" s="47">
        <v>9500</v>
      </c>
      <c r="P40" s="41" t="s">
        <v>78</v>
      </c>
    </row>
    <row r="41" spans="11:16" ht="9.9" customHeight="1">
      <c r="K41" s="25"/>
      <c r="L41" s="27"/>
      <c r="M41" s="25"/>
      <c r="N41" s="25"/>
      <c r="O41" s="27"/>
      <c r="P41" s="25"/>
    </row>
    <row r="42" spans="11:16" ht="35.1" customHeight="1">
      <c r="K42" s="25"/>
      <c r="L42" s="22" t="s">
        <v>7</v>
      </c>
      <c r="M42" s="25"/>
      <c r="N42" s="25"/>
      <c r="O42" s="22" t="s">
        <v>16</v>
      </c>
      <c r="P42" s="25"/>
    </row>
    <row r="43" spans="11:16" ht="35.1" customHeight="1">
      <c r="K43" s="25"/>
      <c r="L43" s="17">
        <f>SUM(O43)</f>
        <v>3500</v>
      </c>
      <c r="M43" s="30"/>
      <c r="N43" s="42"/>
      <c r="O43" s="31">
        <v>3500</v>
      </c>
      <c r="P43" s="25"/>
    </row>
    <row r="44" spans="11:16" ht="9.9" customHeight="1">
      <c r="K44" s="25"/>
      <c r="L44" s="27"/>
      <c r="M44" s="25"/>
      <c r="N44" s="25"/>
      <c r="O44" s="27"/>
      <c r="P44" s="25"/>
    </row>
    <row r="45" spans="11:16" ht="35.1" customHeight="1">
      <c r="K45" s="25"/>
      <c r="L45" s="48" t="s">
        <v>67</v>
      </c>
      <c r="M45" s="28"/>
      <c r="N45" s="29"/>
      <c r="O45" s="48" t="s">
        <v>106</v>
      </c>
      <c r="P45" s="25"/>
    </row>
    <row r="46" spans="11:16" ht="35.1" customHeight="1">
      <c r="K46" s="25"/>
      <c r="L46" s="56">
        <f>SUM(O45:O49)</f>
        <v>45363</v>
      </c>
      <c r="M46" s="30"/>
      <c r="N46" s="30"/>
      <c r="O46" s="55">
        <f>(84348+45540)/900*300</f>
        <v>43296</v>
      </c>
      <c r="P46" s="25"/>
    </row>
    <row r="47" spans="11:16" ht="9.9" customHeight="1">
      <c r="K47" s="25"/>
      <c r="L47" s="27"/>
      <c r="M47" s="25"/>
      <c r="N47" s="32"/>
      <c r="O47" s="27"/>
      <c r="P47" s="25"/>
    </row>
    <row r="48" spans="11:16" ht="35.1" customHeight="1">
      <c r="K48" s="25"/>
      <c r="L48" s="27"/>
      <c r="M48" s="25"/>
      <c r="N48" s="33"/>
      <c r="O48" s="54" t="s">
        <v>108</v>
      </c>
      <c r="P48" s="25"/>
    </row>
    <row r="49" spans="11:16" ht="35.1" customHeight="1">
      <c r="K49" s="25"/>
      <c r="L49" s="27"/>
      <c r="M49" s="25"/>
      <c r="N49" s="25"/>
      <c r="O49" s="55">
        <v>2067</v>
      </c>
      <c r="P49" s="25"/>
    </row>
    <row r="50" spans="11:16" ht="9.9" customHeight="1">
      <c r="K50" s="25"/>
      <c r="L50" s="27"/>
      <c r="M50" s="25"/>
      <c r="N50" s="25"/>
      <c r="O50" s="27"/>
      <c r="P50" s="25"/>
    </row>
    <row r="51" spans="11:16" ht="35.1" customHeight="1">
      <c r="K51" s="25"/>
      <c r="L51" s="52" t="s">
        <v>66</v>
      </c>
      <c r="M51" s="34"/>
      <c r="N51" s="57" t="s">
        <v>58</v>
      </c>
      <c r="O51" s="23" t="s">
        <v>18</v>
      </c>
      <c r="P51" s="25"/>
    </row>
    <row r="52" spans="11:16" ht="35.1" customHeight="1">
      <c r="K52" s="25"/>
      <c r="L52" s="53">
        <v>353900</v>
      </c>
      <c r="M52" s="25"/>
      <c r="N52" s="58"/>
      <c r="O52" s="31"/>
      <c r="P52" s="25"/>
    </row>
    <row r="53" spans="11:16" ht="9.9" customHeight="1">
      <c r="K53" s="25"/>
      <c r="L53" s="27"/>
      <c r="M53" s="25"/>
      <c r="N53" s="59"/>
      <c r="O53" s="27"/>
      <c r="P53" s="25"/>
    </row>
    <row r="54" spans="11:16" ht="35.1" customHeight="1">
      <c r="K54" s="25"/>
      <c r="L54" s="27"/>
      <c r="M54" s="25"/>
      <c r="N54" s="60" t="s">
        <v>58</v>
      </c>
      <c r="O54" s="23" t="s">
        <v>100</v>
      </c>
      <c r="P54" s="25"/>
    </row>
    <row r="55" spans="11:16" ht="35.1" customHeight="1">
      <c r="K55" s="25"/>
      <c r="L55" s="27"/>
      <c r="M55" s="25"/>
      <c r="N55" s="59"/>
      <c r="O55" s="31"/>
      <c r="P55" s="25"/>
    </row>
    <row r="56" spans="11:16" ht="9.9" customHeight="1">
      <c r="K56" s="25"/>
      <c r="L56" s="27"/>
      <c r="M56" s="25"/>
      <c r="N56" s="59"/>
      <c r="O56" s="27"/>
      <c r="P56" s="25"/>
    </row>
    <row r="57" spans="11:16" ht="35.1" customHeight="1">
      <c r="K57" s="25"/>
      <c r="L57" s="27"/>
      <c r="M57" s="25"/>
      <c r="N57" s="60" t="s">
        <v>58</v>
      </c>
      <c r="O57" s="23" t="s">
        <v>60</v>
      </c>
      <c r="P57" s="25"/>
    </row>
    <row r="58" spans="11:16" ht="35.1" customHeight="1">
      <c r="K58" s="25"/>
      <c r="L58" s="27"/>
      <c r="M58" s="25"/>
      <c r="N58" s="59"/>
      <c r="O58" s="31"/>
      <c r="P58" s="25"/>
    </row>
    <row r="59" spans="11:16" ht="9.9" customHeight="1">
      <c r="K59" s="25"/>
      <c r="L59" s="27"/>
      <c r="M59" s="25"/>
      <c r="N59" s="59"/>
      <c r="O59" s="27"/>
      <c r="P59" s="25"/>
    </row>
    <row r="60" spans="11:16" ht="35.1" customHeight="1">
      <c r="K60" s="25"/>
      <c r="L60" s="27"/>
      <c r="M60" s="25"/>
      <c r="N60" s="60" t="s">
        <v>59</v>
      </c>
      <c r="O60" s="23" t="s">
        <v>61</v>
      </c>
      <c r="P60" s="25"/>
    </row>
    <row r="61" spans="11:16" ht="35.1" customHeight="1">
      <c r="K61" s="25"/>
      <c r="L61" s="27"/>
      <c r="M61" s="25"/>
      <c r="N61" s="59"/>
      <c r="O61" s="31"/>
      <c r="P61" s="25"/>
    </row>
    <row r="62" spans="11:16" ht="9.9" customHeight="1">
      <c r="K62" s="25"/>
      <c r="L62" s="27"/>
      <c r="M62" s="25"/>
      <c r="N62" s="59"/>
      <c r="O62" s="27"/>
      <c r="P62" s="25"/>
    </row>
    <row r="63" spans="11:16" ht="35.1" customHeight="1">
      <c r="K63" s="25"/>
      <c r="L63" s="27"/>
      <c r="M63" s="25"/>
      <c r="N63" s="60" t="s">
        <v>59</v>
      </c>
      <c r="O63" s="23" t="s">
        <v>62</v>
      </c>
      <c r="P63" s="25"/>
    </row>
    <row r="64" spans="11:16" ht="35.1" customHeight="1">
      <c r="K64" s="25"/>
      <c r="L64" s="27"/>
      <c r="M64" s="25"/>
      <c r="N64" s="59"/>
      <c r="O64" s="31"/>
      <c r="P64" s="25"/>
    </row>
    <row r="65" spans="11:16" ht="9.9" customHeight="1">
      <c r="K65" s="25"/>
      <c r="L65" s="27"/>
      <c r="M65" s="25"/>
      <c r="N65" s="59"/>
      <c r="O65" s="27"/>
      <c r="P65" s="25"/>
    </row>
    <row r="66" spans="11:16" ht="35.1" customHeight="1">
      <c r="K66" s="25"/>
      <c r="L66" s="27"/>
      <c r="M66" s="25"/>
      <c r="N66" s="60" t="s">
        <v>59</v>
      </c>
      <c r="O66" s="23" t="s">
        <v>57</v>
      </c>
      <c r="P66" s="25"/>
    </row>
    <row r="67" spans="11:16" ht="35.1" customHeight="1">
      <c r="K67" s="25"/>
      <c r="L67" s="27"/>
      <c r="M67" s="25"/>
      <c r="N67" s="59"/>
      <c r="O67" s="31"/>
      <c r="P67" s="25"/>
    </row>
    <row r="68" spans="11:16" ht="9.9" customHeight="1">
      <c r="K68" s="25"/>
      <c r="L68" s="27"/>
      <c r="M68" s="25"/>
      <c r="N68" s="59"/>
      <c r="O68" s="27"/>
      <c r="P68" s="25"/>
    </row>
    <row r="69" spans="11:16" ht="35.1" customHeight="1">
      <c r="K69" s="25"/>
      <c r="L69" s="27"/>
      <c r="M69" s="25"/>
      <c r="N69" s="60" t="s">
        <v>59</v>
      </c>
      <c r="O69" s="23" t="s">
        <v>101</v>
      </c>
      <c r="P69" s="25"/>
    </row>
    <row r="70" spans="11:16" ht="35.1" customHeight="1">
      <c r="K70" s="25"/>
      <c r="L70" s="27"/>
      <c r="M70" s="25"/>
      <c r="N70" s="59"/>
      <c r="O70" s="31"/>
      <c r="P70" s="41" t="s">
        <v>102</v>
      </c>
    </row>
    <row r="71" spans="11:16" ht="9.9" customHeight="1">
      <c r="K71" s="25"/>
      <c r="L71" s="27"/>
      <c r="M71" s="25"/>
      <c r="N71" s="59"/>
      <c r="O71" s="27"/>
      <c r="P71" s="25"/>
    </row>
    <row r="72" spans="11:16" ht="35.1" customHeight="1">
      <c r="K72" s="25"/>
      <c r="L72" s="27"/>
      <c r="M72" s="25"/>
      <c r="N72" s="60" t="s">
        <v>59</v>
      </c>
      <c r="O72" s="23" t="s">
        <v>60</v>
      </c>
      <c r="P72" s="32"/>
    </row>
    <row r="73" spans="11:16" ht="35.1" customHeight="1">
      <c r="K73" s="25"/>
      <c r="L73" s="27"/>
      <c r="M73" s="25"/>
      <c r="N73" s="25"/>
      <c r="O73" s="31"/>
      <c r="P73" s="32"/>
    </row>
    <row r="74" spans="11:16" ht="9.9" customHeight="1">
      <c r="K74" s="25"/>
      <c r="L74" s="27"/>
      <c r="M74" s="25"/>
      <c r="N74" s="25"/>
      <c r="O74" s="27"/>
      <c r="P74" s="25"/>
    </row>
    <row r="75" spans="11:16" ht="35.1" customHeight="1">
      <c r="K75" s="25"/>
      <c r="L75" s="23" t="s">
        <v>73</v>
      </c>
      <c r="M75" s="34"/>
      <c r="N75" s="29"/>
      <c r="O75" s="23" t="s">
        <v>72</v>
      </c>
      <c r="P75" s="25"/>
    </row>
    <row r="76" spans="11:16" ht="35.1" customHeight="1">
      <c r="K76" s="25"/>
      <c r="L76" s="17">
        <f>SUM(O75:O82)</f>
        <v>100715</v>
      </c>
      <c r="M76" s="32"/>
      <c r="N76" s="44"/>
      <c r="O76" s="31">
        <f>47895+4200</f>
        <v>52095</v>
      </c>
      <c r="P76" s="25"/>
    </row>
    <row r="77" spans="11:16" ht="9.9" customHeight="1">
      <c r="K77" s="25"/>
      <c r="L77" s="27"/>
      <c r="M77" s="25"/>
      <c r="N77" s="32"/>
      <c r="O77" s="27"/>
      <c r="P77" s="25"/>
    </row>
    <row r="78" spans="11:16" ht="35.1" customHeight="1">
      <c r="K78" s="25"/>
      <c r="L78" s="27"/>
      <c r="M78" s="25"/>
      <c r="N78" s="33"/>
      <c r="O78" s="23" t="s">
        <v>88</v>
      </c>
      <c r="P78" s="25"/>
    </row>
    <row r="79" spans="11:16" ht="35.1" customHeight="1">
      <c r="K79" s="25"/>
      <c r="L79" s="27"/>
      <c r="M79" s="25"/>
      <c r="N79" s="32"/>
      <c r="O79" s="31">
        <f>45056</f>
        <v>45056</v>
      </c>
      <c r="P79" s="25"/>
    </row>
    <row r="80" spans="11:16" ht="9.9" customHeight="1">
      <c r="K80" s="25"/>
      <c r="L80" s="27"/>
      <c r="M80" s="25"/>
      <c r="N80" s="32"/>
      <c r="O80" s="27"/>
      <c r="P80" s="25"/>
    </row>
    <row r="81" spans="11:16" ht="35.1" customHeight="1">
      <c r="K81" s="25"/>
      <c r="L81" s="27"/>
      <c r="M81" s="25"/>
      <c r="N81" s="33"/>
      <c r="O81" s="23" t="s">
        <v>89</v>
      </c>
      <c r="P81" s="25"/>
    </row>
    <row r="82" spans="11:16" ht="35.1" customHeight="1">
      <c r="K82" s="25"/>
      <c r="L82" s="27"/>
      <c r="M82" s="25"/>
      <c r="N82" s="25"/>
      <c r="O82" s="31">
        <f>1404+2160</f>
        <v>3564</v>
      </c>
      <c r="P82" s="25"/>
    </row>
    <row r="83" spans="11:16" ht="9.9" customHeight="1">
      <c r="K83" s="25"/>
      <c r="L83" s="27"/>
      <c r="M83" s="25"/>
      <c r="N83" s="25"/>
      <c r="O83" s="27"/>
      <c r="P83" s="25"/>
    </row>
    <row r="84" spans="11:16" ht="35.1" customHeight="1">
      <c r="K84" s="25"/>
      <c r="L84" s="23" t="s">
        <v>14</v>
      </c>
      <c r="M84" s="28"/>
      <c r="N84" s="29"/>
      <c r="O84" s="48" t="s">
        <v>107</v>
      </c>
      <c r="P84" s="25"/>
    </row>
    <row r="85" spans="11:16" ht="34.5" customHeight="1">
      <c r="K85" s="25"/>
      <c r="L85" s="17">
        <f>SUM(O84:O96)</f>
        <v>110489</v>
      </c>
      <c r="M85" s="30"/>
      <c r="N85" s="30"/>
      <c r="O85" s="55">
        <f>(84348+45540)/900*600</f>
        <v>86592</v>
      </c>
      <c r="P85" s="25"/>
    </row>
    <row r="86" spans="11:16" ht="9.9" customHeight="1">
      <c r="K86" s="25"/>
      <c r="L86" s="27"/>
      <c r="M86" s="25"/>
      <c r="N86" s="32"/>
      <c r="O86" s="27"/>
      <c r="P86" s="25"/>
    </row>
    <row r="87" spans="11:16" ht="35.1" customHeight="1">
      <c r="K87" s="25"/>
      <c r="L87" s="27"/>
      <c r="M87" s="25"/>
      <c r="N87" s="33"/>
      <c r="O87" s="23" t="s">
        <v>15</v>
      </c>
      <c r="P87" s="25"/>
    </row>
    <row r="88" spans="11:16" ht="35.1" customHeight="1">
      <c r="K88" s="25"/>
      <c r="L88" s="27"/>
      <c r="M88" s="25"/>
      <c r="N88" s="44"/>
      <c r="O88" s="31">
        <f>214+6264+1698+4956+358</f>
        <v>13490</v>
      </c>
      <c r="P88" s="25"/>
    </row>
    <row r="89" spans="11:16" ht="9.9" customHeight="1">
      <c r="K89" s="25"/>
      <c r="L89" s="27"/>
      <c r="M89" s="25"/>
      <c r="N89" s="32"/>
      <c r="O89" s="27"/>
      <c r="P89" s="25"/>
    </row>
    <row r="90" spans="11:16" ht="35.1" customHeight="1">
      <c r="K90" s="25"/>
      <c r="L90" s="27"/>
      <c r="M90" s="25"/>
      <c r="N90" s="33"/>
      <c r="O90" s="23" t="s">
        <v>87</v>
      </c>
      <c r="P90" s="25"/>
    </row>
    <row r="91" spans="11:16" ht="35.1" customHeight="1">
      <c r="K91" s="25"/>
      <c r="L91" s="27"/>
      <c r="M91" s="25"/>
      <c r="N91" s="30"/>
      <c r="O91" s="31">
        <f>2306+1557</f>
        <v>3863</v>
      </c>
      <c r="P91" s="25"/>
    </row>
    <row r="92" spans="11:16" ht="9.9" customHeight="1">
      <c r="K92" s="25"/>
      <c r="L92" s="27"/>
      <c r="M92" s="25"/>
      <c r="N92" s="32"/>
      <c r="O92" s="27"/>
      <c r="P92" s="25"/>
    </row>
    <row r="93" spans="11:16" ht="35.1" customHeight="1">
      <c r="K93" s="25"/>
      <c r="L93" s="27"/>
      <c r="M93" s="25"/>
      <c r="N93" s="33"/>
      <c r="O93" s="23" t="s">
        <v>13</v>
      </c>
      <c r="P93" s="25"/>
    </row>
    <row r="94" spans="11:16" ht="35.1" customHeight="1">
      <c r="K94" s="25"/>
      <c r="L94" s="27"/>
      <c r="M94" s="25"/>
      <c r="N94" s="42"/>
      <c r="O94" s="31">
        <v>2000</v>
      </c>
      <c r="P94" s="45" t="s">
        <v>80</v>
      </c>
    </row>
    <row r="95" spans="11:16" ht="35.1" customHeight="1">
      <c r="K95" s="25"/>
      <c r="L95" s="27"/>
      <c r="M95" s="25"/>
      <c r="N95" s="43"/>
      <c r="O95" s="31">
        <v>2700</v>
      </c>
      <c r="P95" s="41" t="s">
        <v>81</v>
      </c>
    </row>
    <row r="96" spans="11:16" ht="35.1" customHeight="1">
      <c r="K96" s="25"/>
      <c r="L96" s="27"/>
      <c r="M96" s="25"/>
      <c r="N96" s="43"/>
      <c r="O96" s="31">
        <v>1844</v>
      </c>
      <c r="P96" s="41" t="s">
        <v>82</v>
      </c>
    </row>
  </sheetData>
  <mergeCells count="4">
    <mergeCell ref="B3:B4"/>
    <mergeCell ref="C3:C4"/>
    <mergeCell ref="B6:B7"/>
    <mergeCell ref="C6:C7"/>
  </mergeCells>
  <phoneticPr fontId="1"/>
  <printOptions horizontalCentered="1" verticalCentered="1" headings="1"/>
  <pageMargins left="0.70866141732283472" right="0.70866141732283472" top="0.74803149606299213" bottom="0.35433070866141736" header="0.31496062992125984" footer="0.11811023622047245"/>
  <pageSetup paperSize="8" scale="41" orientation="portrait" r:id="rId1"/>
  <headerFooter>
    <oddHeader>&amp;C&amp;20Ｒ５年度　祭礼　予算シミュレーション&amp;R&amp;20&amp;D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3416-9D5D-445F-846B-8D58477D07DE}">
  <dimension ref="A2:D27"/>
  <sheetViews>
    <sheetView workbookViewId="0">
      <selection activeCell="B30" sqref="B30"/>
    </sheetView>
  </sheetViews>
  <sheetFormatPr defaultRowHeight="18"/>
  <cols>
    <col min="1" max="1" width="3.5" customWidth="1"/>
    <col min="2" max="2" width="29.3984375" bestFit="1" customWidth="1"/>
    <col min="3" max="3" width="17.19921875" bestFit="1" customWidth="1"/>
  </cols>
  <sheetData>
    <row r="2" spans="1:4">
      <c r="A2" s="8" t="s">
        <v>35</v>
      </c>
      <c r="D2" s="9" t="s">
        <v>51</v>
      </c>
    </row>
    <row r="3" spans="1:4">
      <c r="B3" s="1" t="s">
        <v>36</v>
      </c>
      <c r="C3" s="1" t="s">
        <v>37</v>
      </c>
      <c r="D3" s="3">
        <v>1565</v>
      </c>
    </row>
    <row r="4" spans="1:4">
      <c r="B4" s="5" t="s">
        <v>38</v>
      </c>
      <c r="C4" s="4" t="s">
        <v>28</v>
      </c>
      <c r="D4" s="3">
        <v>26000</v>
      </c>
    </row>
    <row r="5" spans="1:4">
      <c r="B5" s="1" t="s">
        <v>39</v>
      </c>
      <c r="C5" s="1" t="s">
        <v>37</v>
      </c>
      <c r="D5" s="3">
        <v>4020</v>
      </c>
    </row>
    <row r="6" spans="1:4">
      <c r="B6" s="5" t="s">
        <v>40</v>
      </c>
      <c r="C6" s="4" t="s">
        <v>23</v>
      </c>
      <c r="D6" s="3">
        <v>6238</v>
      </c>
    </row>
    <row r="7" spans="1:4">
      <c r="B7" s="5" t="s">
        <v>41</v>
      </c>
      <c r="C7" s="4" t="s">
        <v>42</v>
      </c>
      <c r="D7" s="3">
        <v>20200</v>
      </c>
    </row>
    <row r="8" spans="1:4">
      <c r="B8" s="5" t="s">
        <v>43</v>
      </c>
      <c r="C8" s="4" t="s">
        <v>42</v>
      </c>
      <c r="D8" s="3">
        <v>400</v>
      </c>
    </row>
    <row r="9" spans="1:4">
      <c r="B9" s="5" t="s">
        <v>44</v>
      </c>
      <c r="C9" s="4" t="s">
        <v>31</v>
      </c>
      <c r="D9" s="3">
        <v>3675</v>
      </c>
    </row>
    <row r="10" spans="1:4">
      <c r="B10" s="5" t="s">
        <v>45</v>
      </c>
      <c r="C10" s="4" t="s">
        <v>46</v>
      </c>
      <c r="D10" s="3">
        <v>103122</v>
      </c>
    </row>
    <row r="11" spans="1:4">
      <c r="B11" s="5" t="s">
        <v>47</v>
      </c>
      <c r="C11" s="4" t="s">
        <v>48</v>
      </c>
      <c r="D11" s="3">
        <v>33760</v>
      </c>
    </row>
    <row r="12" spans="1:4">
      <c r="C12" s="10" t="s">
        <v>52</v>
      </c>
      <c r="D12" s="3">
        <f>SUM(D3:D11)</f>
        <v>198980</v>
      </c>
    </row>
    <row r="13" spans="1:4">
      <c r="A13" s="8"/>
    </row>
    <row r="14" spans="1:4">
      <c r="A14" s="8" t="s">
        <v>34</v>
      </c>
      <c r="D14" s="9" t="s">
        <v>51</v>
      </c>
    </row>
    <row r="15" spans="1:4">
      <c r="B15" s="1" t="s">
        <v>20</v>
      </c>
      <c r="C15" s="2" t="s">
        <v>21</v>
      </c>
      <c r="D15" s="3">
        <v>13696</v>
      </c>
    </row>
    <row r="16" spans="1:4">
      <c r="B16" s="1" t="s">
        <v>22</v>
      </c>
      <c r="C16" s="2" t="s">
        <v>23</v>
      </c>
      <c r="D16" s="3">
        <v>13405</v>
      </c>
    </row>
    <row r="17" spans="2:4">
      <c r="B17" s="1" t="s">
        <v>24</v>
      </c>
      <c r="C17" s="2" t="s">
        <v>25</v>
      </c>
      <c r="D17" s="3">
        <v>10300</v>
      </c>
    </row>
    <row r="18" spans="2:4">
      <c r="B18" s="1" t="s">
        <v>26</v>
      </c>
      <c r="C18" s="4" t="s">
        <v>23</v>
      </c>
      <c r="D18" s="3">
        <v>952</v>
      </c>
    </row>
    <row r="19" spans="2:4">
      <c r="B19" s="1" t="s">
        <v>27</v>
      </c>
      <c r="C19" s="2" t="s">
        <v>28</v>
      </c>
      <c r="D19" s="3">
        <v>24000</v>
      </c>
    </row>
    <row r="20" spans="2:4">
      <c r="B20" s="1" t="s">
        <v>30</v>
      </c>
      <c r="C20" s="2" t="s">
        <v>29</v>
      </c>
      <c r="D20" s="3">
        <v>57240</v>
      </c>
    </row>
    <row r="21" spans="2:4" ht="32.4">
      <c r="B21" s="7" t="s">
        <v>50</v>
      </c>
      <c r="C21" s="2" t="s">
        <v>31</v>
      </c>
      <c r="D21" s="3">
        <v>13150</v>
      </c>
    </row>
    <row r="22" spans="2:4">
      <c r="B22" s="1" t="s">
        <v>32</v>
      </c>
      <c r="C22" s="2" t="s">
        <v>33</v>
      </c>
      <c r="D22" s="3">
        <v>4320</v>
      </c>
    </row>
    <row r="23" spans="2:4">
      <c r="B23" s="1" t="s">
        <v>49</v>
      </c>
      <c r="C23" s="2" t="s">
        <v>29</v>
      </c>
      <c r="D23" s="3">
        <v>4500</v>
      </c>
    </row>
    <row r="24" spans="2:4">
      <c r="C24" s="10" t="s">
        <v>52</v>
      </c>
      <c r="D24" s="3">
        <f>SUM(D15:D23)</f>
        <v>141563</v>
      </c>
    </row>
    <row r="26" spans="2:4">
      <c r="B26" s="6" t="s">
        <v>53</v>
      </c>
    </row>
    <row r="27" spans="2:4">
      <c r="B27" s="6" t="s">
        <v>54</v>
      </c>
    </row>
  </sheetData>
  <phoneticPr fontId="1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①宵宮祭rev.A</vt:lpstr>
      <vt:lpstr>②本祭rev.A</vt:lpstr>
      <vt:lpstr>R6 収支計画</vt:lpstr>
      <vt:lpstr>R5年度祭礼予算計画シミュレーション</vt:lpstr>
      <vt:lpstr>実績メモ</vt:lpstr>
      <vt:lpstr>①宵宮祭rev.A!Print_Area</vt:lpstr>
      <vt:lpstr>②本祭rev.A!Print_Area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橋本岳</dc:creator>
  <cp:lastModifiedBy>hashimoto takeshi(橋本 岳 ＴＥＴＣ ○シス本□ＳＷ技○ＳＷ１)</cp:lastModifiedBy>
  <cp:lastPrinted>2026-06-09T22:55:19Z</cp:lastPrinted>
  <dcterms:created xsi:type="dcterms:W3CDTF">2015-06-05T18:19:34Z</dcterms:created>
  <dcterms:modified xsi:type="dcterms:W3CDTF">2026-06-10T00:21:14Z</dcterms:modified>
</cp:coreProperties>
</file>