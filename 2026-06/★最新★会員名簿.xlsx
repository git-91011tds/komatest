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MyWorks\komatest\2026-06\"/>
    </mc:Choice>
  </mc:AlternateContent>
  <xr:revisionPtr revIDLastSave="0" documentId="13_ncr:1_{EBF85CC2-C136-4A4A-979B-5EB20CD4E666}" xr6:coauthVersionLast="47" xr6:coauthVersionMax="47" xr10:uidLastSave="{00000000-0000-0000-0000-000000000000}"/>
  <bookViews>
    <workbookView xWindow="15096" yWindow="12900" windowWidth="22884" windowHeight="11160" tabRatio="777" xr2:uid="{00000000-000D-0000-FFFF-FFFF00000000}"/>
  </bookViews>
  <sheets>
    <sheet name="Sheet1" sheetId="58" r:id="rId1"/>
    <sheet name="マスタ" sheetId="54" r:id="rId2"/>
    <sheet name="2026-0602" sheetId="57" r:id="rId3"/>
    <sheet name="2026-0524" sheetId="56" r:id="rId4"/>
    <sheet name="2026-0426" sheetId="55" r:id="rId5"/>
    <sheet name="2026-0418" sheetId="52" r:id="rId6"/>
    <sheet name="R8要支援者" sheetId="53" r:id="rId7"/>
    <sheet name="2026-0201" sheetId="51" r:id="rId8"/>
    <sheet name="2026-0125" sheetId="50" r:id="rId9"/>
    <sheet name="2026-0103" sheetId="49" r:id="rId10"/>
  </sheets>
  <definedNames>
    <definedName name="_xlnm._FilterDatabase" localSheetId="9" hidden="1">'2026-0103'!$A$2:$I$191</definedName>
    <definedName name="_xlnm._FilterDatabase" localSheetId="8" hidden="1">'2026-0125'!$A$2:$I$191</definedName>
    <definedName name="_xlnm._FilterDatabase" localSheetId="7" hidden="1">'2026-0201'!$A$2:$I$190</definedName>
    <definedName name="_xlnm._FilterDatabase" localSheetId="5" hidden="1">'2026-0418'!$A$2:$I$190</definedName>
    <definedName name="_xlnm._FilterDatabase" localSheetId="4" hidden="1">'2026-0426'!$A$2:$I$190</definedName>
    <definedName name="_xlnm._FilterDatabase" localSheetId="3" hidden="1">'2026-0524'!$A$2:$I$191</definedName>
    <definedName name="_xlnm._FilterDatabase" localSheetId="2" hidden="1">'2026-0602'!$A$2:$I$191</definedName>
    <definedName name="_xlnm._FilterDatabase" localSheetId="6" hidden="1">'R8要支援者'!$H$1:$H$193</definedName>
    <definedName name="_xlnm._FilterDatabase" localSheetId="1" hidden="1">マスタ!$A$2:$I$191</definedName>
    <definedName name="_xlnm.Print_Area" localSheetId="9">'2026-0103'!$A$1:$I$195</definedName>
    <definedName name="_xlnm.Print_Area" localSheetId="8">'2026-0125'!$A$1:$I$195</definedName>
    <definedName name="_xlnm.Print_Area" localSheetId="7">'2026-0201'!$A$1:$I$194</definedName>
    <definedName name="_xlnm.Print_Area" localSheetId="5">'2026-0418'!$A$1:$I$196</definedName>
    <definedName name="_xlnm.Print_Area" localSheetId="4">'2026-0426'!$A$1:$I$196</definedName>
    <definedName name="_xlnm.Print_Area" localSheetId="3">'2026-0524'!$A$1:$I$197</definedName>
    <definedName name="_xlnm.Print_Area" localSheetId="2">'2026-0602'!$A$1:$I$197</definedName>
    <definedName name="_xlnm.Print_Area" localSheetId="6">'R8要支援者'!$A$1:$J$193</definedName>
    <definedName name="_xlnm.Print_Area" localSheetId="1">マスタ!$A$1:$I$197</definedName>
    <definedName name="_xlnm.Print_Titles" localSheetId="9">'2026-0103'!$1:$2</definedName>
    <definedName name="_xlnm.Print_Titles" localSheetId="8">'2026-0125'!$1:$2</definedName>
    <definedName name="_xlnm.Print_Titles" localSheetId="7">'2026-0201'!$1:$2</definedName>
    <definedName name="_xlnm.Print_Titles" localSheetId="5">'2026-0418'!$1:$2</definedName>
    <definedName name="_xlnm.Print_Titles" localSheetId="4">'2026-0426'!$1:$2</definedName>
    <definedName name="_xlnm.Print_Titles" localSheetId="3">'2026-0524'!$1:$2</definedName>
    <definedName name="_xlnm.Print_Titles" localSheetId="2">'2026-0602'!$1:$2</definedName>
    <definedName name="_xlnm.Print_Titles" localSheetId="6">'R8要支援者'!$1:$2</definedName>
    <definedName name="_xlnm.Print_Titles" localSheetId="1">マスタ!$1:$2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3" i="58" l="1"/>
  <c r="B212" i="58"/>
  <c r="B211" i="58"/>
  <c r="B210" i="58"/>
  <c r="B209" i="58"/>
  <c r="B208" i="58"/>
  <c r="B207" i="58"/>
  <c r="B206" i="58"/>
  <c r="B205" i="58"/>
  <c r="B204" i="58"/>
  <c r="B203" i="58"/>
  <c r="B202" i="58"/>
  <c r="B201" i="58"/>
  <c r="B200" i="58"/>
  <c r="B199" i="58"/>
  <c r="B198" i="58"/>
  <c r="B197" i="58"/>
  <c r="B196" i="58"/>
  <c r="B195" i="58"/>
  <c r="B194" i="58"/>
  <c r="B193" i="58"/>
  <c r="B192" i="58"/>
  <c r="B191" i="58"/>
  <c r="B190" i="58"/>
  <c r="B189" i="58"/>
  <c r="B188" i="58"/>
  <c r="B187" i="58"/>
  <c r="B186" i="58"/>
  <c r="B185" i="58"/>
  <c r="B184" i="58"/>
  <c r="B183" i="58"/>
  <c r="B182" i="58"/>
  <c r="B181" i="58"/>
  <c r="B180" i="58"/>
  <c r="B179" i="58"/>
  <c r="B178" i="58"/>
  <c r="B177" i="58"/>
  <c r="B176" i="58"/>
  <c r="B175" i="58"/>
  <c r="B174" i="58"/>
  <c r="B173" i="58"/>
  <c r="B172" i="58"/>
  <c r="B171" i="58"/>
  <c r="B170" i="58"/>
  <c r="B169" i="58"/>
  <c r="B168" i="58"/>
  <c r="B167" i="58"/>
  <c r="B166" i="58"/>
  <c r="B165" i="58"/>
  <c r="B164" i="58"/>
  <c r="B163" i="58"/>
  <c r="B162" i="58"/>
  <c r="B161" i="58"/>
  <c r="B160" i="58"/>
  <c r="B159" i="58"/>
  <c r="B158" i="58"/>
  <c r="B157" i="58"/>
  <c r="B156" i="58"/>
  <c r="B155" i="58"/>
  <c r="B154" i="58"/>
  <c r="B153" i="58"/>
  <c r="B152" i="58"/>
  <c r="B151" i="58"/>
  <c r="B150" i="58"/>
  <c r="B149" i="58"/>
  <c r="B148" i="58"/>
  <c r="B147" i="58"/>
  <c r="B146" i="58"/>
  <c r="B145" i="58"/>
  <c r="B144" i="58"/>
  <c r="B143" i="58"/>
  <c r="B142" i="58"/>
  <c r="B141" i="58"/>
  <c r="B140" i="58"/>
  <c r="B139" i="58"/>
  <c r="B138" i="58"/>
  <c r="B137" i="58"/>
  <c r="B136" i="58"/>
  <c r="B135" i="58"/>
  <c r="B134" i="58"/>
  <c r="B133" i="58"/>
  <c r="B132" i="58"/>
  <c r="B131" i="58"/>
  <c r="B130" i="58"/>
  <c r="B129" i="58"/>
  <c r="B128" i="58"/>
  <c r="B127" i="58"/>
  <c r="B126" i="58"/>
  <c r="B125" i="58"/>
  <c r="B124" i="58"/>
  <c r="B123" i="58"/>
  <c r="B122" i="58"/>
  <c r="B121" i="58"/>
  <c r="B120" i="58"/>
  <c r="B119" i="58"/>
  <c r="B118" i="58"/>
  <c r="B117" i="58"/>
  <c r="B116" i="58"/>
  <c r="B115" i="58"/>
  <c r="B114" i="58"/>
  <c r="B113" i="58"/>
  <c r="B112" i="58"/>
  <c r="B111" i="58"/>
  <c r="B110" i="58"/>
  <c r="B109" i="58"/>
  <c r="B108" i="58"/>
  <c r="B107" i="58"/>
  <c r="B106" i="58"/>
  <c r="B105" i="58"/>
  <c r="B104" i="58"/>
  <c r="B103" i="58"/>
  <c r="B102" i="58"/>
  <c r="B101" i="58"/>
  <c r="B100" i="58"/>
  <c r="B99" i="58"/>
  <c r="B98" i="58"/>
  <c r="B97" i="58"/>
  <c r="B96" i="58"/>
  <c r="B95" i="58"/>
  <c r="B94" i="58"/>
  <c r="B93" i="58"/>
  <c r="B92" i="58"/>
  <c r="B91" i="58"/>
  <c r="B90" i="58"/>
  <c r="B89" i="58"/>
  <c r="B88" i="58"/>
  <c r="B87" i="58"/>
  <c r="B86" i="58"/>
  <c r="B85" i="58"/>
  <c r="B84" i="58"/>
  <c r="B83" i="58"/>
  <c r="B82" i="58"/>
  <c r="B81" i="58"/>
  <c r="B80" i="58"/>
  <c r="B79" i="58"/>
  <c r="B78" i="58"/>
  <c r="B77" i="58"/>
  <c r="B76" i="58"/>
  <c r="B75" i="58"/>
  <c r="B74" i="58"/>
  <c r="B73" i="58"/>
  <c r="B72" i="58"/>
  <c r="B71" i="58"/>
  <c r="B70" i="58"/>
  <c r="B69" i="58"/>
  <c r="B68" i="58"/>
  <c r="B67" i="58"/>
  <c r="B66" i="58"/>
  <c r="B65" i="58"/>
  <c r="B64" i="58"/>
  <c r="B63" i="58"/>
  <c r="B62" i="58"/>
  <c r="B61" i="58"/>
  <c r="B60" i="58"/>
  <c r="B59" i="58"/>
  <c r="B58" i="58"/>
  <c r="B57" i="58"/>
  <c r="B56" i="58"/>
  <c r="B55" i="58"/>
  <c r="B54" i="58"/>
  <c r="B53" i="58"/>
  <c r="B52" i="58"/>
  <c r="B51" i="58"/>
  <c r="B50" i="58"/>
  <c r="B49" i="58"/>
  <c r="B48" i="58"/>
  <c r="B47" i="58"/>
  <c r="B46" i="58"/>
  <c r="B45" i="58"/>
  <c r="B44" i="58"/>
  <c r="B43" i="58"/>
  <c r="B42" i="58"/>
  <c r="B41" i="58"/>
  <c r="B40" i="58"/>
  <c r="B39" i="58"/>
  <c r="B38" i="58"/>
  <c r="B37" i="58"/>
  <c r="B36" i="58"/>
  <c r="B35" i="58"/>
  <c r="B34" i="58"/>
  <c r="B33" i="58"/>
  <c r="B32" i="58"/>
  <c r="B31" i="58"/>
  <c r="B30" i="58"/>
  <c r="B29" i="58"/>
  <c r="B28" i="58"/>
  <c r="B27" i="58"/>
  <c r="B26" i="58"/>
  <c r="B25" i="58"/>
  <c r="B24" i="58"/>
  <c r="B23" i="58"/>
  <c r="B22" i="58"/>
  <c r="B21" i="58"/>
  <c r="B20" i="58"/>
  <c r="B19" i="58"/>
  <c r="B18" i="58"/>
  <c r="B17" i="58"/>
  <c r="B16" i="58"/>
  <c r="B15" i="58"/>
  <c r="B14" i="58"/>
  <c r="B13" i="58"/>
  <c r="B12" i="58"/>
  <c r="B11" i="58"/>
  <c r="B10" i="58"/>
  <c r="B9" i="58"/>
  <c r="B8" i="58"/>
  <c r="B7" i="58"/>
  <c r="B6" i="58"/>
  <c r="B5" i="58"/>
  <c r="B4" i="58"/>
  <c r="B3" i="58"/>
  <c r="B2" i="58"/>
  <c r="A192" i="57"/>
  <c r="A191" i="57"/>
  <c r="A190" i="57"/>
  <c r="A189" i="57"/>
  <c r="A188" i="57"/>
  <c r="A187" i="57"/>
  <c r="A186" i="57"/>
  <c r="A185" i="57"/>
  <c r="D184" i="57"/>
  <c r="D185" i="57" s="1"/>
  <c r="D186" i="57" s="1"/>
  <c r="D187" i="57" s="1"/>
  <c r="D188" i="57" s="1"/>
  <c r="D189" i="57" s="1"/>
  <c r="D190" i="57" s="1"/>
  <c r="D191" i="57" s="1"/>
  <c r="D192" i="57" s="1"/>
  <c r="A184" i="57"/>
  <c r="D183" i="57"/>
  <c r="A183" i="57"/>
  <c r="A182" i="57"/>
  <c r="A181" i="57"/>
  <c r="A180" i="57"/>
  <c r="A179" i="57"/>
  <c r="A178" i="57"/>
  <c r="A177" i="57"/>
  <c r="A176" i="57"/>
  <c r="A175" i="57"/>
  <c r="D174" i="57"/>
  <c r="D175" i="57" s="1"/>
  <c r="D176" i="57" s="1"/>
  <c r="D177" i="57" s="1"/>
  <c r="D178" i="57" s="1"/>
  <c r="D179" i="57" s="1"/>
  <c r="D180" i="57" s="1"/>
  <c r="D181" i="57" s="1"/>
  <c r="D182" i="57" s="1"/>
  <c r="A174" i="57"/>
  <c r="D173" i="57"/>
  <c r="A173" i="57"/>
  <c r="A172" i="57"/>
  <c r="A171" i="57"/>
  <c r="A170" i="57"/>
  <c r="A169" i="57"/>
  <c r="A168" i="57"/>
  <c r="A167" i="57"/>
  <c r="A166" i="57"/>
  <c r="A165" i="57"/>
  <c r="A164" i="57"/>
  <c r="A163" i="57"/>
  <c r="D162" i="57"/>
  <c r="D163" i="57" s="1"/>
  <c r="D164" i="57" s="1"/>
  <c r="D165" i="57" s="1"/>
  <c r="D166" i="57" s="1"/>
  <c r="D167" i="57" s="1"/>
  <c r="D168" i="57" s="1"/>
  <c r="D169" i="57" s="1"/>
  <c r="D170" i="57" s="1"/>
  <c r="D171" i="57" s="1"/>
  <c r="D172" i="57" s="1"/>
  <c r="A162" i="57"/>
  <c r="A161" i="57"/>
  <c r="A160" i="57"/>
  <c r="A159" i="57"/>
  <c r="A158" i="57"/>
  <c r="A157" i="57"/>
  <c r="A156" i="57"/>
  <c r="A155" i="57"/>
  <c r="D154" i="57"/>
  <c r="D155" i="57" s="1"/>
  <c r="D156" i="57" s="1"/>
  <c r="D157" i="57" s="1"/>
  <c r="D158" i="57" s="1"/>
  <c r="D159" i="57" s="1"/>
  <c r="D160" i="57" s="1"/>
  <c r="D161" i="57" s="1"/>
  <c r="A154" i="57"/>
  <c r="A153" i="57"/>
  <c r="A152" i="57"/>
  <c r="A151" i="57"/>
  <c r="A150" i="57"/>
  <c r="A149" i="57"/>
  <c r="A148" i="57"/>
  <c r="A147" i="57"/>
  <c r="D146" i="57"/>
  <c r="D147" i="57" s="1"/>
  <c r="D148" i="57" s="1"/>
  <c r="D149" i="57" s="1"/>
  <c r="D150" i="57" s="1"/>
  <c r="D151" i="57" s="1"/>
  <c r="D152" i="57" s="1"/>
  <c r="D153" i="57" s="1"/>
  <c r="A146" i="57"/>
  <c r="A145" i="57"/>
  <c r="A144" i="57"/>
  <c r="A143" i="57"/>
  <c r="A142" i="57"/>
  <c r="A141" i="57"/>
  <c r="A140" i="57"/>
  <c r="A139" i="57"/>
  <c r="D138" i="57"/>
  <c r="D139" i="57" s="1"/>
  <c r="D140" i="57" s="1"/>
  <c r="D141" i="57" s="1"/>
  <c r="D142" i="57" s="1"/>
  <c r="D143" i="57" s="1"/>
  <c r="D144" i="57" s="1"/>
  <c r="D145" i="57" s="1"/>
  <c r="A138" i="57"/>
  <c r="D137" i="57"/>
  <c r="A137" i="57"/>
  <c r="A136" i="57"/>
  <c r="A135" i="57"/>
  <c r="A134" i="57"/>
  <c r="A133" i="57"/>
  <c r="A132" i="57"/>
  <c r="A131" i="57"/>
  <c r="D130" i="57"/>
  <c r="D131" i="57" s="1"/>
  <c r="D132" i="57" s="1"/>
  <c r="D133" i="57" s="1"/>
  <c r="D134" i="57" s="1"/>
  <c r="D135" i="57" s="1"/>
  <c r="D136" i="57" s="1"/>
  <c r="A130" i="57"/>
  <c r="A129" i="57"/>
  <c r="A128" i="57"/>
  <c r="A127" i="57"/>
  <c r="A126" i="57"/>
  <c r="A125" i="57"/>
  <c r="A124" i="57"/>
  <c r="A123" i="57"/>
  <c r="D122" i="57"/>
  <c r="D123" i="57" s="1"/>
  <c r="D124" i="57" s="1"/>
  <c r="D125" i="57" s="1"/>
  <c r="D126" i="57" s="1"/>
  <c r="D127" i="57" s="1"/>
  <c r="D128" i="57" s="1"/>
  <c r="D129" i="57" s="1"/>
  <c r="A122" i="57"/>
  <c r="D121" i="57"/>
  <c r="A121" i="57"/>
  <c r="A120" i="57"/>
  <c r="A119" i="57"/>
  <c r="A118" i="57"/>
  <c r="A117" i="57"/>
  <c r="D116" i="57"/>
  <c r="D117" i="57" s="1"/>
  <c r="D118" i="57" s="1"/>
  <c r="D119" i="57" s="1"/>
  <c r="D120" i="57" s="1"/>
  <c r="A116" i="57"/>
  <c r="A115" i="57"/>
  <c r="A114" i="57"/>
  <c r="A113" i="57"/>
  <c r="D112" i="57"/>
  <c r="D113" i="57" s="1"/>
  <c r="D114" i="57" s="1"/>
  <c r="D115" i="57" s="1"/>
  <c r="A112" i="57"/>
  <c r="D111" i="57"/>
  <c r="A111" i="57"/>
  <c r="A110" i="57"/>
  <c r="A109" i="57"/>
  <c r="A108" i="57"/>
  <c r="A107" i="57"/>
  <c r="D106" i="57"/>
  <c r="D107" i="57" s="1"/>
  <c r="D108" i="57" s="1"/>
  <c r="D109" i="57" s="1"/>
  <c r="D110" i="57" s="1"/>
  <c r="A106" i="57"/>
  <c r="A105" i="57"/>
  <c r="A104" i="57"/>
  <c r="A103" i="57"/>
  <c r="A102" i="57"/>
  <c r="A101" i="57"/>
  <c r="A100" i="57"/>
  <c r="A99" i="57"/>
  <c r="D98" i="57"/>
  <c r="D99" i="57" s="1"/>
  <c r="D100" i="57" s="1"/>
  <c r="D101" i="57" s="1"/>
  <c r="D102" i="57" s="1"/>
  <c r="D103" i="57" s="1"/>
  <c r="D104" i="57" s="1"/>
  <c r="D105" i="57" s="1"/>
  <c r="A98" i="57"/>
  <c r="A97" i="57"/>
  <c r="A96" i="57"/>
  <c r="A95" i="57"/>
  <c r="A94" i="57"/>
  <c r="A93" i="57"/>
  <c r="A92" i="57"/>
  <c r="A91" i="57"/>
  <c r="A90" i="57"/>
  <c r="A89" i="57"/>
  <c r="A88" i="57"/>
  <c r="A87" i="57"/>
  <c r="A86" i="57"/>
  <c r="A85" i="57"/>
  <c r="A84" i="57"/>
  <c r="A83" i="57"/>
  <c r="D82" i="57"/>
  <c r="D83" i="57" s="1"/>
  <c r="D84" i="57" s="1"/>
  <c r="D85" i="57" s="1"/>
  <c r="D86" i="57" s="1"/>
  <c r="D87" i="57" s="1"/>
  <c r="D88" i="57" s="1"/>
  <c r="D89" i="57" s="1"/>
  <c r="D90" i="57" s="1"/>
  <c r="D91" i="57" s="1"/>
  <c r="D92" i="57" s="1"/>
  <c r="D93" i="57" s="1"/>
  <c r="D94" i="57" s="1"/>
  <c r="D95" i="57" s="1"/>
  <c r="D96" i="57" s="1"/>
  <c r="D97" i="57" s="1"/>
  <c r="A82" i="57"/>
  <c r="A81" i="57"/>
  <c r="A80" i="57"/>
  <c r="A79" i="57"/>
  <c r="A78" i="57"/>
  <c r="A77" i="57"/>
  <c r="A76" i="57"/>
  <c r="A75" i="57"/>
  <c r="D74" i="57"/>
  <c r="D75" i="57" s="1"/>
  <c r="D76" i="57" s="1"/>
  <c r="D77" i="57" s="1"/>
  <c r="D78" i="57" s="1"/>
  <c r="D79" i="57" s="1"/>
  <c r="D80" i="57" s="1"/>
  <c r="D81" i="57" s="1"/>
  <c r="A74" i="57"/>
  <c r="D73" i="57"/>
  <c r="A73" i="57"/>
  <c r="A72" i="57"/>
  <c r="A71" i="57"/>
  <c r="A70" i="57"/>
  <c r="A69" i="57"/>
  <c r="D68" i="57"/>
  <c r="D69" i="57" s="1"/>
  <c r="D70" i="57" s="1"/>
  <c r="D71" i="57" s="1"/>
  <c r="D72" i="57" s="1"/>
  <c r="A68" i="57"/>
  <c r="D67" i="57"/>
  <c r="A67" i="57"/>
  <c r="A66" i="57"/>
  <c r="A65" i="57"/>
  <c r="A64" i="57"/>
  <c r="A63" i="57"/>
  <c r="A62" i="57"/>
  <c r="A61" i="57"/>
  <c r="A60" i="57"/>
  <c r="A59" i="57"/>
  <c r="D58" i="57"/>
  <c r="D59" i="57" s="1"/>
  <c r="D60" i="57" s="1"/>
  <c r="D61" i="57" s="1"/>
  <c r="D62" i="57" s="1"/>
  <c r="D63" i="57" s="1"/>
  <c r="D64" i="57" s="1"/>
  <c r="D65" i="57" s="1"/>
  <c r="D66" i="57" s="1"/>
  <c r="A58" i="57"/>
  <c r="A57" i="57"/>
  <c r="A56" i="57"/>
  <c r="A55" i="57"/>
  <c r="A54" i="57"/>
  <c r="A53" i="57"/>
  <c r="D52" i="57"/>
  <c r="D53" i="57" s="1"/>
  <c r="D54" i="57" s="1"/>
  <c r="D55" i="57" s="1"/>
  <c r="D56" i="57" s="1"/>
  <c r="D57" i="57" s="1"/>
  <c r="A52" i="57"/>
  <c r="D51" i="57"/>
  <c r="A51" i="57"/>
  <c r="A50" i="57"/>
  <c r="A49" i="57"/>
  <c r="A48" i="57"/>
  <c r="A47" i="57"/>
  <c r="D46" i="57"/>
  <c r="D47" i="57" s="1"/>
  <c r="D48" i="57" s="1"/>
  <c r="D49" i="57" s="1"/>
  <c r="D50" i="57" s="1"/>
  <c r="A46" i="57"/>
  <c r="A45" i="57"/>
  <c r="A44" i="57"/>
  <c r="A43" i="57"/>
  <c r="A42" i="57"/>
  <c r="A41" i="57"/>
  <c r="D40" i="57"/>
  <c r="D41" i="57" s="1"/>
  <c r="D42" i="57" s="1"/>
  <c r="D43" i="57" s="1"/>
  <c r="D44" i="57" s="1"/>
  <c r="D45" i="57" s="1"/>
  <c r="A40" i="57"/>
  <c r="D39" i="57"/>
  <c r="A39" i="57"/>
  <c r="A38" i="57"/>
  <c r="A37" i="57"/>
  <c r="D36" i="57"/>
  <c r="D37" i="57" s="1"/>
  <c r="D38" i="57" s="1"/>
  <c r="A36" i="57"/>
  <c r="A35" i="57"/>
  <c r="A34" i="57"/>
  <c r="A33" i="57"/>
  <c r="A32" i="57"/>
  <c r="A31" i="57"/>
  <c r="D30" i="57"/>
  <c r="D31" i="57" s="1"/>
  <c r="D32" i="57" s="1"/>
  <c r="D33" i="57" s="1"/>
  <c r="D34" i="57" s="1"/>
  <c r="D35" i="57" s="1"/>
  <c r="A30" i="57"/>
  <c r="A29" i="57"/>
  <c r="A28" i="57"/>
  <c r="A27" i="57"/>
  <c r="A26" i="57"/>
  <c r="A25" i="57"/>
  <c r="A24" i="57"/>
  <c r="A23" i="57"/>
  <c r="D22" i="57"/>
  <c r="D23" i="57" s="1"/>
  <c r="D24" i="57" s="1"/>
  <c r="D25" i="57" s="1"/>
  <c r="D26" i="57" s="1"/>
  <c r="D27" i="57" s="1"/>
  <c r="D28" i="57" s="1"/>
  <c r="D29" i="57" s="1"/>
  <c r="A22" i="57"/>
  <c r="A21" i="57"/>
  <c r="A20" i="57"/>
  <c r="A19" i="57"/>
  <c r="A18" i="57"/>
  <c r="A17" i="57"/>
  <c r="A16" i="57"/>
  <c r="A15" i="57"/>
  <c r="D14" i="57"/>
  <c r="D15" i="57" s="1"/>
  <c r="D16" i="57" s="1"/>
  <c r="D17" i="57" s="1"/>
  <c r="D18" i="57" s="1"/>
  <c r="D19" i="57" s="1"/>
  <c r="D20" i="57" s="1"/>
  <c r="D21" i="57" s="1"/>
  <c r="A14" i="57"/>
  <c r="D13" i="57"/>
  <c r="A13" i="57"/>
  <c r="A12" i="57"/>
  <c r="A11" i="57"/>
  <c r="A10" i="57"/>
  <c r="A9" i="57"/>
  <c r="A8" i="57"/>
  <c r="A7" i="57"/>
  <c r="A6" i="57"/>
  <c r="A5" i="57"/>
  <c r="A4" i="57"/>
  <c r="D3" i="57"/>
  <c r="D4" i="57" s="1"/>
  <c r="D5" i="57" s="1"/>
  <c r="D6" i="57" s="1"/>
  <c r="D7" i="57" s="1"/>
  <c r="D8" i="57" s="1"/>
  <c r="D9" i="57" s="1"/>
  <c r="D10" i="57" s="1"/>
  <c r="D11" i="57" s="1"/>
  <c r="D12" i="57" s="1"/>
  <c r="A3" i="57"/>
  <c r="A192" i="56"/>
  <c r="A191" i="56"/>
  <c r="A190" i="56"/>
  <c r="A189" i="56"/>
  <c r="A188" i="56"/>
  <c r="A187" i="56"/>
  <c r="A186" i="56"/>
  <c r="A185" i="56"/>
  <c r="A184" i="56"/>
  <c r="D183" i="56"/>
  <c r="D184" i="56" s="1"/>
  <c r="D185" i="56" s="1"/>
  <c r="D186" i="56" s="1"/>
  <c r="D187" i="56" s="1"/>
  <c r="D188" i="56" s="1"/>
  <c r="D189" i="56" s="1"/>
  <c r="D190" i="56" s="1"/>
  <c r="D191" i="56" s="1"/>
  <c r="D192" i="56" s="1"/>
  <c r="A183" i="56"/>
  <c r="A182" i="56"/>
  <c r="A181" i="56"/>
  <c r="A180" i="56"/>
  <c r="A179" i="56"/>
  <c r="A178" i="56"/>
  <c r="A177" i="56"/>
  <c r="A176" i="56"/>
  <c r="D175" i="56"/>
  <c r="D176" i="56" s="1"/>
  <c r="D177" i="56" s="1"/>
  <c r="D178" i="56" s="1"/>
  <c r="D179" i="56" s="1"/>
  <c r="D180" i="56" s="1"/>
  <c r="D181" i="56" s="1"/>
  <c r="D182" i="56" s="1"/>
  <c r="A175" i="56"/>
  <c r="D174" i="56"/>
  <c r="A174" i="56"/>
  <c r="D173" i="56"/>
  <c r="A173" i="56"/>
  <c r="A172" i="56"/>
  <c r="A171" i="56"/>
  <c r="A170" i="56"/>
  <c r="A169" i="56"/>
  <c r="A168" i="56"/>
  <c r="A167" i="56"/>
  <c r="A166" i="56"/>
  <c r="A165" i="56"/>
  <c r="A164" i="56"/>
  <c r="D163" i="56"/>
  <c r="D164" i="56" s="1"/>
  <c r="D165" i="56" s="1"/>
  <c r="D166" i="56" s="1"/>
  <c r="D167" i="56" s="1"/>
  <c r="D168" i="56" s="1"/>
  <c r="D169" i="56" s="1"/>
  <c r="D170" i="56" s="1"/>
  <c r="D171" i="56" s="1"/>
  <c r="D172" i="56" s="1"/>
  <c r="A163" i="56"/>
  <c r="D162" i="56"/>
  <c r="A162" i="56"/>
  <c r="A161" i="56"/>
  <c r="A160" i="56"/>
  <c r="A159" i="56"/>
  <c r="A158" i="56"/>
  <c r="A157" i="56"/>
  <c r="A156" i="56"/>
  <c r="D155" i="56"/>
  <c r="D156" i="56" s="1"/>
  <c r="D157" i="56" s="1"/>
  <c r="D158" i="56" s="1"/>
  <c r="D159" i="56" s="1"/>
  <c r="D160" i="56" s="1"/>
  <c r="D161" i="56" s="1"/>
  <c r="A155" i="56"/>
  <c r="D154" i="56"/>
  <c r="A154" i="56"/>
  <c r="A153" i="56"/>
  <c r="A152" i="56"/>
  <c r="A151" i="56"/>
  <c r="A150" i="56"/>
  <c r="A149" i="56"/>
  <c r="A148" i="56"/>
  <c r="D147" i="56"/>
  <c r="D148" i="56" s="1"/>
  <c r="D149" i="56" s="1"/>
  <c r="D150" i="56" s="1"/>
  <c r="D151" i="56" s="1"/>
  <c r="D152" i="56" s="1"/>
  <c r="D153" i="56" s="1"/>
  <c r="A147" i="56"/>
  <c r="D146" i="56"/>
  <c r="A146" i="56"/>
  <c r="A145" i="56"/>
  <c r="A144" i="56"/>
  <c r="A143" i="56"/>
  <c r="A142" i="56"/>
  <c r="A141" i="56"/>
  <c r="A140" i="56"/>
  <c r="D139" i="56"/>
  <c r="D140" i="56" s="1"/>
  <c r="D141" i="56" s="1"/>
  <c r="D142" i="56" s="1"/>
  <c r="D143" i="56" s="1"/>
  <c r="D144" i="56" s="1"/>
  <c r="D145" i="56" s="1"/>
  <c r="A139" i="56"/>
  <c r="D138" i="56"/>
  <c r="A138" i="56"/>
  <c r="D137" i="56"/>
  <c r="A137" i="56"/>
  <c r="A136" i="56"/>
  <c r="A135" i="56"/>
  <c r="A134" i="56"/>
  <c r="A133" i="56"/>
  <c r="A132" i="56"/>
  <c r="D131" i="56"/>
  <c r="D132" i="56" s="1"/>
  <c r="D133" i="56" s="1"/>
  <c r="D134" i="56" s="1"/>
  <c r="D135" i="56" s="1"/>
  <c r="D136" i="56" s="1"/>
  <c r="A131" i="56"/>
  <c r="D130" i="56"/>
  <c r="A130" i="56"/>
  <c r="A129" i="56"/>
  <c r="A128" i="56"/>
  <c r="A127" i="56"/>
  <c r="A126" i="56"/>
  <c r="A125" i="56"/>
  <c r="A124" i="56"/>
  <c r="D123" i="56"/>
  <c r="D124" i="56" s="1"/>
  <c r="D125" i="56" s="1"/>
  <c r="D126" i="56" s="1"/>
  <c r="D127" i="56" s="1"/>
  <c r="D128" i="56" s="1"/>
  <c r="D129" i="56" s="1"/>
  <c r="A123" i="56"/>
  <c r="D122" i="56"/>
  <c r="A122" i="56"/>
  <c r="D121" i="56"/>
  <c r="A121" i="56"/>
  <c r="A120" i="56"/>
  <c r="D119" i="56"/>
  <c r="D120" i="56" s="1"/>
  <c r="A119" i="56"/>
  <c r="D118" i="56"/>
  <c r="A118" i="56"/>
  <c r="D117" i="56"/>
  <c r="A117" i="56"/>
  <c r="D116" i="56"/>
  <c r="A116" i="56"/>
  <c r="A115" i="56"/>
  <c r="A114" i="56"/>
  <c r="A113" i="56"/>
  <c r="A112" i="56"/>
  <c r="D111" i="56"/>
  <c r="D112" i="56" s="1"/>
  <c r="D113" i="56" s="1"/>
  <c r="D114" i="56" s="1"/>
  <c r="D115" i="56" s="1"/>
  <c r="A111" i="56"/>
  <c r="A110" i="56"/>
  <c r="A109" i="56"/>
  <c r="A108" i="56"/>
  <c r="D107" i="56"/>
  <c r="D108" i="56" s="1"/>
  <c r="D109" i="56" s="1"/>
  <c r="D110" i="56" s="1"/>
  <c r="A107" i="56"/>
  <c r="D106" i="56"/>
  <c r="A106" i="56"/>
  <c r="A105" i="56"/>
  <c r="A104" i="56"/>
  <c r="A103" i="56"/>
  <c r="A102" i="56"/>
  <c r="A101" i="56"/>
  <c r="A100" i="56"/>
  <c r="D99" i="56"/>
  <c r="D100" i="56" s="1"/>
  <c r="D101" i="56" s="1"/>
  <c r="D102" i="56" s="1"/>
  <c r="D103" i="56" s="1"/>
  <c r="D104" i="56" s="1"/>
  <c r="D105" i="56" s="1"/>
  <c r="A99" i="56"/>
  <c r="D98" i="56"/>
  <c r="A98" i="56"/>
  <c r="A97" i="56"/>
  <c r="A96" i="56"/>
  <c r="A95" i="56"/>
  <c r="A94" i="56"/>
  <c r="A93" i="56"/>
  <c r="A92" i="56"/>
  <c r="A91" i="56"/>
  <c r="A90" i="56"/>
  <c r="A89" i="56"/>
  <c r="A88" i="56"/>
  <c r="A87" i="56"/>
  <c r="A86" i="56"/>
  <c r="A85" i="56"/>
  <c r="A84" i="56"/>
  <c r="D83" i="56"/>
  <c r="D84" i="56" s="1"/>
  <c r="D85" i="56" s="1"/>
  <c r="D86" i="56" s="1"/>
  <c r="D87" i="56" s="1"/>
  <c r="D88" i="56" s="1"/>
  <c r="D89" i="56" s="1"/>
  <c r="D90" i="56" s="1"/>
  <c r="D91" i="56" s="1"/>
  <c r="D92" i="56" s="1"/>
  <c r="D93" i="56" s="1"/>
  <c r="D94" i="56" s="1"/>
  <c r="D95" i="56" s="1"/>
  <c r="D96" i="56" s="1"/>
  <c r="D97" i="56" s="1"/>
  <c r="A83" i="56"/>
  <c r="D82" i="56"/>
  <c r="A82" i="56"/>
  <c r="A81" i="56"/>
  <c r="A80" i="56"/>
  <c r="A79" i="56"/>
  <c r="A78" i="56"/>
  <c r="A77" i="56"/>
  <c r="A76" i="56"/>
  <c r="D75" i="56"/>
  <c r="D76" i="56" s="1"/>
  <c r="D77" i="56" s="1"/>
  <c r="D78" i="56" s="1"/>
  <c r="D79" i="56" s="1"/>
  <c r="D80" i="56" s="1"/>
  <c r="D81" i="56" s="1"/>
  <c r="A75" i="56"/>
  <c r="D74" i="56"/>
  <c r="A74" i="56"/>
  <c r="D73" i="56"/>
  <c r="A73" i="56"/>
  <c r="A72" i="56"/>
  <c r="A71" i="56"/>
  <c r="A70" i="56"/>
  <c r="A69" i="56"/>
  <c r="A68" i="56"/>
  <c r="D67" i="56"/>
  <c r="D68" i="56" s="1"/>
  <c r="D69" i="56" s="1"/>
  <c r="D70" i="56" s="1"/>
  <c r="D71" i="56" s="1"/>
  <c r="D72" i="56" s="1"/>
  <c r="A67" i="56"/>
  <c r="A66" i="56"/>
  <c r="A65" i="56"/>
  <c r="A64" i="56"/>
  <c r="A63" i="56"/>
  <c r="A62" i="56"/>
  <c r="A61" i="56"/>
  <c r="A60" i="56"/>
  <c r="D59" i="56"/>
  <c r="D60" i="56" s="1"/>
  <c r="D61" i="56" s="1"/>
  <c r="D62" i="56" s="1"/>
  <c r="D63" i="56" s="1"/>
  <c r="D64" i="56" s="1"/>
  <c r="D65" i="56" s="1"/>
  <c r="D66" i="56" s="1"/>
  <c r="A59" i="56"/>
  <c r="D58" i="56"/>
  <c r="A58" i="56"/>
  <c r="A57" i="56"/>
  <c r="A56" i="56"/>
  <c r="A55" i="56"/>
  <c r="A54" i="56"/>
  <c r="A53" i="56"/>
  <c r="A52" i="56"/>
  <c r="D51" i="56"/>
  <c r="D52" i="56" s="1"/>
  <c r="D53" i="56" s="1"/>
  <c r="D54" i="56" s="1"/>
  <c r="D55" i="56" s="1"/>
  <c r="D56" i="56" s="1"/>
  <c r="D57" i="56" s="1"/>
  <c r="A51" i="56"/>
  <c r="A50" i="56"/>
  <c r="A49" i="56"/>
  <c r="A48" i="56"/>
  <c r="D47" i="56"/>
  <c r="D48" i="56" s="1"/>
  <c r="D49" i="56" s="1"/>
  <c r="D50" i="56" s="1"/>
  <c r="A47" i="56"/>
  <c r="D46" i="56"/>
  <c r="A46" i="56"/>
  <c r="A45" i="56"/>
  <c r="A44" i="56"/>
  <c r="A43" i="56"/>
  <c r="A42" i="56"/>
  <c r="A41" i="56"/>
  <c r="A40" i="56"/>
  <c r="D39" i="56"/>
  <c r="D40" i="56" s="1"/>
  <c r="D41" i="56" s="1"/>
  <c r="D42" i="56" s="1"/>
  <c r="D43" i="56" s="1"/>
  <c r="D44" i="56" s="1"/>
  <c r="D45" i="56" s="1"/>
  <c r="A39" i="56"/>
  <c r="A38" i="56"/>
  <c r="A37" i="56"/>
  <c r="D36" i="56"/>
  <c r="D37" i="56" s="1"/>
  <c r="D38" i="56" s="1"/>
  <c r="A36" i="56"/>
  <c r="A35" i="56"/>
  <c r="A34" i="56"/>
  <c r="A33" i="56"/>
  <c r="A32" i="56"/>
  <c r="D31" i="56"/>
  <c r="D32" i="56" s="1"/>
  <c r="D33" i="56" s="1"/>
  <c r="D34" i="56" s="1"/>
  <c r="D35" i="56" s="1"/>
  <c r="A31" i="56"/>
  <c r="D30" i="56"/>
  <c r="A30" i="56"/>
  <c r="A29" i="56"/>
  <c r="A28" i="56"/>
  <c r="A27" i="56"/>
  <c r="A26" i="56"/>
  <c r="A25" i="56"/>
  <c r="A24" i="56"/>
  <c r="D23" i="56"/>
  <c r="D24" i="56" s="1"/>
  <c r="D25" i="56" s="1"/>
  <c r="D26" i="56" s="1"/>
  <c r="D27" i="56" s="1"/>
  <c r="D28" i="56" s="1"/>
  <c r="D29" i="56" s="1"/>
  <c r="A23" i="56"/>
  <c r="D22" i="56"/>
  <c r="A22" i="56"/>
  <c r="A21" i="56"/>
  <c r="A20" i="56"/>
  <c r="A19" i="56"/>
  <c r="A18" i="56"/>
  <c r="A17" i="56"/>
  <c r="A16" i="56"/>
  <c r="D15" i="56"/>
  <c r="D16" i="56" s="1"/>
  <c r="D17" i="56" s="1"/>
  <c r="D18" i="56" s="1"/>
  <c r="D19" i="56" s="1"/>
  <c r="D20" i="56" s="1"/>
  <c r="D21" i="56" s="1"/>
  <c r="A15" i="56"/>
  <c r="D14" i="56"/>
  <c r="A14" i="56"/>
  <c r="D13" i="56"/>
  <c r="A13" i="56"/>
  <c r="A12" i="56"/>
  <c r="A11" i="56"/>
  <c r="A10" i="56"/>
  <c r="A9" i="56"/>
  <c r="A8" i="56"/>
  <c r="A7" i="56"/>
  <c r="A6" i="56"/>
  <c r="A5" i="56"/>
  <c r="A4" i="56"/>
  <c r="D3" i="56"/>
  <c r="D4" i="56" s="1"/>
  <c r="D5" i="56" s="1"/>
  <c r="D6" i="56" s="1"/>
  <c r="D7" i="56" s="1"/>
  <c r="D8" i="56" s="1"/>
  <c r="D9" i="56" s="1"/>
  <c r="D10" i="56" s="1"/>
  <c r="D11" i="56" s="1"/>
  <c r="D12" i="56" s="1"/>
  <c r="A3" i="56"/>
  <c r="A153" i="54"/>
  <c r="A136" i="54"/>
  <c r="A191" i="55"/>
  <c r="A190" i="55"/>
  <c r="A189" i="55"/>
  <c r="A188" i="55"/>
  <c r="A187" i="55"/>
  <c r="A186" i="55"/>
  <c r="A185" i="55"/>
  <c r="A184" i="55"/>
  <c r="A183" i="55"/>
  <c r="D182" i="55"/>
  <c r="D183" i="55" s="1"/>
  <c r="D184" i="55" s="1"/>
  <c r="D185" i="55" s="1"/>
  <c r="D186" i="55" s="1"/>
  <c r="D187" i="55" s="1"/>
  <c r="D188" i="55" s="1"/>
  <c r="D189" i="55" s="1"/>
  <c r="D190" i="55" s="1"/>
  <c r="D191" i="55" s="1"/>
  <c r="A182" i="55"/>
  <c r="A181" i="55"/>
  <c r="A180" i="55"/>
  <c r="A179" i="55"/>
  <c r="A178" i="55"/>
  <c r="A177" i="55"/>
  <c r="A176" i="55"/>
  <c r="A175" i="55"/>
  <c r="A174" i="55"/>
  <c r="D173" i="55"/>
  <c r="D174" i="55" s="1"/>
  <c r="D175" i="55" s="1"/>
  <c r="D176" i="55" s="1"/>
  <c r="D177" i="55" s="1"/>
  <c r="D178" i="55" s="1"/>
  <c r="D179" i="55" s="1"/>
  <c r="D180" i="55" s="1"/>
  <c r="D181" i="55" s="1"/>
  <c r="A173" i="55"/>
  <c r="D172" i="55"/>
  <c r="A172" i="55"/>
  <c r="A171" i="55"/>
  <c r="A170" i="55"/>
  <c r="A169" i="55"/>
  <c r="A168" i="55"/>
  <c r="A167" i="55"/>
  <c r="A166" i="55"/>
  <c r="A165" i="55"/>
  <c r="A164" i="55"/>
  <c r="A163" i="55"/>
  <c r="A162" i="55"/>
  <c r="D161" i="55"/>
  <c r="D162" i="55" s="1"/>
  <c r="D163" i="55" s="1"/>
  <c r="D164" i="55" s="1"/>
  <c r="D165" i="55" s="1"/>
  <c r="D166" i="55" s="1"/>
  <c r="D167" i="55" s="1"/>
  <c r="D168" i="55" s="1"/>
  <c r="D169" i="55" s="1"/>
  <c r="D170" i="55" s="1"/>
  <c r="D171" i="55" s="1"/>
  <c r="A161" i="55"/>
  <c r="A160" i="55"/>
  <c r="A159" i="55"/>
  <c r="A158" i="55"/>
  <c r="A157" i="55"/>
  <c r="A156" i="55"/>
  <c r="A155" i="55"/>
  <c r="A154" i="55"/>
  <c r="D153" i="55"/>
  <c r="D154" i="55" s="1"/>
  <c r="D155" i="55" s="1"/>
  <c r="D156" i="55" s="1"/>
  <c r="D157" i="55" s="1"/>
  <c r="D158" i="55" s="1"/>
  <c r="D159" i="55" s="1"/>
  <c r="D160" i="55" s="1"/>
  <c r="A153" i="55"/>
  <c r="A152" i="55"/>
  <c r="A151" i="55"/>
  <c r="A150" i="55"/>
  <c r="A149" i="55"/>
  <c r="A148" i="55"/>
  <c r="A147" i="55"/>
  <c r="D146" i="55"/>
  <c r="D147" i="55" s="1"/>
  <c r="D148" i="55" s="1"/>
  <c r="D149" i="55" s="1"/>
  <c r="D150" i="55" s="1"/>
  <c r="D151" i="55" s="1"/>
  <c r="D152" i="55" s="1"/>
  <c r="A146" i="55"/>
  <c r="A145" i="55"/>
  <c r="A144" i="55"/>
  <c r="A143" i="55"/>
  <c r="A142" i="55"/>
  <c r="A141" i="55"/>
  <c r="A140" i="55"/>
  <c r="A139" i="55"/>
  <c r="A138" i="55"/>
  <c r="D137" i="55"/>
  <c r="D138" i="55" s="1"/>
  <c r="D139" i="55" s="1"/>
  <c r="D140" i="55" s="1"/>
  <c r="D141" i="55" s="1"/>
  <c r="D142" i="55" s="1"/>
  <c r="D143" i="55" s="1"/>
  <c r="D144" i="55" s="1"/>
  <c r="D145" i="55" s="1"/>
  <c r="A137" i="55"/>
  <c r="A136" i="55"/>
  <c r="A135" i="55"/>
  <c r="A134" i="55"/>
  <c r="D133" i="55"/>
  <c r="D134" i="55" s="1"/>
  <c r="D135" i="55" s="1"/>
  <c r="D136" i="55" s="1"/>
  <c r="A133" i="55"/>
  <c r="D132" i="55"/>
  <c r="A132" i="55"/>
  <c r="D131" i="55"/>
  <c r="A131" i="55"/>
  <c r="A130" i="55"/>
  <c r="A129" i="55"/>
  <c r="A128" i="55"/>
  <c r="A127" i="55"/>
  <c r="A126" i="55"/>
  <c r="A125" i="55"/>
  <c r="A124" i="55"/>
  <c r="A123" i="55"/>
  <c r="D122" i="55"/>
  <c r="D123" i="55" s="1"/>
  <c r="D124" i="55" s="1"/>
  <c r="D125" i="55" s="1"/>
  <c r="D126" i="55" s="1"/>
  <c r="D127" i="55" s="1"/>
  <c r="D128" i="55" s="1"/>
  <c r="D129" i="55" s="1"/>
  <c r="D130" i="55" s="1"/>
  <c r="A122" i="55"/>
  <c r="A121" i="55"/>
  <c r="A120" i="55"/>
  <c r="A119" i="55"/>
  <c r="A118" i="55"/>
  <c r="D117" i="55"/>
  <c r="D118" i="55" s="1"/>
  <c r="D119" i="55" s="1"/>
  <c r="D120" i="55" s="1"/>
  <c r="D121" i="55" s="1"/>
  <c r="A117" i="55"/>
  <c r="A116" i="55"/>
  <c r="A115" i="55"/>
  <c r="A114" i="55"/>
  <c r="D113" i="55"/>
  <c r="D114" i="55" s="1"/>
  <c r="D115" i="55" s="1"/>
  <c r="D116" i="55" s="1"/>
  <c r="A113" i="55"/>
  <c r="D112" i="55"/>
  <c r="A112" i="55"/>
  <c r="D111" i="55"/>
  <c r="A111" i="55"/>
  <c r="A110" i="55"/>
  <c r="A109" i="55"/>
  <c r="A108" i="55"/>
  <c r="A107" i="55"/>
  <c r="D106" i="55"/>
  <c r="D107" i="55" s="1"/>
  <c r="D108" i="55" s="1"/>
  <c r="D109" i="55" s="1"/>
  <c r="D110" i="55" s="1"/>
  <c r="A106" i="55"/>
  <c r="A105" i="55"/>
  <c r="A104" i="55"/>
  <c r="A103" i="55"/>
  <c r="A102" i="55"/>
  <c r="A101" i="55"/>
  <c r="A100" i="55"/>
  <c r="A99" i="55"/>
  <c r="D98" i="55"/>
  <c r="D99" i="55" s="1"/>
  <c r="D100" i="55" s="1"/>
  <c r="D101" i="55" s="1"/>
  <c r="D102" i="55" s="1"/>
  <c r="D103" i="55" s="1"/>
  <c r="D104" i="55" s="1"/>
  <c r="D105" i="55" s="1"/>
  <c r="A98" i="55"/>
  <c r="A97" i="55"/>
  <c r="A96" i="55"/>
  <c r="A95" i="55"/>
  <c r="A94" i="55"/>
  <c r="A93" i="55"/>
  <c r="A92" i="55"/>
  <c r="A91" i="55"/>
  <c r="A90" i="55"/>
  <c r="A89" i="55"/>
  <c r="A88" i="55"/>
  <c r="A87" i="55"/>
  <c r="A86" i="55"/>
  <c r="A85" i="55"/>
  <c r="A84" i="55"/>
  <c r="A83" i="55"/>
  <c r="D82" i="55"/>
  <c r="D83" i="55" s="1"/>
  <c r="D84" i="55" s="1"/>
  <c r="D85" i="55" s="1"/>
  <c r="D86" i="55" s="1"/>
  <c r="D87" i="55" s="1"/>
  <c r="D88" i="55" s="1"/>
  <c r="D89" i="55" s="1"/>
  <c r="D90" i="55" s="1"/>
  <c r="D91" i="55" s="1"/>
  <c r="D92" i="55" s="1"/>
  <c r="D93" i="55" s="1"/>
  <c r="D94" i="55" s="1"/>
  <c r="D95" i="55" s="1"/>
  <c r="D96" i="55" s="1"/>
  <c r="D97" i="55" s="1"/>
  <c r="A82" i="55"/>
  <c r="A81" i="55"/>
  <c r="A80" i="55"/>
  <c r="A79" i="55"/>
  <c r="A78" i="55"/>
  <c r="A77" i="55"/>
  <c r="A76" i="55"/>
  <c r="A75" i="55"/>
  <c r="A74" i="55"/>
  <c r="D73" i="55"/>
  <c r="D74" i="55" s="1"/>
  <c r="D75" i="55" s="1"/>
  <c r="D76" i="55" s="1"/>
  <c r="D77" i="55" s="1"/>
  <c r="D78" i="55" s="1"/>
  <c r="D79" i="55" s="1"/>
  <c r="D80" i="55" s="1"/>
  <c r="D81" i="55" s="1"/>
  <c r="A73" i="55"/>
  <c r="A72" i="55"/>
  <c r="A71" i="55"/>
  <c r="A70" i="55"/>
  <c r="D69" i="55"/>
  <c r="D70" i="55" s="1"/>
  <c r="D71" i="55" s="1"/>
  <c r="D72" i="55" s="1"/>
  <c r="A69" i="55"/>
  <c r="D68" i="55"/>
  <c r="A68" i="55"/>
  <c r="D67" i="55"/>
  <c r="A67" i="55"/>
  <c r="A66" i="55"/>
  <c r="A65" i="55"/>
  <c r="A64" i="55"/>
  <c r="A63" i="55"/>
  <c r="A62" i="55"/>
  <c r="A61" i="55"/>
  <c r="A60" i="55"/>
  <c r="A59" i="55"/>
  <c r="D58" i="55"/>
  <c r="D59" i="55" s="1"/>
  <c r="D60" i="55" s="1"/>
  <c r="D61" i="55" s="1"/>
  <c r="D62" i="55" s="1"/>
  <c r="D63" i="55" s="1"/>
  <c r="D64" i="55" s="1"/>
  <c r="D65" i="55" s="1"/>
  <c r="D66" i="55" s="1"/>
  <c r="A58" i="55"/>
  <c r="A57" i="55"/>
  <c r="A56" i="55"/>
  <c r="A55" i="55"/>
  <c r="A54" i="55"/>
  <c r="D53" i="55"/>
  <c r="D54" i="55" s="1"/>
  <c r="D55" i="55" s="1"/>
  <c r="D56" i="55" s="1"/>
  <c r="D57" i="55" s="1"/>
  <c r="A53" i="55"/>
  <c r="D52" i="55"/>
  <c r="A52" i="55"/>
  <c r="D51" i="55"/>
  <c r="A51" i="55"/>
  <c r="A50" i="55"/>
  <c r="A49" i="55"/>
  <c r="A48" i="55"/>
  <c r="A47" i="55"/>
  <c r="D46" i="55"/>
  <c r="D47" i="55" s="1"/>
  <c r="D48" i="55" s="1"/>
  <c r="D49" i="55" s="1"/>
  <c r="D50" i="55" s="1"/>
  <c r="A46" i="55"/>
  <c r="A45" i="55"/>
  <c r="A44" i="55"/>
  <c r="A43" i="55"/>
  <c r="A42" i="55"/>
  <c r="D41" i="55"/>
  <c r="D42" i="55" s="1"/>
  <c r="D43" i="55" s="1"/>
  <c r="D44" i="55" s="1"/>
  <c r="D45" i="55" s="1"/>
  <c r="A41" i="55"/>
  <c r="D40" i="55"/>
  <c r="A40" i="55"/>
  <c r="D39" i="55"/>
  <c r="A39" i="55"/>
  <c r="A38" i="55"/>
  <c r="D37" i="55"/>
  <c r="D38" i="55" s="1"/>
  <c r="A37" i="55"/>
  <c r="D36" i="55"/>
  <c r="A36" i="55"/>
  <c r="A35" i="55"/>
  <c r="A34" i="55"/>
  <c r="A33" i="55"/>
  <c r="A32" i="55"/>
  <c r="A31" i="55"/>
  <c r="D30" i="55"/>
  <c r="D31" i="55" s="1"/>
  <c r="D32" i="55" s="1"/>
  <c r="D33" i="55" s="1"/>
  <c r="D34" i="55" s="1"/>
  <c r="D35" i="55" s="1"/>
  <c r="A30" i="55"/>
  <c r="A29" i="55"/>
  <c r="A28" i="55"/>
  <c r="A27" i="55"/>
  <c r="A26" i="55"/>
  <c r="A25" i="55"/>
  <c r="A24" i="55"/>
  <c r="A23" i="55"/>
  <c r="D22" i="55"/>
  <c r="D23" i="55" s="1"/>
  <c r="D24" i="55" s="1"/>
  <c r="D25" i="55" s="1"/>
  <c r="D26" i="55" s="1"/>
  <c r="D27" i="55" s="1"/>
  <c r="D28" i="55" s="1"/>
  <c r="D29" i="55" s="1"/>
  <c r="A22" i="55"/>
  <c r="A21" i="55"/>
  <c r="A20" i="55"/>
  <c r="A19" i="55"/>
  <c r="A18" i="55"/>
  <c r="A17" i="55"/>
  <c r="A16" i="55"/>
  <c r="A15" i="55"/>
  <c r="A14" i="55"/>
  <c r="D13" i="55"/>
  <c r="D14" i="55" s="1"/>
  <c r="D15" i="55" s="1"/>
  <c r="D16" i="55" s="1"/>
  <c r="D17" i="55" s="1"/>
  <c r="D18" i="55" s="1"/>
  <c r="D19" i="55" s="1"/>
  <c r="D20" i="55" s="1"/>
  <c r="D21" i="55" s="1"/>
  <c r="A13" i="55"/>
  <c r="A12" i="55"/>
  <c r="A11" i="55"/>
  <c r="A10" i="55"/>
  <c r="A9" i="55"/>
  <c r="A8" i="55"/>
  <c r="A7" i="55"/>
  <c r="A6" i="55"/>
  <c r="A5" i="55"/>
  <c r="A4" i="55"/>
  <c r="D3" i="55"/>
  <c r="D4" i="55" s="1"/>
  <c r="D5" i="55" s="1"/>
  <c r="D6" i="55" s="1"/>
  <c r="D7" i="55" s="1"/>
  <c r="D8" i="55" s="1"/>
  <c r="D9" i="55" s="1"/>
  <c r="D10" i="55" s="1"/>
  <c r="D11" i="55" s="1"/>
  <c r="D12" i="55" s="1"/>
  <c r="A3" i="55"/>
  <c r="A192" i="54"/>
  <c r="A191" i="54"/>
  <c r="A190" i="54"/>
  <c r="A189" i="54"/>
  <c r="A188" i="54"/>
  <c r="A187" i="54"/>
  <c r="A186" i="54"/>
  <c r="A185" i="54"/>
  <c r="A184" i="54"/>
  <c r="D183" i="54"/>
  <c r="D184" i="54" s="1"/>
  <c r="D185" i="54" s="1"/>
  <c r="D186" i="54" s="1"/>
  <c r="D187" i="54" s="1"/>
  <c r="D188" i="54" s="1"/>
  <c r="D189" i="54" s="1"/>
  <c r="D190" i="54" s="1"/>
  <c r="D191" i="54" s="1"/>
  <c r="D192" i="54" s="1"/>
  <c r="A183" i="54"/>
  <c r="A182" i="54"/>
  <c r="A181" i="54"/>
  <c r="A180" i="54"/>
  <c r="A179" i="54"/>
  <c r="A178" i="54"/>
  <c r="A177" i="54"/>
  <c r="A176" i="54"/>
  <c r="A175" i="54"/>
  <c r="A174" i="54"/>
  <c r="D173" i="54"/>
  <c r="D174" i="54" s="1"/>
  <c r="D175" i="54" s="1"/>
  <c r="D176" i="54" s="1"/>
  <c r="D177" i="54" s="1"/>
  <c r="D178" i="54" s="1"/>
  <c r="D179" i="54" s="1"/>
  <c r="D180" i="54" s="1"/>
  <c r="D181" i="54" s="1"/>
  <c r="D182" i="54" s="1"/>
  <c r="A173" i="54"/>
  <c r="A172" i="54"/>
  <c r="A171" i="54"/>
  <c r="A170" i="54"/>
  <c r="A169" i="54"/>
  <c r="A168" i="54"/>
  <c r="A167" i="54"/>
  <c r="A166" i="54"/>
  <c r="A165" i="54"/>
  <c r="A164" i="54"/>
  <c r="A163" i="54"/>
  <c r="D162" i="54"/>
  <c r="D163" i="54" s="1"/>
  <c r="D164" i="54" s="1"/>
  <c r="D165" i="54" s="1"/>
  <c r="D166" i="54" s="1"/>
  <c r="D167" i="54" s="1"/>
  <c r="D168" i="54" s="1"/>
  <c r="D169" i="54" s="1"/>
  <c r="D170" i="54" s="1"/>
  <c r="D171" i="54" s="1"/>
  <c r="D172" i="54" s="1"/>
  <c r="A162" i="54"/>
  <c r="A161" i="54"/>
  <c r="A160" i="54"/>
  <c r="A159" i="54"/>
  <c r="A158" i="54"/>
  <c r="A157" i="54"/>
  <c r="A156" i="54"/>
  <c r="A155" i="54"/>
  <c r="D154" i="54"/>
  <c r="D155" i="54" s="1"/>
  <c r="D156" i="54" s="1"/>
  <c r="D157" i="54" s="1"/>
  <c r="D158" i="54" s="1"/>
  <c r="D159" i="54" s="1"/>
  <c r="D160" i="54" s="1"/>
  <c r="D161" i="54" s="1"/>
  <c r="A154" i="54"/>
  <c r="A152" i="54"/>
  <c r="A151" i="54"/>
  <c r="A150" i="54"/>
  <c r="A149" i="54"/>
  <c r="A148" i="54"/>
  <c r="A147" i="54"/>
  <c r="D146" i="54"/>
  <c r="D147" i="54" s="1"/>
  <c r="D148" i="54" s="1"/>
  <c r="D149" i="54" s="1"/>
  <c r="D150" i="54" s="1"/>
  <c r="D151" i="54" s="1"/>
  <c r="D152" i="54" s="1"/>
  <c r="D153" i="54" s="1"/>
  <c r="A146" i="54"/>
  <c r="A145" i="54"/>
  <c r="A144" i="54"/>
  <c r="A143" i="54"/>
  <c r="A142" i="54"/>
  <c r="A141" i="54"/>
  <c r="A140" i="54"/>
  <c r="A139" i="54"/>
  <c r="A138" i="54"/>
  <c r="D137" i="54"/>
  <c r="D138" i="54" s="1"/>
  <c r="D139" i="54" s="1"/>
  <c r="D140" i="54" s="1"/>
  <c r="D141" i="54" s="1"/>
  <c r="D142" i="54" s="1"/>
  <c r="D143" i="54" s="1"/>
  <c r="D144" i="54" s="1"/>
  <c r="D145" i="54" s="1"/>
  <c r="A137" i="54"/>
  <c r="A135" i="54"/>
  <c r="A134" i="54"/>
  <c r="A133" i="54"/>
  <c r="A132" i="54"/>
  <c r="A131" i="54"/>
  <c r="D130" i="54"/>
  <c r="D131" i="54" s="1"/>
  <c r="D132" i="54" s="1"/>
  <c r="D133" i="54" s="1"/>
  <c r="D134" i="54" s="1"/>
  <c r="D135" i="54" s="1"/>
  <c r="D136" i="54" s="1"/>
  <c r="A130" i="54"/>
  <c r="A129" i="54"/>
  <c r="A128" i="54"/>
  <c r="A127" i="54"/>
  <c r="A126" i="54"/>
  <c r="A125" i="54"/>
  <c r="A124" i="54"/>
  <c r="A123" i="54"/>
  <c r="A122" i="54"/>
  <c r="D121" i="54"/>
  <c r="D122" i="54" s="1"/>
  <c r="D123" i="54" s="1"/>
  <c r="D124" i="54" s="1"/>
  <c r="D125" i="54" s="1"/>
  <c r="D126" i="54" s="1"/>
  <c r="D127" i="54" s="1"/>
  <c r="D128" i="54" s="1"/>
  <c r="D129" i="54" s="1"/>
  <c r="A121" i="54"/>
  <c r="A120" i="54"/>
  <c r="A119" i="54"/>
  <c r="A118" i="54"/>
  <c r="A117" i="54"/>
  <c r="D116" i="54"/>
  <c r="D117" i="54" s="1"/>
  <c r="D118" i="54" s="1"/>
  <c r="D119" i="54" s="1"/>
  <c r="D120" i="54" s="1"/>
  <c r="A116" i="54"/>
  <c r="A115" i="54"/>
  <c r="A114" i="54"/>
  <c r="A113" i="54"/>
  <c r="A112" i="54"/>
  <c r="D111" i="54"/>
  <c r="D112" i="54" s="1"/>
  <c r="D113" i="54" s="1"/>
  <c r="D114" i="54" s="1"/>
  <c r="D115" i="54" s="1"/>
  <c r="A111" i="54"/>
  <c r="A110" i="54"/>
  <c r="A109" i="54"/>
  <c r="A108" i="54"/>
  <c r="A107" i="54"/>
  <c r="D106" i="54"/>
  <c r="D107" i="54" s="1"/>
  <c r="D108" i="54" s="1"/>
  <c r="D109" i="54" s="1"/>
  <c r="D110" i="54" s="1"/>
  <c r="A106" i="54"/>
  <c r="A105" i="54"/>
  <c r="A104" i="54"/>
  <c r="A103" i="54"/>
  <c r="A102" i="54"/>
  <c r="A101" i="54"/>
  <c r="A100" i="54"/>
  <c r="A99" i="54"/>
  <c r="D98" i="54"/>
  <c r="D99" i="54" s="1"/>
  <c r="D100" i="54" s="1"/>
  <c r="D101" i="54" s="1"/>
  <c r="D102" i="54" s="1"/>
  <c r="D103" i="54" s="1"/>
  <c r="D104" i="54" s="1"/>
  <c r="D105" i="54" s="1"/>
  <c r="A98" i="54"/>
  <c r="A97" i="54"/>
  <c r="A96" i="54"/>
  <c r="A95" i="54"/>
  <c r="A94" i="54"/>
  <c r="A93" i="54"/>
  <c r="A92" i="54"/>
  <c r="A91" i="54"/>
  <c r="A90" i="54"/>
  <c r="A89" i="54"/>
  <c r="A88" i="54"/>
  <c r="A87" i="54"/>
  <c r="A86" i="54"/>
  <c r="A85" i="54"/>
  <c r="A84" i="54"/>
  <c r="A83" i="54"/>
  <c r="D82" i="54"/>
  <c r="D83" i="54" s="1"/>
  <c r="D84" i="54" s="1"/>
  <c r="D85" i="54" s="1"/>
  <c r="D86" i="54" s="1"/>
  <c r="D87" i="54" s="1"/>
  <c r="D88" i="54" s="1"/>
  <c r="D89" i="54" s="1"/>
  <c r="D90" i="54" s="1"/>
  <c r="D91" i="54" s="1"/>
  <c r="D92" i="54" s="1"/>
  <c r="D93" i="54" s="1"/>
  <c r="D94" i="54" s="1"/>
  <c r="D95" i="54" s="1"/>
  <c r="D96" i="54" s="1"/>
  <c r="D97" i="54" s="1"/>
  <c r="A82" i="54"/>
  <c r="A81" i="54"/>
  <c r="A80" i="54"/>
  <c r="A79" i="54"/>
  <c r="A78" i="54"/>
  <c r="A77" i="54"/>
  <c r="A76" i="54"/>
  <c r="A75" i="54"/>
  <c r="A74" i="54"/>
  <c r="D73" i="54"/>
  <c r="D74" i="54" s="1"/>
  <c r="D75" i="54" s="1"/>
  <c r="D76" i="54" s="1"/>
  <c r="D77" i="54" s="1"/>
  <c r="D78" i="54" s="1"/>
  <c r="D79" i="54" s="1"/>
  <c r="D80" i="54" s="1"/>
  <c r="D81" i="54" s="1"/>
  <c r="A73" i="54"/>
  <c r="A72" i="54"/>
  <c r="A71" i="54"/>
  <c r="A70" i="54"/>
  <c r="A69" i="54"/>
  <c r="A68" i="54"/>
  <c r="D67" i="54"/>
  <c r="D68" i="54" s="1"/>
  <c r="D69" i="54" s="1"/>
  <c r="D70" i="54" s="1"/>
  <c r="D71" i="54" s="1"/>
  <c r="D72" i="54" s="1"/>
  <c r="A67" i="54"/>
  <c r="A66" i="54"/>
  <c r="A65" i="54"/>
  <c r="A64" i="54"/>
  <c r="A63" i="54"/>
  <c r="A62" i="54"/>
  <c r="A61" i="54"/>
  <c r="A60" i="54"/>
  <c r="A59" i="54"/>
  <c r="D58" i="54"/>
  <c r="D59" i="54" s="1"/>
  <c r="D60" i="54" s="1"/>
  <c r="D61" i="54" s="1"/>
  <c r="D62" i="54" s="1"/>
  <c r="D63" i="54" s="1"/>
  <c r="D64" i="54" s="1"/>
  <c r="D65" i="54" s="1"/>
  <c r="D66" i="54" s="1"/>
  <c r="A58" i="54"/>
  <c r="A57" i="54"/>
  <c r="A56" i="54"/>
  <c r="A55" i="54"/>
  <c r="A54" i="54"/>
  <c r="A53" i="54"/>
  <c r="A52" i="54"/>
  <c r="D51" i="54"/>
  <c r="D52" i="54" s="1"/>
  <c r="D53" i="54" s="1"/>
  <c r="D54" i="54" s="1"/>
  <c r="D55" i="54" s="1"/>
  <c r="D56" i="54" s="1"/>
  <c r="D57" i="54" s="1"/>
  <c r="A51" i="54"/>
  <c r="A50" i="54"/>
  <c r="A49" i="54"/>
  <c r="A48" i="54"/>
  <c r="A47" i="54"/>
  <c r="D46" i="54"/>
  <c r="D47" i="54" s="1"/>
  <c r="D48" i="54" s="1"/>
  <c r="D49" i="54" s="1"/>
  <c r="D50" i="54" s="1"/>
  <c r="A46" i="54"/>
  <c r="A45" i="54"/>
  <c r="A44" i="54"/>
  <c r="A43" i="54"/>
  <c r="A42" i="54"/>
  <c r="A41" i="54"/>
  <c r="A40" i="54"/>
  <c r="D39" i="54"/>
  <c r="D40" i="54" s="1"/>
  <c r="D41" i="54" s="1"/>
  <c r="D42" i="54" s="1"/>
  <c r="D43" i="54" s="1"/>
  <c r="D44" i="54" s="1"/>
  <c r="D45" i="54" s="1"/>
  <c r="A39" i="54"/>
  <c r="D38" i="54"/>
  <c r="A38" i="54"/>
  <c r="D37" i="54"/>
  <c r="A37" i="54"/>
  <c r="D36" i="54"/>
  <c r="A36" i="54"/>
  <c r="A35" i="54"/>
  <c r="A34" i="54"/>
  <c r="A33" i="54"/>
  <c r="A32" i="54"/>
  <c r="A31" i="54"/>
  <c r="D30" i="54"/>
  <c r="D31" i="54" s="1"/>
  <c r="D32" i="54" s="1"/>
  <c r="D33" i="54" s="1"/>
  <c r="D34" i="54" s="1"/>
  <c r="D35" i="54" s="1"/>
  <c r="A30" i="54"/>
  <c r="A29" i="54"/>
  <c r="A28" i="54"/>
  <c r="A27" i="54"/>
  <c r="A26" i="54"/>
  <c r="A25" i="54"/>
  <c r="A24" i="54"/>
  <c r="A23" i="54"/>
  <c r="D22" i="54"/>
  <c r="D23" i="54" s="1"/>
  <c r="D24" i="54" s="1"/>
  <c r="D25" i="54" s="1"/>
  <c r="D26" i="54" s="1"/>
  <c r="D27" i="54" s="1"/>
  <c r="D28" i="54" s="1"/>
  <c r="D29" i="54" s="1"/>
  <c r="A22" i="54"/>
  <c r="A21" i="54"/>
  <c r="A20" i="54"/>
  <c r="A19" i="54"/>
  <c r="A18" i="54"/>
  <c r="A17" i="54"/>
  <c r="A16" i="54"/>
  <c r="A15" i="54"/>
  <c r="A14" i="54"/>
  <c r="D13" i="54"/>
  <c r="D14" i="54" s="1"/>
  <c r="D15" i="54" s="1"/>
  <c r="D16" i="54" s="1"/>
  <c r="D17" i="54" s="1"/>
  <c r="D18" i="54" s="1"/>
  <c r="D19" i="54" s="1"/>
  <c r="D20" i="54" s="1"/>
  <c r="D21" i="54" s="1"/>
  <c r="A13" i="54"/>
  <c r="A12" i="54"/>
  <c r="A11" i="54"/>
  <c r="A10" i="54"/>
  <c r="A9" i="54"/>
  <c r="A8" i="54"/>
  <c r="A7" i="54"/>
  <c r="A6" i="54"/>
  <c r="A5" i="54"/>
  <c r="A4" i="54"/>
  <c r="D3" i="54"/>
  <c r="D4" i="54" s="1"/>
  <c r="D5" i="54" s="1"/>
  <c r="D6" i="54" s="1"/>
  <c r="D7" i="54" s="1"/>
  <c r="D8" i="54" s="1"/>
  <c r="D9" i="54" s="1"/>
  <c r="D10" i="54" s="1"/>
  <c r="D11" i="54" s="1"/>
  <c r="D12" i="54" s="1"/>
  <c r="A3" i="54"/>
  <c r="A191" i="52"/>
  <c r="K191" i="53"/>
  <c r="A189" i="53"/>
  <c r="A188" i="53"/>
  <c r="A187" i="53"/>
  <c r="A185" i="53"/>
  <c r="A184" i="53"/>
  <c r="A183" i="53"/>
  <c r="A182" i="53"/>
  <c r="A180" i="53"/>
  <c r="A179" i="53"/>
  <c r="A178" i="53"/>
  <c r="A175" i="53"/>
  <c r="A173" i="53"/>
  <c r="A172" i="53"/>
  <c r="A171" i="53"/>
  <c r="A170" i="53"/>
  <c r="A169" i="53"/>
  <c r="A166" i="53"/>
  <c r="A165" i="53"/>
  <c r="A164" i="53"/>
  <c r="A161" i="53"/>
  <c r="A160" i="53"/>
  <c r="A159" i="53"/>
  <c r="A158" i="53"/>
  <c r="A156" i="53"/>
  <c r="A154" i="53"/>
  <c r="A153" i="53"/>
  <c r="A152" i="53"/>
  <c r="A151" i="53"/>
  <c r="A150" i="53"/>
  <c r="A149" i="53"/>
  <c r="A148" i="53"/>
  <c r="A147" i="53"/>
  <c r="A146" i="53"/>
  <c r="A145" i="53"/>
  <c r="A144" i="53"/>
  <c r="A143" i="53"/>
  <c r="A140" i="53"/>
  <c r="A139" i="53"/>
  <c r="A138" i="53"/>
  <c r="A137" i="53"/>
  <c r="A136" i="53"/>
  <c r="A135" i="53"/>
  <c r="A134" i="53"/>
  <c r="A133" i="53"/>
  <c r="A132" i="53"/>
  <c r="A131" i="53"/>
  <c r="A130" i="53"/>
  <c r="A129" i="53"/>
  <c r="A128" i="53"/>
  <c r="A127" i="53"/>
  <c r="A126" i="53"/>
  <c r="A125" i="53"/>
  <c r="A123" i="53"/>
  <c r="A122" i="53"/>
  <c r="A121" i="53"/>
  <c r="A119" i="53"/>
  <c r="A116" i="53"/>
  <c r="A115" i="53"/>
  <c r="A114" i="53"/>
  <c r="A113" i="53"/>
  <c r="A112" i="53"/>
  <c r="A111" i="53"/>
  <c r="A108" i="53"/>
  <c r="A107" i="53"/>
  <c r="A106" i="53"/>
  <c r="A103" i="53"/>
  <c r="A102" i="53"/>
  <c r="A101" i="53"/>
  <c r="A100" i="53"/>
  <c r="A98" i="53"/>
  <c r="A97" i="53"/>
  <c r="A96" i="53"/>
  <c r="A95" i="53"/>
  <c r="A94" i="53"/>
  <c r="A93" i="53"/>
  <c r="A92" i="53"/>
  <c r="A90" i="53"/>
  <c r="A87" i="53"/>
  <c r="A85" i="53"/>
  <c r="A84" i="53"/>
  <c r="A83" i="53"/>
  <c r="A82" i="53"/>
  <c r="A81" i="53"/>
  <c r="A80" i="53"/>
  <c r="A79" i="53"/>
  <c r="A78" i="53"/>
  <c r="A77" i="53"/>
  <c r="A76" i="53"/>
  <c r="A75" i="53"/>
  <c r="A74" i="53"/>
  <c r="A71" i="53"/>
  <c r="A70" i="53"/>
  <c r="A67" i="53"/>
  <c r="A66" i="53"/>
  <c r="A65" i="53"/>
  <c r="A63" i="53"/>
  <c r="A62" i="53"/>
  <c r="A61" i="53"/>
  <c r="A60" i="53"/>
  <c r="A59" i="53"/>
  <c r="A58" i="53"/>
  <c r="A57" i="53"/>
  <c r="A56" i="53"/>
  <c r="A54" i="53"/>
  <c r="A51" i="53"/>
  <c r="A50" i="53"/>
  <c r="A49" i="53"/>
  <c r="A48" i="53"/>
  <c r="A47" i="53"/>
  <c r="A46" i="53"/>
  <c r="A45" i="53"/>
  <c r="A44" i="53"/>
  <c r="A43" i="53"/>
  <c r="A42" i="53"/>
  <c r="A40" i="53"/>
  <c r="A39" i="53"/>
  <c r="A38" i="53"/>
  <c r="A37" i="53"/>
  <c r="A36" i="53"/>
  <c r="A35" i="53"/>
  <c r="A34" i="53"/>
  <c r="A33" i="53"/>
  <c r="A32" i="53"/>
  <c r="A31" i="53"/>
  <c r="A30" i="53"/>
  <c r="A29" i="53"/>
  <c r="A28" i="53"/>
  <c r="A27" i="53"/>
  <c r="A26" i="53"/>
  <c r="A25" i="53"/>
  <c r="A24" i="53"/>
  <c r="A22" i="53"/>
  <c r="A21" i="53"/>
  <c r="A20" i="53"/>
  <c r="A19" i="53"/>
  <c r="A18" i="53"/>
  <c r="A17" i="53"/>
  <c r="A16" i="53"/>
  <c r="A14" i="53"/>
  <c r="A13" i="53"/>
  <c r="A12" i="53"/>
  <c r="A10" i="53"/>
  <c r="A9" i="53"/>
  <c r="A8" i="53"/>
  <c r="A7" i="53"/>
  <c r="A6" i="53"/>
  <c r="A5" i="53"/>
  <c r="A4" i="53"/>
  <c r="A190" i="52"/>
  <c r="A189" i="52"/>
  <c r="A188" i="52"/>
  <c r="A187" i="52"/>
  <c r="A186" i="52"/>
  <c r="A185" i="52"/>
  <c r="A184" i="52"/>
  <c r="A183" i="52"/>
  <c r="D182" i="52"/>
  <c r="D183" i="52" s="1"/>
  <c r="D184" i="52" s="1"/>
  <c r="D185" i="52" s="1"/>
  <c r="D186" i="52" s="1"/>
  <c r="D187" i="52" s="1"/>
  <c r="D188" i="52" s="1"/>
  <c r="A182" i="52"/>
  <c r="A181" i="52"/>
  <c r="A180" i="52"/>
  <c r="A179" i="52"/>
  <c r="A178" i="52"/>
  <c r="A177" i="52"/>
  <c r="A176" i="52"/>
  <c r="A175" i="52"/>
  <c r="A174" i="52"/>
  <c r="A173" i="52"/>
  <c r="D172" i="52"/>
  <c r="D173" i="52" s="1"/>
  <c r="D174" i="52" s="1"/>
  <c r="D175" i="52" s="1"/>
  <c r="D176" i="52" s="1"/>
  <c r="D177" i="52" s="1"/>
  <c r="D178" i="52" s="1"/>
  <c r="D179" i="52" s="1"/>
  <c r="D180" i="52" s="1"/>
  <c r="D181" i="52" s="1"/>
  <c r="A172" i="52"/>
  <c r="A171" i="52"/>
  <c r="A170" i="52"/>
  <c r="A169" i="52"/>
  <c r="A168" i="52"/>
  <c r="A167" i="52"/>
  <c r="A166" i="52"/>
  <c r="A165" i="52"/>
  <c r="A164" i="52"/>
  <c r="A163" i="52"/>
  <c r="A162" i="52"/>
  <c r="D161" i="52"/>
  <c r="D162" i="52" s="1"/>
  <c r="D163" i="52" s="1"/>
  <c r="D164" i="52" s="1"/>
  <c r="D165" i="52" s="1"/>
  <c r="D166" i="52" s="1"/>
  <c r="D167" i="52" s="1"/>
  <c r="D168" i="52" s="1"/>
  <c r="D169" i="52" s="1"/>
  <c r="D170" i="52" s="1"/>
  <c r="D171" i="52" s="1"/>
  <c r="A161" i="52"/>
  <c r="A160" i="52"/>
  <c r="A159" i="52"/>
  <c r="A158" i="52"/>
  <c r="A157" i="52"/>
  <c r="A156" i="52"/>
  <c r="A155" i="52"/>
  <c r="A154" i="52"/>
  <c r="D153" i="52"/>
  <c r="D154" i="52" s="1"/>
  <c r="D155" i="52" s="1"/>
  <c r="D156" i="52" s="1"/>
  <c r="D157" i="52" s="1"/>
  <c r="D158" i="52" s="1"/>
  <c r="D159" i="52" s="1"/>
  <c r="D160" i="52" s="1"/>
  <c r="A153" i="52"/>
  <c r="A152" i="52"/>
  <c r="A151" i="52"/>
  <c r="A150" i="52"/>
  <c r="A149" i="52"/>
  <c r="A148" i="52"/>
  <c r="A147" i="52"/>
  <c r="D146" i="52"/>
  <c r="D147" i="52" s="1"/>
  <c r="D148" i="52" s="1"/>
  <c r="D149" i="52" s="1"/>
  <c r="D150" i="52" s="1"/>
  <c r="D151" i="52" s="1"/>
  <c r="D152" i="52" s="1"/>
  <c r="A146" i="52"/>
  <c r="A145" i="52"/>
  <c r="A144" i="52"/>
  <c r="A143" i="52"/>
  <c r="A142" i="52"/>
  <c r="A141" i="52"/>
  <c r="A140" i="52"/>
  <c r="A139" i="52"/>
  <c r="A138" i="52"/>
  <c r="D137" i="52"/>
  <c r="D138" i="52" s="1"/>
  <c r="D139" i="52" s="1"/>
  <c r="D140" i="52" s="1"/>
  <c r="D141" i="52" s="1"/>
  <c r="D142" i="52" s="1"/>
  <c r="D143" i="52" s="1"/>
  <c r="D144" i="52" s="1"/>
  <c r="D145" i="52" s="1"/>
  <c r="A137" i="52"/>
  <c r="A136" i="52"/>
  <c r="A135" i="52"/>
  <c r="A134" i="52"/>
  <c r="A133" i="52"/>
  <c r="A132" i="52"/>
  <c r="D131" i="52"/>
  <c r="D132" i="52" s="1"/>
  <c r="D133" i="52" s="1"/>
  <c r="D134" i="52" s="1"/>
  <c r="D135" i="52" s="1"/>
  <c r="D136" i="52" s="1"/>
  <c r="A131" i="52"/>
  <c r="A130" i="52"/>
  <c r="A129" i="52"/>
  <c r="A128" i="52"/>
  <c r="A127" i="52"/>
  <c r="A126" i="52"/>
  <c r="A125" i="52"/>
  <c r="A124" i="52"/>
  <c r="A123" i="52"/>
  <c r="D122" i="52"/>
  <c r="D123" i="52" s="1"/>
  <c r="D124" i="52" s="1"/>
  <c r="D125" i="52" s="1"/>
  <c r="D126" i="52" s="1"/>
  <c r="D127" i="52" s="1"/>
  <c r="D128" i="52" s="1"/>
  <c r="D129" i="52" s="1"/>
  <c r="D130" i="52" s="1"/>
  <c r="A122" i="52"/>
  <c r="A121" i="52"/>
  <c r="A120" i="52"/>
  <c r="A119" i="52"/>
  <c r="A118" i="52"/>
  <c r="D117" i="52"/>
  <c r="D118" i="52" s="1"/>
  <c r="D119" i="52" s="1"/>
  <c r="D120" i="52" s="1"/>
  <c r="D121" i="52" s="1"/>
  <c r="A117" i="52"/>
  <c r="A116" i="52"/>
  <c r="A115" i="52"/>
  <c r="A114" i="52"/>
  <c r="A113" i="52"/>
  <c r="A112" i="52"/>
  <c r="D111" i="52"/>
  <c r="D112" i="52" s="1"/>
  <c r="D113" i="52" s="1"/>
  <c r="D114" i="52" s="1"/>
  <c r="D115" i="52" s="1"/>
  <c r="D116" i="52" s="1"/>
  <c r="A111" i="52"/>
  <c r="A110" i="52"/>
  <c r="A109" i="52"/>
  <c r="A108" i="52"/>
  <c r="A107" i="52"/>
  <c r="D106" i="52"/>
  <c r="D107" i="52" s="1"/>
  <c r="D108" i="52" s="1"/>
  <c r="D109" i="52" s="1"/>
  <c r="D110" i="52" s="1"/>
  <c r="A106" i="52"/>
  <c r="A105" i="52"/>
  <c r="A104" i="52"/>
  <c r="A103" i="52"/>
  <c r="A102" i="52"/>
  <c r="A101" i="52"/>
  <c r="A100" i="52"/>
  <c r="A99" i="52"/>
  <c r="D98" i="52"/>
  <c r="D99" i="52" s="1"/>
  <c r="D100" i="52" s="1"/>
  <c r="D101" i="52" s="1"/>
  <c r="D102" i="52" s="1"/>
  <c r="D103" i="52" s="1"/>
  <c r="D104" i="52" s="1"/>
  <c r="D105" i="52" s="1"/>
  <c r="A98" i="52"/>
  <c r="A97" i="52"/>
  <c r="A96" i="52"/>
  <c r="A95" i="52"/>
  <c r="A94" i="52"/>
  <c r="A93" i="52"/>
  <c r="A92" i="52"/>
  <c r="A91" i="52"/>
  <c r="A90" i="52"/>
  <c r="A89" i="52"/>
  <c r="A88" i="52"/>
  <c r="A87" i="52"/>
  <c r="A86" i="52"/>
  <c r="A85" i="52"/>
  <c r="A84" i="52"/>
  <c r="A83" i="52"/>
  <c r="D82" i="52"/>
  <c r="D83" i="52" s="1"/>
  <c r="D84" i="52" s="1"/>
  <c r="D85" i="52" s="1"/>
  <c r="D86" i="52" s="1"/>
  <c r="D87" i="52" s="1"/>
  <c r="D88" i="52" s="1"/>
  <c r="D89" i="52" s="1"/>
  <c r="D90" i="52" s="1"/>
  <c r="D91" i="52" s="1"/>
  <c r="D92" i="52" s="1"/>
  <c r="D93" i="52" s="1"/>
  <c r="D94" i="52" s="1"/>
  <c r="D95" i="52" s="1"/>
  <c r="D96" i="52" s="1"/>
  <c r="D97" i="52" s="1"/>
  <c r="A82" i="52"/>
  <c r="A81" i="52"/>
  <c r="A80" i="52"/>
  <c r="A79" i="52"/>
  <c r="A78" i="52"/>
  <c r="A77" i="52"/>
  <c r="A76" i="52"/>
  <c r="A75" i="52"/>
  <c r="A74" i="52"/>
  <c r="D73" i="52"/>
  <c r="D74" i="52" s="1"/>
  <c r="D75" i="52" s="1"/>
  <c r="D76" i="52" s="1"/>
  <c r="D77" i="52" s="1"/>
  <c r="D78" i="52" s="1"/>
  <c r="D79" i="52" s="1"/>
  <c r="D80" i="52" s="1"/>
  <c r="D81" i="52" s="1"/>
  <c r="A73" i="52"/>
  <c r="A72" i="52"/>
  <c r="A71" i="52"/>
  <c r="A70" i="52"/>
  <c r="A69" i="52"/>
  <c r="A68" i="52"/>
  <c r="D67" i="52"/>
  <c r="D68" i="52" s="1"/>
  <c r="D69" i="52" s="1"/>
  <c r="D70" i="52" s="1"/>
  <c r="D71" i="52" s="1"/>
  <c r="D72" i="52" s="1"/>
  <c r="A67" i="52"/>
  <c r="A66" i="52"/>
  <c r="A65" i="52"/>
  <c r="A64" i="52"/>
  <c r="A63" i="52"/>
  <c r="A62" i="52"/>
  <c r="A61" i="52"/>
  <c r="A60" i="52"/>
  <c r="A59" i="52"/>
  <c r="D58" i="52"/>
  <c r="D59" i="52" s="1"/>
  <c r="D60" i="52" s="1"/>
  <c r="D61" i="52" s="1"/>
  <c r="D62" i="52" s="1"/>
  <c r="D63" i="52" s="1"/>
  <c r="D64" i="52" s="1"/>
  <c r="D65" i="52" s="1"/>
  <c r="D66" i="52" s="1"/>
  <c r="A58" i="52"/>
  <c r="A57" i="52"/>
  <c r="A56" i="52"/>
  <c r="A55" i="52"/>
  <c r="A54" i="52"/>
  <c r="A53" i="52"/>
  <c r="A52" i="52"/>
  <c r="D51" i="52"/>
  <c r="D52" i="52" s="1"/>
  <c r="D53" i="52" s="1"/>
  <c r="D54" i="52" s="1"/>
  <c r="D55" i="52" s="1"/>
  <c r="D56" i="52" s="1"/>
  <c r="D57" i="52" s="1"/>
  <c r="A51" i="52"/>
  <c r="A50" i="52"/>
  <c r="A49" i="52"/>
  <c r="A48" i="52"/>
  <c r="A47" i="52"/>
  <c r="D46" i="52"/>
  <c r="D47" i="52" s="1"/>
  <c r="D48" i="52" s="1"/>
  <c r="D49" i="52" s="1"/>
  <c r="D50" i="52" s="1"/>
  <c r="A46" i="52"/>
  <c r="A45" i="52"/>
  <c r="A44" i="52"/>
  <c r="A43" i="52"/>
  <c r="A42" i="52"/>
  <c r="A41" i="52"/>
  <c r="A40" i="52"/>
  <c r="D39" i="52"/>
  <c r="D40" i="52" s="1"/>
  <c r="D41" i="52" s="1"/>
  <c r="D42" i="52" s="1"/>
  <c r="D43" i="52" s="1"/>
  <c r="D44" i="52" s="1"/>
  <c r="D45" i="52" s="1"/>
  <c r="A39" i="52"/>
  <c r="A38" i="52"/>
  <c r="A37" i="52"/>
  <c r="D36" i="52"/>
  <c r="D37" i="52" s="1"/>
  <c r="D38" i="52" s="1"/>
  <c r="A36" i="52"/>
  <c r="A35" i="52"/>
  <c r="A34" i="52"/>
  <c r="A33" i="52"/>
  <c r="A32" i="52"/>
  <c r="A31" i="52"/>
  <c r="D30" i="52"/>
  <c r="D31" i="52" s="1"/>
  <c r="D32" i="52" s="1"/>
  <c r="D33" i="52" s="1"/>
  <c r="D34" i="52" s="1"/>
  <c r="D35" i="52" s="1"/>
  <c r="A30" i="52"/>
  <c r="A29" i="52"/>
  <c r="A28" i="52"/>
  <c r="A27" i="52"/>
  <c r="A26" i="52"/>
  <c r="A25" i="52"/>
  <c r="A24" i="52"/>
  <c r="A23" i="52"/>
  <c r="D22" i="52"/>
  <c r="D23" i="52" s="1"/>
  <c r="D24" i="52" s="1"/>
  <c r="D25" i="52" s="1"/>
  <c r="D26" i="52" s="1"/>
  <c r="D27" i="52" s="1"/>
  <c r="D28" i="52" s="1"/>
  <c r="D29" i="52" s="1"/>
  <c r="A22" i="52"/>
  <c r="A21" i="52"/>
  <c r="A20" i="52"/>
  <c r="A19" i="52"/>
  <c r="A18" i="52"/>
  <c r="A17" i="52"/>
  <c r="A16" i="52"/>
  <c r="A15" i="52"/>
  <c r="A14" i="52"/>
  <c r="D13" i="52"/>
  <c r="D14" i="52" s="1"/>
  <c r="D15" i="52" s="1"/>
  <c r="D16" i="52" s="1"/>
  <c r="D17" i="52" s="1"/>
  <c r="D18" i="52" s="1"/>
  <c r="D19" i="52" s="1"/>
  <c r="D20" i="52" s="1"/>
  <c r="D21" i="52" s="1"/>
  <c r="A13" i="52"/>
  <c r="A12" i="52"/>
  <c r="A11" i="52"/>
  <c r="A10" i="52"/>
  <c r="A9" i="52"/>
  <c r="A8" i="52"/>
  <c r="A7" i="52"/>
  <c r="A6" i="52"/>
  <c r="A5" i="52"/>
  <c r="A4" i="52"/>
  <c r="D3" i="52"/>
  <c r="D4" i="52" s="1"/>
  <c r="D5" i="52" s="1"/>
  <c r="D6" i="52" s="1"/>
  <c r="D7" i="52" s="1"/>
  <c r="D8" i="52" s="1"/>
  <c r="D9" i="52" s="1"/>
  <c r="D10" i="52" s="1"/>
  <c r="D11" i="52" s="1"/>
  <c r="D12" i="52" s="1"/>
  <c r="A3" i="52"/>
  <c r="A190" i="51"/>
  <c r="A189" i="51"/>
  <c r="A188" i="51"/>
  <c r="A187" i="51"/>
  <c r="A186" i="51"/>
  <c r="A185" i="51"/>
  <c r="A184" i="51"/>
  <c r="A183" i="51"/>
  <c r="D182" i="51"/>
  <c r="D183" i="51" s="1"/>
  <c r="D184" i="51" s="1"/>
  <c r="D185" i="51" s="1"/>
  <c r="D186" i="51" s="1"/>
  <c r="D187" i="51" s="1"/>
  <c r="D188" i="51" s="1"/>
  <c r="A182" i="51"/>
  <c r="A181" i="51"/>
  <c r="A180" i="51"/>
  <c r="A179" i="51"/>
  <c r="A178" i="51"/>
  <c r="A177" i="51"/>
  <c r="A176" i="51"/>
  <c r="A175" i="51"/>
  <c r="A174" i="51"/>
  <c r="A173" i="51"/>
  <c r="D172" i="51"/>
  <c r="D173" i="51" s="1"/>
  <c r="D174" i="51" s="1"/>
  <c r="D175" i="51" s="1"/>
  <c r="D176" i="51" s="1"/>
  <c r="D177" i="51" s="1"/>
  <c r="D178" i="51" s="1"/>
  <c r="D179" i="51" s="1"/>
  <c r="D180" i="51" s="1"/>
  <c r="D181" i="51" s="1"/>
  <c r="A172" i="51"/>
  <c r="A171" i="51"/>
  <c r="A170" i="51"/>
  <c r="A169" i="51"/>
  <c r="A168" i="51"/>
  <c r="A167" i="51"/>
  <c r="A166" i="51"/>
  <c r="A165" i="51"/>
  <c r="A164" i="51"/>
  <c r="A163" i="51"/>
  <c r="A162" i="51"/>
  <c r="D161" i="51"/>
  <c r="D162" i="51" s="1"/>
  <c r="D163" i="51" s="1"/>
  <c r="D164" i="51" s="1"/>
  <c r="D165" i="51" s="1"/>
  <c r="D166" i="51" s="1"/>
  <c r="D167" i="51" s="1"/>
  <c r="D168" i="51" s="1"/>
  <c r="D169" i="51" s="1"/>
  <c r="D170" i="51" s="1"/>
  <c r="D171" i="51" s="1"/>
  <c r="A161" i="51"/>
  <c r="A160" i="51"/>
  <c r="A159" i="51"/>
  <c r="A158" i="51"/>
  <c r="A157" i="51"/>
  <c r="A156" i="51"/>
  <c r="A155" i="51"/>
  <c r="A154" i="51"/>
  <c r="D153" i="51"/>
  <c r="D154" i="51" s="1"/>
  <c r="D155" i="51" s="1"/>
  <c r="D156" i="51" s="1"/>
  <c r="D157" i="51" s="1"/>
  <c r="D158" i="51" s="1"/>
  <c r="D159" i="51" s="1"/>
  <c r="D160" i="51" s="1"/>
  <c r="A153" i="51"/>
  <c r="A152" i="51"/>
  <c r="A151" i="51"/>
  <c r="A150" i="51"/>
  <c r="A149" i="51"/>
  <c r="A148" i="51"/>
  <c r="A147" i="51"/>
  <c r="D146" i="51"/>
  <c r="D147" i="51" s="1"/>
  <c r="D148" i="51" s="1"/>
  <c r="D149" i="51" s="1"/>
  <c r="D150" i="51" s="1"/>
  <c r="D151" i="51" s="1"/>
  <c r="D152" i="51" s="1"/>
  <c r="A146" i="51"/>
  <c r="A145" i="51"/>
  <c r="A144" i="51"/>
  <c r="A143" i="51"/>
  <c r="A142" i="51"/>
  <c r="A141" i="51"/>
  <c r="A140" i="51"/>
  <c r="A139" i="51"/>
  <c r="A138" i="51"/>
  <c r="D137" i="51"/>
  <c r="D138" i="51" s="1"/>
  <c r="D139" i="51" s="1"/>
  <c r="D140" i="51" s="1"/>
  <c r="D141" i="51" s="1"/>
  <c r="D142" i="51" s="1"/>
  <c r="D143" i="51" s="1"/>
  <c r="D144" i="51" s="1"/>
  <c r="D145" i="51" s="1"/>
  <c r="A137" i="51"/>
  <c r="A136" i="51"/>
  <c r="A135" i="51"/>
  <c r="A134" i="51"/>
  <c r="A133" i="51"/>
  <c r="D132" i="51"/>
  <c r="D133" i="51" s="1"/>
  <c r="D134" i="51" s="1"/>
  <c r="D135" i="51" s="1"/>
  <c r="D136" i="51" s="1"/>
  <c r="A132" i="51"/>
  <c r="D131" i="51"/>
  <c r="A131" i="51"/>
  <c r="A130" i="51"/>
  <c r="A129" i="51"/>
  <c r="A128" i="51"/>
  <c r="A127" i="51"/>
  <c r="A126" i="51"/>
  <c r="A125" i="51"/>
  <c r="A124" i="51"/>
  <c r="A123" i="51"/>
  <c r="D122" i="51"/>
  <c r="D123" i="51" s="1"/>
  <c r="D124" i="51" s="1"/>
  <c r="D125" i="51" s="1"/>
  <c r="D126" i="51" s="1"/>
  <c r="D127" i="51" s="1"/>
  <c r="D128" i="51" s="1"/>
  <c r="D129" i="51" s="1"/>
  <c r="D130" i="51" s="1"/>
  <c r="A122" i="51"/>
  <c r="A121" i="51"/>
  <c r="A120" i="51"/>
  <c r="A119" i="51"/>
  <c r="A118" i="51"/>
  <c r="D117" i="51"/>
  <c r="D118" i="51" s="1"/>
  <c r="D119" i="51" s="1"/>
  <c r="D120" i="51" s="1"/>
  <c r="D121" i="51" s="1"/>
  <c r="A117" i="51"/>
  <c r="A116" i="51"/>
  <c r="A115" i="51"/>
  <c r="A114" i="51"/>
  <c r="A113" i="51"/>
  <c r="D112" i="51"/>
  <c r="D113" i="51" s="1"/>
  <c r="D114" i="51" s="1"/>
  <c r="D115" i="51" s="1"/>
  <c r="D116" i="51" s="1"/>
  <c r="A112" i="51"/>
  <c r="D111" i="51"/>
  <c r="A111" i="51"/>
  <c r="A110" i="51"/>
  <c r="A109" i="51"/>
  <c r="A108" i="51"/>
  <c r="A107" i="51"/>
  <c r="D106" i="51"/>
  <c r="D107" i="51" s="1"/>
  <c r="D108" i="51" s="1"/>
  <c r="D109" i="51" s="1"/>
  <c r="D110" i="51" s="1"/>
  <c r="A106" i="51"/>
  <c r="A105" i="51"/>
  <c r="A104" i="51"/>
  <c r="A103" i="51"/>
  <c r="A102" i="51"/>
  <c r="A101" i="51"/>
  <c r="A100" i="51"/>
  <c r="A99" i="51"/>
  <c r="D98" i="51"/>
  <c r="D99" i="51" s="1"/>
  <c r="D100" i="51" s="1"/>
  <c r="D101" i="51" s="1"/>
  <c r="D102" i="51" s="1"/>
  <c r="D103" i="51" s="1"/>
  <c r="D104" i="51" s="1"/>
  <c r="D105" i="51" s="1"/>
  <c r="A98" i="51"/>
  <c r="A97" i="51"/>
  <c r="A96" i="51"/>
  <c r="A95" i="51"/>
  <c r="A94" i="51"/>
  <c r="A93" i="51"/>
  <c r="A92" i="51"/>
  <c r="A91" i="51"/>
  <c r="A90" i="51"/>
  <c r="A89" i="51"/>
  <c r="A88" i="51"/>
  <c r="A87" i="51"/>
  <c r="A86" i="51"/>
  <c r="A85" i="51"/>
  <c r="D84" i="51"/>
  <c r="D85" i="51" s="1"/>
  <c r="D86" i="51" s="1"/>
  <c r="D87" i="51" s="1"/>
  <c r="D88" i="51" s="1"/>
  <c r="D89" i="51" s="1"/>
  <c r="D90" i="51" s="1"/>
  <c r="D91" i="51" s="1"/>
  <c r="D92" i="51" s="1"/>
  <c r="D93" i="51" s="1"/>
  <c r="D94" i="51" s="1"/>
  <c r="D95" i="51" s="1"/>
  <c r="D96" i="51" s="1"/>
  <c r="D97" i="51" s="1"/>
  <c r="A84" i="51"/>
  <c r="D83" i="51"/>
  <c r="A83" i="51"/>
  <c r="D82" i="51"/>
  <c r="A82" i="51"/>
  <c r="A81" i="51"/>
  <c r="A80" i="51"/>
  <c r="A79" i="51"/>
  <c r="A78" i="51"/>
  <c r="A77" i="51"/>
  <c r="A76" i="51"/>
  <c r="A75" i="51"/>
  <c r="A74" i="51"/>
  <c r="D73" i="51"/>
  <c r="D74" i="51" s="1"/>
  <c r="D75" i="51" s="1"/>
  <c r="D76" i="51" s="1"/>
  <c r="D77" i="51" s="1"/>
  <c r="D78" i="51" s="1"/>
  <c r="D79" i="51" s="1"/>
  <c r="D80" i="51" s="1"/>
  <c r="D81" i="51" s="1"/>
  <c r="A73" i="51"/>
  <c r="A72" i="51"/>
  <c r="A71" i="51"/>
  <c r="A70" i="51"/>
  <c r="A69" i="51"/>
  <c r="A68" i="51"/>
  <c r="D67" i="51"/>
  <c r="D68" i="51" s="1"/>
  <c r="D69" i="51" s="1"/>
  <c r="D70" i="51" s="1"/>
  <c r="D71" i="51" s="1"/>
  <c r="D72" i="51" s="1"/>
  <c r="A67" i="51"/>
  <c r="A66" i="51"/>
  <c r="A65" i="51"/>
  <c r="A64" i="51"/>
  <c r="A63" i="51"/>
  <c r="A62" i="51"/>
  <c r="A61" i="51"/>
  <c r="D60" i="51"/>
  <c r="D61" i="51" s="1"/>
  <c r="D62" i="51" s="1"/>
  <c r="D63" i="51" s="1"/>
  <c r="D64" i="51" s="1"/>
  <c r="D65" i="51" s="1"/>
  <c r="D66" i="51" s="1"/>
  <c r="A60" i="51"/>
  <c r="D59" i="51"/>
  <c r="A59" i="51"/>
  <c r="D58" i="51"/>
  <c r="A58" i="51"/>
  <c r="A57" i="51"/>
  <c r="A56" i="51"/>
  <c r="A55" i="51"/>
  <c r="A54" i="51"/>
  <c r="A53" i="51"/>
  <c r="A52" i="51"/>
  <c r="D51" i="51"/>
  <c r="D52" i="51" s="1"/>
  <c r="D53" i="51" s="1"/>
  <c r="D54" i="51" s="1"/>
  <c r="D55" i="51" s="1"/>
  <c r="D56" i="51" s="1"/>
  <c r="D57" i="51" s="1"/>
  <c r="A51" i="51"/>
  <c r="A50" i="51"/>
  <c r="A49" i="51"/>
  <c r="A48" i="51"/>
  <c r="A47" i="51"/>
  <c r="D46" i="51"/>
  <c r="D47" i="51" s="1"/>
  <c r="D48" i="51" s="1"/>
  <c r="D49" i="51" s="1"/>
  <c r="D50" i="51" s="1"/>
  <c r="A46" i="51"/>
  <c r="A45" i="51"/>
  <c r="A44" i="51"/>
  <c r="A43" i="51"/>
  <c r="A42" i="51"/>
  <c r="A41" i="51"/>
  <c r="A40" i="51"/>
  <c r="D39" i="51"/>
  <c r="D40" i="51" s="1"/>
  <c r="D41" i="51" s="1"/>
  <c r="D42" i="51" s="1"/>
  <c r="D43" i="51" s="1"/>
  <c r="D44" i="51" s="1"/>
  <c r="D45" i="51" s="1"/>
  <c r="A39" i="51"/>
  <c r="A38" i="51"/>
  <c r="A37" i="51"/>
  <c r="D36" i="51"/>
  <c r="D37" i="51" s="1"/>
  <c r="D38" i="51" s="1"/>
  <c r="A36" i="51"/>
  <c r="A35" i="51"/>
  <c r="A34" i="51"/>
  <c r="A33" i="51"/>
  <c r="A32" i="51"/>
  <c r="A31" i="51"/>
  <c r="D30" i="51"/>
  <c r="D31" i="51" s="1"/>
  <c r="D32" i="51" s="1"/>
  <c r="D33" i="51" s="1"/>
  <c r="D34" i="51" s="1"/>
  <c r="D35" i="51" s="1"/>
  <c r="A30" i="51"/>
  <c r="A29" i="51"/>
  <c r="A28" i="51"/>
  <c r="A27" i="51"/>
  <c r="A26" i="51"/>
  <c r="A25" i="51"/>
  <c r="D24" i="51"/>
  <c r="D25" i="51" s="1"/>
  <c r="D26" i="51" s="1"/>
  <c r="D27" i="51" s="1"/>
  <c r="D28" i="51" s="1"/>
  <c r="D29" i="51" s="1"/>
  <c r="A24" i="51"/>
  <c r="D23" i="51"/>
  <c r="A23" i="51"/>
  <c r="D22" i="51"/>
  <c r="A22" i="51"/>
  <c r="A21" i="51"/>
  <c r="A20" i="51"/>
  <c r="A19" i="51"/>
  <c r="A18" i="51"/>
  <c r="A17" i="51"/>
  <c r="A16" i="51"/>
  <c r="A15" i="51"/>
  <c r="A14" i="51"/>
  <c r="D13" i="51"/>
  <c r="D14" i="51" s="1"/>
  <c r="D15" i="51" s="1"/>
  <c r="D16" i="51" s="1"/>
  <c r="D17" i="51" s="1"/>
  <c r="D18" i="51" s="1"/>
  <c r="D19" i="51" s="1"/>
  <c r="D20" i="51" s="1"/>
  <c r="D21" i="51" s="1"/>
  <c r="A13" i="51"/>
  <c r="A12" i="51"/>
  <c r="A11" i="51"/>
  <c r="A10" i="51"/>
  <c r="A9" i="51"/>
  <c r="A8" i="51"/>
  <c r="A7" i="51"/>
  <c r="A6" i="51"/>
  <c r="A5" i="51"/>
  <c r="A4" i="51"/>
  <c r="D3" i="51"/>
  <c r="D4" i="51" s="1"/>
  <c r="D5" i="51" s="1"/>
  <c r="D6" i="51" s="1"/>
  <c r="D7" i="51" s="1"/>
  <c r="D8" i="51" s="1"/>
  <c r="D9" i="51" s="1"/>
  <c r="D10" i="51" s="1"/>
  <c r="D11" i="51" s="1"/>
  <c r="D12" i="51" s="1"/>
  <c r="A3" i="51"/>
  <c r="A12" i="50"/>
  <c r="A191" i="50"/>
  <c r="A190" i="50"/>
  <c r="A189" i="50"/>
  <c r="A188" i="50"/>
  <c r="A187" i="50"/>
  <c r="A186" i="50"/>
  <c r="A185" i="50"/>
  <c r="A184" i="50"/>
  <c r="A183" i="50"/>
  <c r="D182" i="50"/>
  <c r="D183" i="50" s="1"/>
  <c r="D184" i="50" s="1"/>
  <c r="D185" i="50" s="1"/>
  <c r="D186" i="50" s="1"/>
  <c r="D187" i="50" s="1"/>
  <c r="D188" i="50" s="1"/>
  <c r="A182" i="50"/>
  <c r="A181" i="50"/>
  <c r="A180" i="50"/>
  <c r="A179" i="50"/>
  <c r="A178" i="50"/>
  <c r="A177" i="50"/>
  <c r="A176" i="50"/>
  <c r="A175" i="50"/>
  <c r="A174" i="50"/>
  <c r="A173" i="50"/>
  <c r="D172" i="50"/>
  <c r="D173" i="50" s="1"/>
  <c r="D174" i="50" s="1"/>
  <c r="D175" i="50" s="1"/>
  <c r="D176" i="50" s="1"/>
  <c r="D177" i="50" s="1"/>
  <c r="D178" i="50" s="1"/>
  <c r="D179" i="50" s="1"/>
  <c r="D180" i="50" s="1"/>
  <c r="D181" i="50" s="1"/>
  <c r="A172" i="50"/>
  <c r="A171" i="50"/>
  <c r="A170" i="50"/>
  <c r="A169" i="50"/>
  <c r="A168" i="50"/>
  <c r="A167" i="50"/>
  <c r="A166" i="50"/>
  <c r="A165" i="50"/>
  <c r="A164" i="50"/>
  <c r="A163" i="50"/>
  <c r="A162" i="50"/>
  <c r="D161" i="50"/>
  <c r="D162" i="50" s="1"/>
  <c r="D163" i="50" s="1"/>
  <c r="D164" i="50" s="1"/>
  <c r="D165" i="50" s="1"/>
  <c r="D166" i="50" s="1"/>
  <c r="D167" i="50" s="1"/>
  <c r="D168" i="50" s="1"/>
  <c r="D169" i="50" s="1"/>
  <c r="D170" i="50" s="1"/>
  <c r="D171" i="50" s="1"/>
  <c r="A161" i="50"/>
  <c r="A160" i="50"/>
  <c r="A159" i="50"/>
  <c r="A158" i="50"/>
  <c r="A157" i="50"/>
  <c r="A156" i="50"/>
  <c r="A155" i="50"/>
  <c r="A154" i="50"/>
  <c r="D153" i="50"/>
  <c r="D154" i="50" s="1"/>
  <c r="D155" i="50" s="1"/>
  <c r="D156" i="50" s="1"/>
  <c r="D157" i="50" s="1"/>
  <c r="D158" i="50" s="1"/>
  <c r="D159" i="50" s="1"/>
  <c r="D160" i="50" s="1"/>
  <c r="A153" i="50"/>
  <c r="A152" i="50"/>
  <c r="A151" i="50"/>
  <c r="A150" i="50"/>
  <c r="A149" i="50"/>
  <c r="A148" i="50"/>
  <c r="A147" i="50"/>
  <c r="D146" i="50"/>
  <c r="D147" i="50" s="1"/>
  <c r="D148" i="50" s="1"/>
  <c r="D149" i="50" s="1"/>
  <c r="D150" i="50" s="1"/>
  <c r="D151" i="50" s="1"/>
  <c r="D152" i="50" s="1"/>
  <c r="A146" i="50"/>
  <c r="A145" i="50"/>
  <c r="A144" i="50"/>
  <c r="A143" i="50"/>
  <c r="A142" i="50"/>
  <c r="A141" i="50"/>
  <c r="A140" i="50"/>
  <c r="A139" i="50"/>
  <c r="A138" i="50"/>
  <c r="D137" i="50"/>
  <c r="D138" i="50" s="1"/>
  <c r="D139" i="50" s="1"/>
  <c r="D140" i="50" s="1"/>
  <c r="D141" i="50" s="1"/>
  <c r="D142" i="50" s="1"/>
  <c r="D143" i="50" s="1"/>
  <c r="D144" i="50" s="1"/>
  <c r="A137" i="50"/>
  <c r="A136" i="50"/>
  <c r="A135" i="50"/>
  <c r="A134" i="50"/>
  <c r="A133" i="50"/>
  <c r="A132" i="50"/>
  <c r="D131" i="50"/>
  <c r="D132" i="50" s="1"/>
  <c r="D133" i="50" s="1"/>
  <c r="D134" i="50" s="1"/>
  <c r="D135" i="50" s="1"/>
  <c r="D136" i="50" s="1"/>
  <c r="A131" i="50"/>
  <c r="A130" i="50"/>
  <c r="A129" i="50"/>
  <c r="A128" i="50"/>
  <c r="A127" i="50"/>
  <c r="A126" i="50"/>
  <c r="A125" i="50"/>
  <c r="A124" i="50"/>
  <c r="A123" i="50"/>
  <c r="D122" i="50"/>
  <c r="D123" i="50" s="1"/>
  <c r="D124" i="50" s="1"/>
  <c r="D125" i="50" s="1"/>
  <c r="D126" i="50" s="1"/>
  <c r="D127" i="50" s="1"/>
  <c r="D128" i="50" s="1"/>
  <c r="D129" i="50" s="1"/>
  <c r="D130" i="50" s="1"/>
  <c r="A122" i="50"/>
  <c r="A121" i="50"/>
  <c r="A120" i="50"/>
  <c r="A119" i="50"/>
  <c r="A118" i="50"/>
  <c r="D117" i="50"/>
  <c r="D118" i="50" s="1"/>
  <c r="D119" i="50" s="1"/>
  <c r="D120" i="50" s="1"/>
  <c r="D121" i="50" s="1"/>
  <c r="A117" i="50"/>
  <c r="A116" i="50"/>
  <c r="A115" i="50"/>
  <c r="A114" i="50"/>
  <c r="A113" i="50"/>
  <c r="A112" i="50"/>
  <c r="D111" i="50"/>
  <c r="D112" i="50" s="1"/>
  <c r="D113" i="50" s="1"/>
  <c r="D114" i="50" s="1"/>
  <c r="D115" i="50" s="1"/>
  <c r="D116" i="50" s="1"/>
  <c r="A111" i="50"/>
  <c r="A110" i="50"/>
  <c r="A109" i="50"/>
  <c r="A108" i="50"/>
  <c r="A107" i="50"/>
  <c r="D106" i="50"/>
  <c r="D107" i="50" s="1"/>
  <c r="D108" i="50" s="1"/>
  <c r="D109" i="50" s="1"/>
  <c r="D110" i="50" s="1"/>
  <c r="A106" i="50"/>
  <c r="A105" i="50"/>
  <c r="A104" i="50"/>
  <c r="A103" i="50"/>
  <c r="A102" i="50"/>
  <c r="A101" i="50"/>
  <c r="A100" i="50"/>
  <c r="A99" i="50"/>
  <c r="D98" i="50"/>
  <c r="D99" i="50" s="1"/>
  <c r="D100" i="50" s="1"/>
  <c r="D101" i="50" s="1"/>
  <c r="D102" i="50" s="1"/>
  <c r="D103" i="50" s="1"/>
  <c r="D104" i="50" s="1"/>
  <c r="D105" i="50" s="1"/>
  <c r="A98" i="50"/>
  <c r="A97" i="50"/>
  <c r="A96" i="50"/>
  <c r="A95" i="50"/>
  <c r="A94" i="50"/>
  <c r="A93" i="50"/>
  <c r="A92" i="50"/>
  <c r="A91" i="50"/>
  <c r="A90" i="50"/>
  <c r="A89" i="50"/>
  <c r="A88" i="50"/>
  <c r="A87" i="50"/>
  <c r="A86" i="50"/>
  <c r="A85" i="50"/>
  <c r="A84" i="50"/>
  <c r="A83" i="50"/>
  <c r="D82" i="50"/>
  <c r="D83" i="50" s="1"/>
  <c r="D84" i="50" s="1"/>
  <c r="D85" i="50" s="1"/>
  <c r="D86" i="50" s="1"/>
  <c r="D87" i="50" s="1"/>
  <c r="D88" i="50" s="1"/>
  <c r="D89" i="50" s="1"/>
  <c r="D90" i="50" s="1"/>
  <c r="D91" i="50" s="1"/>
  <c r="D92" i="50" s="1"/>
  <c r="D93" i="50" s="1"/>
  <c r="D94" i="50" s="1"/>
  <c r="D95" i="50" s="1"/>
  <c r="D96" i="50" s="1"/>
  <c r="D97" i="50" s="1"/>
  <c r="A82" i="50"/>
  <c r="A81" i="50"/>
  <c r="A80" i="50"/>
  <c r="A79" i="50"/>
  <c r="A78" i="50"/>
  <c r="A77" i="50"/>
  <c r="A76" i="50"/>
  <c r="A75" i="50"/>
  <c r="A74" i="50"/>
  <c r="D73" i="50"/>
  <c r="D74" i="50" s="1"/>
  <c r="D75" i="50" s="1"/>
  <c r="D76" i="50" s="1"/>
  <c r="D77" i="50" s="1"/>
  <c r="D78" i="50" s="1"/>
  <c r="D79" i="50" s="1"/>
  <c r="D80" i="50" s="1"/>
  <c r="D81" i="50" s="1"/>
  <c r="A73" i="50"/>
  <c r="A72" i="50"/>
  <c r="A71" i="50"/>
  <c r="A70" i="50"/>
  <c r="A69" i="50"/>
  <c r="A68" i="50"/>
  <c r="D67" i="50"/>
  <c r="D68" i="50" s="1"/>
  <c r="D69" i="50" s="1"/>
  <c r="D70" i="50" s="1"/>
  <c r="D71" i="50" s="1"/>
  <c r="D72" i="50" s="1"/>
  <c r="A67" i="50"/>
  <c r="A66" i="50"/>
  <c r="A65" i="50"/>
  <c r="A64" i="50"/>
  <c r="A63" i="50"/>
  <c r="A62" i="50"/>
  <c r="A61" i="50"/>
  <c r="A60" i="50"/>
  <c r="A59" i="50"/>
  <c r="D58" i="50"/>
  <c r="D59" i="50" s="1"/>
  <c r="D60" i="50" s="1"/>
  <c r="D61" i="50" s="1"/>
  <c r="D62" i="50" s="1"/>
  <c r="D63" i="50" s="1"/>
  <c r="D64" i="50" s="1"/>
  <c r="D65" i="50" s="1"/>
  <c r="D66" i="50" s="1"/>
  <c r="A58" i="50"/>
  <c r="A57" i="50"/>
  <c r="A56" i="50"/>
  <c r="A55" i="50"/>
  <c r="A54" i="50"/>
  <c r="A53" i="50"/>
  <c r="A52" i="50"/>
  <c r="D51" i="50"/>
  <c r="D52" i="50" s="1"/>
  <c r="D53" i="50" s="1"/>
  <c r="D54" i="50" s="1"/>
  <c r="D55" i="50" s="1"/>
  <c r="D56" i="50" s="1"/>
  <c r="D57" i="50" s="1"/>
  <c r="A51" i="50"/>
  <c r="A50" i="50"/>
  <c r="A49" i="50"/>
  <c r="A48" i="50"/>
  <c r="A47" i="50"/>
  <c r="D46" i="50"/>
  <c r="D47" i="50" s="1"/>
  <c r="D48" i="50" s="1"/>
  <c r="D49" i="50" s="1"/>
  <c r="D50" i="50" s="1"/>
  <c r="A46" i="50"/>
  <c r="A45" i="50"/>
  <c r="A44" i="50"/>
  <c r="A43" i="50"/>
  <c r="A42" i="50"/>
  <c r="A41" i="50"/>
  <c r="A40" i="50"/>
  <c r="D39" i="50"/>
  <c r="D40" i="50" s="1"/>
  <c r="D41" i="50" s="1"/>
  <c r="D42" i="50" s="1"/>
  <c r="D43" i="50" s="1"/>
  <c r="D44" i="50" s="1"/>
  <c r="D45" i="50" s="1"/>
  <c r="A39" i="50"/>
  <c r="A38" i="50"/>
  <c r="A37" i="50"/>
  <c r="D36" i="50"/>
  <c r="D37" i="50" s="1"/>
  <c r="D38" i="50" s="1"/>
  <c r="A36" i="50"/>
  <c r="A35" i="50"/>
  <c r="A34" i="50"/>
  <c r="A33" i="50"/>
  <c r="A32" i="50"/>
  <c r="A31" i="50"/>
  <c r="D30" i="50"/>
  <c r="D31" i="50" s="1"/>
  <c r="D32" i="50" s="1"/>
  <c r="D33" i="50" s="1"/>
  <c r="D34" i="50" s="1"/>
  <c r="D35" i="50" s="1"/>
  <c r="A30" i="50"/>
  <c r="A29" i="50"/>
  <c r="A28" i="50"/>
  <c r="A27" i="50"/>
  <c r="A26" i="50"/>
  <c r="A25" i="50"/>
  <c r="A24" i="50"/>
  <c r="A23" i="50"/>
  <c r="D22" i="50"/>
  <c r="D23" i="50" s="1"/>
  <c r="D24" i="50" s="1"/>
  <c r="D25" i="50" s="1"/>
  <c r="D26" i="50" s="1"/>
  <c r="D27" i="50" s="1"/>
  <c r="D28" i="50" s="1"/>
  <c r="D29" i="50" s="1"/>
  <c r="A22" i="50"/>
  <c r="A21" i="50"/>
  <c r="A20" i="50"/>
  <c r="A19" i="50"/>
  <c r="A18" i="50"/>
  <c r="A17" i="50"/>
  <c r="A16" i="50"/>
  <c r="A15" i="50"/>
  <c r="A14" i="50"/>
  <c r="D13" i="50"/>
  <c r="D14" i="50" s="1"/>
  <c r="D15" i="50" s="1"/>
  <c r="D16" i="50" s="1"/>
  <c r="D17" i="50" s="1"/>
  <c r="D18" i="50" s="1"/>
  <c r="D19" i="50" s="1"/>
  <c r="D20" i="50" s="1"/>
  <c r="D21" i="50" s="1"/>
  <c r="A13" i="50"/>
  <c r="A11" i="50"/>
  <c r="A10" i="50"/>
  <c r="A9" i="50"/>
  <c r="A8" i="50"/>
  <c r="A7" i="50"/>
  <c r="A6" i="50"/>
  <c r="A5" i="50"/>
  <c r="A4" i="50"/>
  <c r="D3" i="50"/>
  <c r="D4" i="50" s="1"/>
  <c r="D5" i="50" s="1"/>
  <c r="D6" i="50" s="1"/>
  <c r="D7" i="50" s="1"/>
  <c r="D8" i="50" s="1"/>
  <c r="D9" i="50" s="1"/>
  <c r="D10" i="50" s="1"/>
  <c r="D11" i="50" s="1"/>
  <c r="D12" i="50" s="1"/>
  <c r="A3" i="50"/>
  <c r="A71" i="49"/>
  <c r="A19" i="49"/>
  <c r="A191" i="49"/>
  <c r="A190" i="49"/>
  <c r="A189" i="49"/>
  <c r="A188" i="49"/>
  <c r="A187" i="49"/>
  <c r="A186" i="49"/>
  <c r="A185" i="49"/>
  <c r="A184" i="49"/>
  <c r="A183" i="49"/>
  <c r="D182" i="49"/>
  <c r="D183" i="49" s="1"/>
  <c r="D184" i="49" s="1"/>
  <c r="D185" i="49" s="1"/>
  <c r="D186" i="49" s="1"/>
  <c r="D187" i="49" s="1"/>
  <c r="D188" i="49" s="1"/>
  <c r="A182" i="49"/>
  <c r="A181" i="49"/>
  <c r="A180" i="49"/>
  <c r="A179" i="49"/>
  <c r="A178" i="49"/>
  <c r="A177" i="49"/>
  <c r="A176" i="49"/>
  <c r="A175" i="49"/>
  <c r="A174" i="49"/>
  <c r="A173" i="49"/>
  <c r="D172" i="49"/>
  <c r="D173" i="49" s="1"/>
  <c r="D174" i="49" s="1"/>
  <c r="D175" i="49" s="1"/>
  <c r="D176" i="49" s="1"/>
  <c r="D177" i="49" s="1"/>
  <c r="D178" i="49" s="1"/>
  <c r="D179" i="49" s="1"/>
  <c r="D180" i="49" s="1"/>
  <c r="D181" i="49" s="1"/>
  <c r="A172" i="49"/>
  <c r="A171" i="49"/>
  <c r="A170" i="49"/>
  <c r="A169" i="49"/>
  <c r="A168" i="49"/>
  <c r="A167" i="49"/>
  <c r="A166" i="49"/>
  <c r="A165" i="49"/>
  <c r="A164" i="49"/>
  <c r="A163" i="49"/>
  <c r="A162" i="49"/>
  <c r="D161" i="49"/>
  <c r="D162" i="49" s="1"/>
  <c r="D163" i="49" s="1"/>
  <c r="D164" i="49" s="1"/>
  <c r="D165" i="49" s="1"/>
  <c r="D166" i="49" s="1"/>
  <c r="D167" i="49" s="1"/>
  <c r="D168" i="49" s="1"/>
  <c r="D169" i="49" s="1"/>
  <c r="D170" i="49" s="1"/>
  <c r="D171" i="49" s="1"/>
  <c r="A161" i="49"/>
  <c r="A160" i="49"/>
  <c r="A159" i="49"/>
  <c r="A158" i="49"/>
  <c r="A157" i="49"/>
  <c r="A156" i="49"/>
  <c r="A155" i="49"/>
  <c r="A154" i="49"/>
  <c r="D153" i="49"/>
  <c r="D154" i="49" s="1"/>
  <c r="D155" i="49" s="1"/>
  <c r="D156" i="49" s="1"/>
  <c r="D157" i="49" s="1"/>
  <c r="D158" i="49" s="1"/>
  <c r="D159" i="49" s="1"/>
  <c r="D160" i="49" s="1"/>
  <c r="A153" i="49"/>
  <c r="A152" i="49"/>
  <c r="A151" i="49"/>
  <c r="A150" i="49"/>
  <c r="A149" i="49"/>
  <c r="A148" i="49"/>
  <c r="A147" i="49"/>
  <c r="D146" i="49"/>
  <c r="D147" i="49" s="1"/>
  <c r="D148" i="49" s="1"/>
  <c r="D149" i="49" s="1"/>
  <c r="D150" i="49" s="1"/>
  <c r="D151" i="49" s="1"/>
  <c r="D152" i="49" s="1"/>
  <c r="A146" i="49"/>
  <c r="A145" i="49"/>
  <c r="A144" i="49"/>
  <c r="A143" i="49"/>
  <c r="A142" i="49"/>
  <c r="A141" i="49"/>
  <c r="A140" i="49"/>
  <c r="A139" i="49"/>
  <c r="A138" i="49"/>
  <c r="A137" i="49"/>
  <c r="D136" i="49"/>
  <c r="D137" i="49" s="1"/>
  <c r="D138" i="49" s="1"/>
  <c r="D139" i="49" s="1"/>
  <c r="D140" i="49" s="1"/>
  <c r="D141" i="49" s="1"/>
  <c r="D142" i="49" s="1"/>
  <c r="D143" i="49" s="1"/>
  <c r="D144" i="49" s="1"/>
  <c r="D145" i="49" s="1"/>
  <c r="A136" i="49"/>
  <c r="A135" i="49"/>
  <c r="A134" i="49"/>
  <c r="A133" i="49"/>
  <c r="A132" i="49"/>
  <c r="A131" i="49"/>
  <c r="D130" i="49"/>
  <c r="D131" i="49" s="1"/>
  <c r="D132" i="49" s="1"/>
  <c r="D133" i="49" s="1"/>
  <c r="D134" i="49" s="1"/>
  <c r="D135" i="49" s="1"/>
  <c r="A130" i="49"/>
  <c r="A129" i="49"/>
  <c r="A128" i="49"/>
  <c r="A127" i="49"/>
  <c r="A126" i="49"/>
  <c r="A125" i="49"/>
  <c r="A124" i="49"/>
  <c r="A123" i="49"/>
  <c r="A122" i="49"/>
  <c r="D121" i="49"/>
  <c r="D122" i="49" s="1"/>
  <c r="D123" i="49" s="1"/>
  <c r="D124" i="49" s="1"/>
  <c r="D125" i="49" s="1"/>
  <c r="D126" i="49" s="1"/>
  <c r="D127" i="49" s="1"/>
  <c r="D128" i="49" s="1"/>
  <c r="D129" i="49" s="1"/>
  <c r="A121" i="49"/>
  <c r="A120" i="49"/>
  <c r="A119" i="49"/>
  <c r="A118" i="49"/>
  <c r="A117" i="49"/>
  <c r="D116" i="49"/>
  <c r="D117" i="49" s="1"/>
  <c r="D118" i="49" s="1"/>
  <c r="D119" i="49" s="1"/>
  <c r="D120" i="49" s="1"/>
  <c r="A116" i="49"/>
  <c r="A115" i="49"/>
  <c r="A114" i="49"/>
  <c r="A113" i="49"/>
  <c r="A112" i="49"/>
  <c r="D111" i="49"/>
  <c r="D112" i="49" s="1"/>
  <c r="D113" i="49" s="1"/>
  <c r="D114" i="49" s="1"/>
  <c r="D115" i="49" s="1"/>
  <c r="A111" i="49"/>
  <c r="D110" i="49"/>
  <c r="A110" i="49"/>
  <c r="A109" i="49"/>
  <c r="A108" i="49"/>
  <c r="A107" i="49"/>
  <c r="A106" i="49"/>
  <c r="D105" i="49"/>
  <c r="D106" i="49" s="1"/>
  <c r="D107" i="49" s="1"/>
  <c r="D108" i="49" s="1"/>
  <c r="D109" i="49" s="1"/>
  <c r="A105" i="49"/>
  <c r="A104" i="49"/>
  <c r="A103" i="49"/>
  <c r="A102" i="49"/>
  <c r="A101" i="49"/>
  <c r="A100" i="49"/>
  <c r="A99" i="49"/>
  <c r="A98" i="49"/>
  <c r="D97" i="49"/>
  <c r="D98" i="49" s="1"/>
  <c r="D99" i="49" s="1"/>
  <c r="D100" i="49" s="1"/>
  <c r="D101" i="49" s="1"/>
  <c r="D102" i="49" s="1"/>
  <c r="D103" i="49" s="1"/>
  <c r="D104" i="49" s="1"/>
  <c r="A97" i="49"/>
  <c r="A96" i="49"/>
  <c r="A95" i="49"/>
  <c r="A94" i="49"/>
  <c r="A93" i="49"/>
  <c r="A92" i="49"/>
  <c r="A91" i="49"/>
  <c r="A90" i="49"/>
  <c r="A89" i="49"/>
  <c r="A88" i="49"/>
  <c r="A87" i="49"/>
  <c r="A86" i="49"/>
  <c r="A85" i="49"/>
  <c r="A84" i="49"/>
  <c r="A83" i="49"/>
  <c r="A82" i="49"/>
  <c r="D81" i="49"/>
  <c r="D82" i="49" s="1"/>
  <c r="D83" i="49" s="1"/>
  <c r="D84" i="49" s="1"/>
  <c r="D85" i="49" s="1"/>
  <c r="D86" i="49" s="1"/>
  <c r="D87" i="49" s="1"/>
  <c r="D88" i="49" s="1"/>
  <c r="D89" i="49" s="1"/>
  <c r="D90" i="49" s="1"/>
  <c r="D91" i="49" s="1"/>
  <c r="D92" i="49" s="1"/>
  <c r="D93" i="49" s="1"/>
  <c r="D94" i="49" s="1"/>
  <c r="D95" i="49" s="1"/>
  <c r="D96" i="49" s="1"/>
  <c r="A81" i="49"/>
  <c r="A80" i="49"/>
  <c r="A79" i="49"/>
  <c r="A78" i="49"/>
  <c r="A77" i="49"/>
  <c r="A76" i="49"/>
  <c r="A75" i="49"/>
  <c r="A74" i="49"/>
  <c r="A73" i="49"/>
  <c r="D72" i="49"/>
  <c r="D73" i="49" s="1"/>
  <c r="D74" i="49" s="1"/>
  <c r="D75" i="49" s="1"/>
  <c r="D76" i="49" s="1"/>
  <c r="D77" i="49" s="1"/>
  <c r="D78" i="49" s="1"/>
  <c r="D79" i="49" s="1"/>
  <c r="D80" i="49" s="1"/>
  <c r="A72" i="49"/>
  <c r="A70" i="49"/>
  <c r="A69" i="49"/>
  <c r="A68" i="49"/>
  <c r="A67" i="49"/>
  <c r="D66" i="49"/>
  <c r="D67" i="49" s="1"/>
  <c r="D68" i="49" s="1"/>
  <c r="D69" i="49" s="1"/>
  <c r="D70" i="49" s="1"/>
  <c r="D71" i="49" s="1"/>
  <c r="A66" i="49"/>
  <c r="A65" i="49"/>
  <c r="A64" i="49"/>
  <c r="A63" i="49"/>
  <c r="A62" i="49"/>
  <c r="A61" i="49"/>
  <c r="A60" i="49"/>
  <c r="A59" i="49"/>
  <c r="D58" i="49"/>
  <c r="D59" i="49" s="1"/>
  <c r="D60" i="49" s="1"/>
  <c r="D61" i="49" s="1"/>
  <c r="D62" i="49" s="1"/>
  <c r="D63" i="49" s="1"/>
  <c r="D64" i="49" s="1"/>
  <c r="D65" i="49" s="1"/>
  <c r="A58" i="49"/>
  <c r="D57" i="49"/>
  <c r="A57" i="49"/>
  <c r="A56" i="49"/>
  <c r="A55" i="49"/>
  <c r="A54" i="49"/>
  <c r="A53" i="49"/>
  <c r="A52" i="49"/>
  <c r="A51" i="49"/>
  <c r="D50" i="49"/>
  <c r="D51" i="49" s="1"/>
  <c r="D52" i="49" s="1"/>
  <c r="D53" i="49" s="1"/>
  <c r="D54" i="49" s="1"/>
  <c r="D55" i="49" s="1"/>
  <c r="D56" i="49" s="1"/>
  <c r="A50" i="49"/>
  <c r="A49" i="49"/>
  <c r="A48" i="49"/>
  <c r="A47" i="49"/>
  <c r="A46" i="49"/>
  <c r="D45" i="49"/>
  <c r="D46" i="49" s="1"/>
  <c r="D47" i="49" s="1"/>
  <c r="D48" i="49" s="1"/>
  <c r="D49" i="49" s="1"/>
  <c r="A45" i="49"/>
  <c r="A44" i="49"/>
  <c r="A43" i="49"/>
  <c r="A42" i="49"/>
  <c r="A41" i="49"/>
  <c r="A40" i="49"/>
  <c r="A39" i="49"/>
  <c r="D38" i="49"/>
  <c r="D39" i="49" s="1"/>
  <c r="D40" i="49" s="1"/>
  <c r="D41" i="49" s="1"/>
  <c r="D42" i="49" s="1"/>
  <c r="D43" i="49" s="1"/>
  <c r="D44" i="49" s="1"/>
  <c r="A38" i="49"/>
  <c r="A37" i="49"/>
  <c r="A36" i="49"/>
  <c r="D35" i="49"/>
  <c r="D36" i="49" s="1"/>
  <c r="D37" i="49" s="1"/>
  <c r="A35" i="49"/>
  <c r="A34" i="49"/>
  <c r="A33" i="49"/>
  <c r="A32" i="49"/>
  <c r="A31" i="49"/>
  <c r="A30" i="49"/>
  <c r="D29" i="49"/>
  <c r="D30" i="49" s="1"/>
  <c r="D31" i="49" s="1"/>
  <c r="D32" i="49" s="1"/>
  <c r="D33" i="49" s="1"/>
  <c r="D34" i="49" s="1"/>
  <c r="A29" i="49"/>
  <c r="A28" i="49"/>
  <c r="A27" i="49"/>
  <c r="A26" i="49"/>
  <c r="A25" i="49"/>
  <c r="A24" i="49"/>
  <c r="A23" i="49"/>
  <c r="A22" i="49"/>
  <c r="D21" i="49"/>
  <c r="D22" i="49" s="1"/>
  <c r="D23" i="49" s="1"/>
  <c r="D24" i="49" s="1"/>
  <c r="D25" i="49" s="1"/>
  <c r="D26" i="49" s="1"/>
  <c r="D27" i="49" s="1"/>
  <c r="D28" i="49" s="1"/>
  <c r="A21" i="49"/>
  <c r="A20" i="49"/>
  <c r="A18" i="49"/>
  <c r="A17" i="49"/>
  <c r="A16" i="49"/>
  <c r="A15" i="49"/>
  <c r="A14" i="49"/>
  <c r="A13" i="49"/>
  <c r="D12" i="49"/>
  <c r="D13" i="49" s="1"/>
  <c r="D14" i="49" s="1"/>
  <c r="D15" i="49" s="1"/>
  <c r="D16" i="49" s="1"/>
  <c r="D17" i="49" s="1"/>
  <c r="A12" i="49"/>
  <c r="A11" i="49"/>
  <c r="A10" i="49"/>
  <c r="A9" i="49"/>
  <c r="A8" i="49"/>
  <c r="A7" i="49"/>
  <c r="A6" i="49"/>
  <c r="A5" i="49"/>
  <c r="A4" i="49"/>
  <c r="D3" i="49"/>
  <c r="D4" i="49" s="1"/>
  <c r="D5" i="49" s="1"/>
  <c r="D6" i="49" s="1"/>
  <c r="D7" i="49" s="1"/>
  <c r="D8" i="49" s="1"/>
  <c r="D9" i="49" s="1"/>
  <c r="D10" i="49" s="1"/>
  <c r="D11" i="49" s="1"/>
  <c r="A3" i="49"/>
  <c r="D189" i="52" l="1"/>
  <c r="D190" i="52" s="1"/>
  <c r="D191" i="52" s="1"/>
  <c r="D189" i="51"/>
  <c r="D190" i="51" s="1"/>
  <c r="D145" i="50"/>
  <c r="D190" i="50"/>
  <c r="D189" i="50"/>
  <c r="D191" i="50" s="1"/>
  <c r="D18" i="49"/>
  <c r="D19" i="49" s="1"/>
  <c r="D20" i="49" s="1"/>
  <c r="D190" i="49"/>
  <c r="D189" i="49"/>
  <c r="D191" i="4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tc={CC9903EF-E7F9-4F09-800A-3A7B66D741E2}</author>
  </authors>
  <commentList>
    <comment ref="G105" authorId="0" shapeId="0" xr:uid="{CC9903EF-E7F9-4F09-800A-3A7B66D741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tc={AE4E8FA4-3292-4857-BDBB-D22D12C3B7A7}</author>
  </authors>
  <commentList>
    <comment ref="G105" authorId="0" shapeId="0" xr:uid="{AE4E8FA4-3292-4857-BDBB-D22D12C3B7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tc={638F9BA9-9C82-434F-ABFB-21B7DD5FD615}</author>
  </authors>
  <commentList>
    <comment ref="G105" authorId="0" shapeId="0" xr:uid="{638F9BA9-9C82-434F-ABFB-21B7DD5FD6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tc={5DC5F12E-4119-42E9-AB7D-587893B8C305}</author>
  </authors>
  <commentList>
    <comment ref="G105" authorId="0" shapeId="0" xr:uid="{5DC5F12E-4119-42E9-AB7D-587893B8C30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tc={9CC2CB2E-0906-4549-80B7-714B3D7DE4F1}</author>
  </authors>
  <commentList>
    <comment ref="G105" authorId="0" shapeId="0" xr:uid="{9CC2CB2E-0906-4549-80B7-714B3D7DE4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tc={21E52C21-2345-4C70-862F-4FB706A44D76}</author>
  </authors>
  <commentList>
    <comment ref="G105" authorId="0" shapeId="0" xr:uid="{21E52C21-2345-4C70-862F-4FB706A44D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tc={E537343C-6F92-49E9-AB30-B5CCC02D70D5}</author>
  </authors>
  <commentList>
    <comment ref="G105" authorId="0" shapeId="0" xr:uid="{E537343C-6F92-49E9-AB30-B5CCC02D70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tc={52E81C5E-12A8-4425-8197-18FF1631241E}</author>
  </authors>
  <commentList>
    <comment ref="G104" authorId="0" shapeId="0" xr:uid="{52E81C5E-12A8-4425-8197-18FF163124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スカイライト田浦B</t>
      </text>
    </comment>
  </commentList>
</comments>
</file>

<file path=xl/sharedStrings.xml><?xml version="1.0" encoding="utf-8"?>
<sst xmlns="http://schemas.openxmlformats.org/spreadsheetml/2006/main" count="8010" uniqueCount="873">
  <si>
    <t>通番</t>
    <rPh sb="0" eb="1">
      <t>トオ</t>
    </rPh>
    <rPh sb="1" eb="2">
      <t>バン</t>
    </rPh>
    <phoneticPr fontId="1"/>
  </si>
  <si>
    <t>区</t>
    <rPh sb="0" eb="1">
      <t>ク</t>
    </rPh>
    <phoneticPr fontId="1"/>
  </si>
  <si>
    <t>班</t>
    <rPh sb="0" eb="1">
      <t>ハン</t>
    </rPh>
    <phoneticPr fontId="1"/>
  </si>
  <si>
    <t>No.</t>
    <phoneticPr fontId="2"/>
  </si>
  <si>
    <t>評議員</t>
    <rPh sb="0" eb="3">
      <t xml:space="preserve">ヒョウギイン </t>
    </rPh>
    <phoneticPr fontId="1"/>
  </si>
  <si>
    <t>　氏名　／　屋号</t>
    <rPh sb="1" eb="2">
      <t>シ</t>
    </rPh>
    <rPh sb="2" eb="3">
      <t>メイ</t>
    </rPh>
    <rPh sb="6" eb="8">
      <t>ヤゴウ</t>
    </rPh>
    <phoneticPr fontId="2"/>
  </si>
  <si>
    <t>　住所番地</t>
    <rPh sb="1" eb="2">
      <t>ジュウ</t>
    </rPh>
    <rPh sb="2" eb="3">
      <t>ショ</t>
    </rPh>
    <rPh sb="3" eb="5">
      <t>バンチ</t>
    </rPh>
    <phoneticPr fontId="2"/>
  </si>
  <si>
    <t>電　　話</t>
    <rPh sb="0" eb="1">
      <t>デン</t>
    </rPh>
    <rPh sb="3" eb="4">
      <t>ワ</t>
    </rPh>
    <phoneticPr fontId="2"/>
  </si>
  <si>
    <t>備　考　</t>
    <rPh sb="0" eb="1">
      <t>ソナエ</t>
    </rPh>
    <rPh sb="2" eb="3">
      <t>コウ</t>
    </rPh>
    <phoneticPr fontId="2"/>
  </si>
  <si>
    <t>中村芳朗</t>
    <rPh sb="0" eb="2">
      <t>ナカムラ</t>
    </rPh>
    <rPh sb="2" eb="4">
      <t>ヨシロウ</t>
    </rPh>
    <phoneticPr fontId="2"/>
  </si>
  <si>
    <t>6－1</t>
    <phoneticPr fontId="2"/>
  </si>
  <si>
    <t>861－2770</t>
    <phoneticPr fontId="2"/>
  </si>
  <si>
    <t>中村治子</t>
    <rPh sb="0" eb="2">
      <t>ナカムラ</t>
    </rPh>
    <rPh sb="2" eb="4">
      <t>ハルコ</t>
    </rPh>
    <phoneticPr fontId="2"/>
  </si>
  <si>
    <t>861－2446</t>
    <phoneticPr fontId="2"/>
  </si>
  <si>
    <t>松川正士</t>
    <rPh sb="0" eb="2">
      <t>マツカワ</t>
    </rPh>
    <rPh sb="2" eb="4">
      <t>マサシ</t>
    </rPh>
    <phoneticPr fontId="2"/>
  </si>
  <si>
    <t>861－2384</t>
    <phoneticPr fontId="2"/>
  </si>
  <si>
    <t>和田薪</t>
    <rPh sb="0" eb="2">
      <t>ワダ</t>
    </rPh>
    <rPh sb="2" eb="3">
      <t>マキ</t>
    </rPh>
    <phoneticPr fontId="2"/>
  </si>
  <si>
    <t>861－2481</t>
    <phoneticPr fontId="2"/>
  </si>
  <si>
    <t>平井進</t>
    <rPh sb="0" eb="2">
      <t>ヒライ</t>
    </rPh>
    <rPh sb="2" eb="3">
      <t>ススム</t>
    </rPh>
    <phoneticPr fontId="2"/>
  </si>
  <si>
    <t>861－3291</t>
    <phoneticPr fontId="2"/>
  </si>
  <si>
    <t>H29.4～</t>
    <phoneticPr fontId="1"/>
  </si>
  <si>
    <t>●</t>
    <phoneticPr fontId="1"/>
  </si>
  <si>
    <t>粟飯原功</t>
    <rPh sb="0" eb="1">
      <t>アワ</t>
    </rPh>
    <rPh sb="1" eb="2">
      <t>メシ</t>
    </rPh>
    <rPh sb="2" eb="3">
      <t>ハラ</t>
    </rPh>
    <rPh sb="3" eb="4">
      <t>コウ</t>
    </rPh>
    <phoneticPr fontId="2"/>
  </si>
  <si>
    <t>6－2</t>
    <phoneticPr fontId="2"/>
  </si>
  <si>
    <t>861－4015</t>
    <phoneticPr fontId="2"/>
  </si>
  <si>
    <t>高橋正</t>
    <rPh sb="0" eb="2">
      <t>タカハシ</t>
    </rPh>
    <rPh sb="2" eb="3">
      <t>タダシ</t>
    </rPh>
    <phoneticPr fontId="2"/>
  </si>
  <si>
    <t>861－0178</t>
    <phoneticPr fontId="2"/>
  </si>
  <si>
    <t>R3.評議員は「しのぶ」さん</t>
    <rPh sb="3" eb="6">
      <t xml:space="preserve">ヒョウギイイｎ </t>
    </rPh>
    <phoneticPr fontId="1"/>
  </si>
  <si>
    <t>林信行</t>
    <rPh sb="0" eb="1">
      <t>ハヤシ</t>
    </rPh>
    <rPh sb="1" eb="3">
      <t>ノブユキ</t>
    </rPh>
    <phoneticPr fontId="2"/>
  </si>
  <si>
    <t>090-3916-4588</t>
    <phoneticPr fontId="2"/>
  </si>
  <si>
    <t>紺野建設</t>
    <rPh sb="0" eb="1">
      <t>コン</t>
    </rPh>
    <rPh sb="1" eb="2">
      <t>ノ</t>
    </rPh>
    <rPh sb="2" eb="4">
      <t>ケンセツ</t>
    </rPh>
    <phoneticPr fontId="2"/>
  </si>
  <si>
    <t>6－69</t>
    <phoneticPr fontId="2"/>
  </si>
  <si>
    <t>861－3180</t>
    <phoneticPr fontId="2"/>
  </si>
  <si>
    <t>遠山悦子</t>
    <rPh sb="0" eb="2">
      <t>トオヤマ</t>
    </rPh>
    <rPh sb="2" eb="4">
      <t>エツコ</t>
    </rPh>
    <phoneticPr fontId="2"/>
  </si>
  <si>
    <t>6－68</t>
    <phoneticPr fontId="2"/>
  </si>
  <si>
    <t>861－3815</t>
    <phoneticPr fontId="2"/>
  </si>
  <si>
    <t>R5.美代子さん逝去</t>
    <rPh sb="8" eb="10">
      <t>セイキョ</t>
    </rPh>
    <phoneticPr fontId="1"/>
  </si>
  <si>
    <t>高瀬一</t>
    <rPh sb="0" eb="2">
      <t>タカセ</t>
    </rPh>
    <rPh sb="2" eb="3">
      <t>ハジメ</t>
    </rPh>
    <phoneticPr fontId="2"/>
  </si>
  <si>
    <t>861－0509</t>
    <phoneticPr fontId="2"/>
  </si>
  <si>
    <t>齋藤勇</t>
    <rPh sb="0" eb="2">
      <t>サイトウ</t>
    </rPh>
    <rPh sb="2" eb="3">
      <t>イサム</t>
    </rPh>
    <phoneticPr fontId="2"/>
  </si>
  <si>
    <t>861－3823</t>
    <phoneticPr fontId="2"/>
  </si>
  <si>
    <t>鍋田益男</t>
    <rPh sb="0" eb="2">
      <t>ナベタ</t>
    </rPh>
    <rPh sb="2" eb="4">
      <t>マスオ</t>
    </rPh>
    <phoneticPr fontId="2"/>
  </si>
  <si>
    <t>861－5959</t>
    <phoneticPr fontId="2"/>
  </si>
  <si>
    <t>マミークリーニング</t>
    <phoneticPr fontId="1"/>
  </si>
  <si>
    <t>861－1220</t>
    <phoneticPr fontId="2"/>
  </si>
  <si>
    <t>佐藤清</t>
    <rPh sb="0" eb="2">
      <t>サトウ</t>
    </rPh>
    <rPh sb="2" eb="3">
      <t>キヨシ</t>
    </rPh>
    <phoneticPr fontId="1"/>
  </si>
  <si>
    <t>861－6235</t>
    <phoneticPr fontId="2"/>
  </si>
  <si>
    <t>佐久間明</t>
    <rPh sb="0" eb="3">
      <t>サクマ</t>
    </rPh>
    <rPh sb="3" eb="4">
      <t>アキラ</t>
    </rPh>
    <phoneticPr fontId="2"/>
  </si>
  <si>
    <t>861－3753</t>
    <phoneticPr fontId="2"/>
  </si>
  <si>
    <t>鳥居スミヱ</t>
    <rPh sb="0" eb="2">
      <t>トリイ</t>
    </rPh>
    <phoneticPr fontId="2"/>
  </si>
  <si>
    <t>6－77</t>
    <phoneticPr fontId="2"/>
  </si>
  <si>
    <t>861－4993</t>
    <phoneticPr fontId="2"/>
  </si>
  <si>
    <t>渋江康弘</t>
    <rPh sb="0" eb="2">
      <t>シブエ</t>
    </rPh>
    <rPh sb="2" eb="4">
      <t>ヤスヒロ</t>
    </rPh>
    <phoneticPr fontId="2"/>
  </si>
  <si>
    <t>897－7032</t>
    <phoneticPr fontId="2"/>
  </si>
  <si>
    <t>石岡明憲</t>
    <rPh sb="0" eb="1">
      <t>セキ</t>
    </rPh>
    <rPh sb="1" eb="2">
      <t>オカ</t>
    </rPh>
    <rPh sb="2" eb="3">
      <t>メイ</t>
    </rPh>
    <rPh sb="3" eb="4">
      <t>ケン</t>
    </rPh>
    <phoneticPr fontId="2"/>
  </si>
  <si>
    <t>861－0925</t>
    <phoneticPr fontId="2"/>
  </si>
  <si>
    <t>中華料理成都</t>
    <rPh sb="0" eb="2">
      <t>チュウカ</t>
    </rPh>
    <rPh sb="2" eb="4">
      <t>リョウリ</t>
    </rPh>
    <rPh sb="4" eb="5">
      <t>ナ</t>
    </rPh>
    <rPh sb="5" eb="6">
      <t>ミヤコ</t>
    </rPh>
    <phoneticPr fontId="2"/>
  </si>
  <si>
    <t>861－8060</t>
    <phoneticPr fontId="2"/>
  </si>
  <si>
    <t>松本秀雄</t>
    <rPh sb="0" eb="2">
      <t>マツモト</t>
    </rPh>
    <rPh sb="2" eb="4">
      <t>ヒデオ</t>
    </rPh>
    <phoneticPr fontId="2"/>
  </si>
  <si>
    <t>武藤親弘</t>
    <rPh sb="0" eb="2">
      <t>ムトウ</t>
    </rPh>
    <rPh sb="2" eb="3">
      <t>オヤ</t>
    </rPh>
    <rPh sb="3" eb="4">
      <t>ヒロシ</t>
    </rPh>
    <phoneticPr fontId="2"/>
  </si>
  <si>
    <t>861－5829</t>
    <phoneticPr fontId="2"/>
  </si>
  <si>
    <t>串一</t>
    <rPh sb="0" eb="1">
      <t>クシ</t>
    </rPh>
    <rPh sb="1" eb="2">
      <t>1</t>
    </rPh>
    <phoneticPr fontId="2"/>
  </si>
  <si>
    <t>861－2733</t>
    <phoneticPr fontId="2"/>
  </si>
  <si>
    <t>中村太一</t>
    <rPh sb="0" eb="2">
      <t>ナカムラ</t>
    </rPh>
    <rPh sb="2" eb="4">
      <t>タイチ</t>
    </rPh>
    <phoneticPr fontId="2"/>
  </si>
  <si>
    <t>887－0676</t>
    <phoneticPr fontId="2"/>
  </si>
  <si>
    <t>6－75</t>
    <phoneticPr fontId="2"/>
  </si>
  <si>
    <t>861－4214</t>
    <phoneticPr fontId="2"/>
  </si>
  <si>
    <t>R4 弘志さん逝去</t>
    <rPh sb="7" eb="9">
      <t>セイキョ</t>
    </rPh>
    <phoneticPr fontId="1"/>
  </si>
  <si>
    <t>秋山芳美</t>
    <rPh sb="0" eb="2">
      <t>アキヤマ</t>
    </rPh>
    <rPh sb="2" eb="4">
      <t>ヨシミ</t>
    </rPh>
    <phoneticPr fontId="2"/>
  </si>
  <si>
    <t>861－7234</t>
    <phoneticPr fontId="2"/>
  </si>
  <si>
    <t>櫻井治</t>
    <rPh sb="0" eb="2">
      <t>サクライ</t>
    </rPh>
    <rPh sb="2" eb="3">
      <t>オサム</t>
    </rPh>
    <phoneticPr fontId="2"/>
  </si>
  <si>
    <t>6－74</t>
    <phoneticPr fontId="2"/>
  </si>
  <si>
    <t>861－2490</t>
    <phoneticPr fontId="2"/>
  </si>
  <si>
    <t>松永彰</t>
    <rPh sb="0" eb="2">
      <t>マツナガ</t>
    </rPh>
    <rPh sb="2" eb="3">
      <t>アキラ</t>
    </rPh>
    <phoneticPr fontId="2"/>
  </si>
  <si>
    <t>861－2132</t>
    <phoneticPr fontId="2"/>
  </si>
  <si>
    <t>橋本勇</t>
    <rPh sb="0" eb="2">
      <t>ハシモト</t>
    </rPh>
    <rPh sb="2" eb="3">
      <t>イサム</t>
    </rPh>
    <phoneticPr fontId="2"/>
  </si>
  <si>
    <t>861－2905</t>
    <phoneticPr fontId="2"/>
  </si>
  <si>
    <t>瀧下なつみ</t>
    <rPh sb="0" eb="1">
      <t xml:space="preserve">タキモト </t>
    </rPh>
    <rPh sb="1" eb="2">
      <t xml:space="preserve">シタ </t>
    </rPh>
    <phoneticPr fontId="1"/>
  </si>
  <si>
    <t>080-5417-6576</t>
    <phoneticPr fontId="1"/>
  </si>
  <si>
    <t>鈴木洋一</t>
    <rPh sb="0" eb="2">
      <t>スズキ</t>
    </rPh>
    <rPh sb="2" eb="4">
      <t>ヨウイチ</t>
    </rPh>
    <phoneticPr fontId="1"/>
  </si>
  <si>
    <t>6－66－４　G3</t>
    <phoneticPr fontId="2"/>
  </si>
  <si>
    <t>090-8506-2232</t>
    <phoneticPr fontId="1"/>
  </si>
  <si>
    <t>首藤睦</t>
    <rPh sb="0" eb="2">
      <t>シュトウ</t>
    </rPh>
    <rPh sb="2" eb="3">
      <t>ムツミ</t>
    </rPh>
    <phoneticPr fontId="2"/>
  </si>
  <si>
    <t>861－9056</t>
    <phoneticPr fontId="2"/>
  </si>
  <si>
    <t>203号室</t>
    <rPh sb="3" eb="4">
      <t>ゴウ</t>
    </rPh>
    <rPh sb="4" eb="5">
      <t>ムロ</t>
    </rPh>
    <phoneticPr fontId="2"/>
  </si>
  <si>
    <t>大野誠治</t>
    <rPh sb="0" eb="2">
      <t>オオノ</t>
    </rPh>
    <rPh sb="2" eb="4">
      <t>セイジ</t>
    </rPh>
    <phoneticPr fontId="2"/>
  </si>
  <si>
    <t>861－8652</t>
    <phoneticPr fontId="2"/>
  </si>
  <si>
    <t>青山啓二</t>
    <rPh sb="0" eb="2">
      <t>アオヤマ</t>
    </rPh>
    <rPh sb="2" eb="4">
      <t>ケイジ</t>
    </rPh>
    <phoneticPr fontId="2"/>
  </si>
  <si>
    <t>6－66</t>
    <phoneticPr fontId="2"/>
  </si>
  <si>
    <t>861－3697</t>
    <phoneticPr fontId="2"/>
  </si>
  <si>
    <t>西田善隆</t>
    <rPh sb="0" eb="2">
      <t>ニシダ</t>
    </rPh>
    <rPh sb="2" eb="4">
      <t>ヨシタカ</t>
    </rPh>
    <phoneticPr fontId="2"/>
  </si>
  <si>
    <t>6－70</t>
    <phoneticPr fontId="2"/>
  </si>
  <si>
    <t>861－6352</t>
    <phoneticPr fontId="2"/>
  </si>
  <si>
    <t>渡戸正志</t>
    <rPh sb="0" eb="1">
      <t>ワタ</t>
    </rPh>
    <rPh sb="1" eb="2">
      <t>ト</t>
    </rPh>
    <rPh sb="2" eb="4">
      <t>マサシ</t>
    </rPh>
    <phoneticPr fontId="2"/>
  </si>
  <si>
    <t>861－8128</t>
    <phoneticPr fontId="2"/>
  </si>
  <si>
    <t>冨田剛</t>
    <rPh sb="0" eb="2">
      <t>トミタ</t>
    </rPh>
    <rPh sb="2" eb="3">
      <t>ツヨシ</t>
    </rPh>
    <phoneticPr fontId="1"/>
  </si>
  <si>
    <t>6-63-27</t>
    <phoneticPr fontId="1"/>
  </si>
  <si>
    <t>090-7828-7469</t>
    <phoneticPr fontId="1"/>
  </si>
  <si>
    <t>堀井広樹</t>
    <rPh sb="0" eb="1">
      <t xml:space="preserve">ホリイ </t>
    </rPh>
    <rPh sb="2" eb="4">
      <t xml:space="preserve">ヒロキ </t>
    </rPh>
    <phoneticPr fontId="1"/>
  </si>
  <si>
    <t>6-63-7</t>
    <phoneticPr fontId="1"/>
  </si>
  <si>
    <t>090-3406-1011</t>
    <phoneticPr fontId="1"/>
  </si>
  <si>
    <t>R1.5〜</t>
    <phoneticPr fontId="1"/>
  </si>
  <si>
    <t>山合行之</t>
    <rPh sb="0" eb="1">
      <t>ヤマ</t>
    </rPh>
    <rPh sb="1" eb="2">
      <t>ア</t>
    </rPh>
    <rPh sb="2" eb="3">
      <t>ユ</t>
    </rPh>
    <rPh sb="3" eb="4">
      <t>ノ</t>
    </rPh>
    <phoneticPr fontId="2"/>
  </si>
  <si>
    <t>861－8640</t>
    <phoneticPr fontId="2"/>
  </si>
  <si>
    <t>鈴木啓次</t>
    <rPh sb="0" eb="2">
      <t>スズキ</t>
    </rPh>
    <rPh sb="2" eb="4">
      <t>ケイジ</t>
    </rPh>
    <phoneticPr fontId="2"/>
  </si>
  <si>
    <t>861－6138</t>
    <phoneticPr fontId="2"/>
  </si>
  <si>
    <t>宮野正子</t>
    <rPh sb="0" eb="2">
      <t>ミヤノ</t>
    </rPh>
    <rPh sb="2" eb="4">
      <t>マサコ</t>
    </rPh>
    <phoneticPr fontId="2"/>
  </si>
  <si>
    <t>861－4059</t>
    <phoneticPr fontId="2"/>
  </si>
  <si>
    <t>小野怜子</t>
    <rPh sb="0" eb="2">
      <t>オノ</t>
    </rPh>
    <rPh sb="2" eb="4">
      <t>レイコ</t>
    </rPh>
    <phoneticPr fontId="2"/>
  </si>
  <si>
    <t>861－2375</t>
    <phoneticPr fontId="2"/>
  </si>
  <si>
    <t>中村未紀</t>
    <rPh sb="0" eb="1">
      <t xml:space="preserve">ナカムラ </t>
    </rPh>
    <rPh sb="2" eb="4">
      <t>MIKI</t>
    </rPh>
    <phoneticPr fontId="2"/>
  </si>
  <si>
    <t>090-7227-0266</t>
    <phoneticPr fontId="1"/>
  </si>
  <si>
    <t>齋藤良一</t>
    <rPh sb="0" eb="2">
      <t>サイトウ</t>
    </rPh>
    <rPh sb="2" eb="4">
      <t>リョウイチ</t>
    </rPh>
    <phoneticPr fontId="2"/>
  </si>
  <si>
    <t>6－67</t>
    <phoneticPr fontId="2"/>
  </si>
  <si>
    <t>861－4325</t>
    <phoneticPr fontId="2"/>
  </si>
  <si>
    <t>齋藤和枝</t>
    <rPh sb="0" eb="2">
      <t>サイトウ</t>
    </rPh>
    <rPh sb="2" eb="4">
      <t>カズエ</t>
    </rPh>
    <phoneticPr fontId="1"/>
  </si>
  <si>
    <t>861－1010</t>
    <phoneticPr fontId="2"/>
  </si>
  <si>
    <t>溝口美代子</t>
    <rPh sb="0" eb="2">
      <t>ミゾグチ</t>
    </rPh>
    <rPh sb="2" eb="5">
      <t>ミヨコ</t>
    </rPh>
    <phoneticPr fontId="2"/>
  </si>
  <si>
    <t>861－3965</t>
    <phoneticPr fontId="2"/>
  </si>
  <si>
    <t>宮川正子</t>
    <rPh sb="0" eb="2">
      <t>ミヤガワ</t>
    </rPh>
    <rPh sb="2" eb="4">
      <t>マサコ</t>
    </rPh>
    <phoneticPr fontId="2"/>
  </si>
  <si>
    <t>6－63</t>
    <phoneticPr fontId="2"/>
  </si>
  <si>
    <t>861－0881</t>
    <phoneticPr fontId="2"/>
  </si>
  <si>
    <t>佐々木由香里</t>
    <rPh sb="0" eb="3">
      <t>ササキ</t>
    </rPh>
    <rPh sb="3" eb="6">
      <t>ユカリ</t>
    </rPh>
    <phoneticPr fontId="1"/>
  </si>
  <si>
    <t>6－65</t>
    <phoneticPr fontId="2"/>
  </si>
  <si>
    <t>070-1226-1130</t>
    <phoneticPr fontId="2"/>
  </si>
  <si>
    <t>橘鷹裕介</t>
    <rPh sb="0" eb="1">
      <t>タチバナ</t>
    </rPh>
    <rPh sb="1" eb="2">
      <t>タカ</t>
    </rPh>
    <rPh sb="2" eb="4">
      <t>ユウスケ</t>
    </rPh>
    <phoneticPr fontId="2"/>
  </si>
  <si>
    <t>861－2969</t>
    <phoneticPr fontId="2"/>
  </si>
  <si>
    <t>玉田義輝</t>
    <rPh sb="0" eb="1">
      <t>タマ</t>
    </rPh>
    <rPh sb="1" eb="2">
      <t>タ</t>
    </rPh>
    <rPh sb="2" eb="4">
      <t>ヨシテル</t>
    </rPh>
    <phoneticPr fontId="2"/>
  </si>
  <si>
    <t>090-8778-2829</t>
    <phoneticPr fontId="2"/>
  </si>
  <si>
    <t>金子勲</t>
    <rPh sb="0" eb="2">
      <t>カネコ</t>
    </rPh>
    <rPh sb="2" eb="3">
      <t>イサオ</t>
    </rPh>
    <phoneticPr fontId="2"/>
  </si>
  <si>
    <t>861－3586</t>
    <phoneticPr fontId="2"/>
  </si>
  <si>
    <t>松本弘子</t>
    <rPh sb="0" eb="2">
      <t xml:space="preserve">マツモト </t>
    </rPh>
    <rPh sb="2" eb="4">
      <t xml:space="preserve">ヒロコ </t>
    </rPh>
    <phoneticPr fontId="2"/>
  </si>
  <si>
    <t>861－4055</t>
    <phoneticPr fontId="2"/>
  </si>
  <si>
    <t>関口香奈</t>
    <rPh sb="0" eb="1">
      <t xml:space="preserve">セキグチ </t>
    </rPh>
    <rPh sb="2" eb="4">
      <t xml:space="preserve">カナ </t>
    </rPh>
    <phoneticPr fontId="2"/>
  </si>
  <si>
    <r>
      <t>861－</t>
    </r>
    <r>
      <rPr>
        <sz val="11"/>
        <rFont val="BIZ UDゴシック"/>
        <family val="3"/>
        <charset val="128"/>
      </rPr>
      <t>0304</t>
    </r>
    <phoneticPr fontId="2"/>
  </si>
  <si>
    <t>桑名須美枝 関口：090-6047-4874</t>
    <rPh sb="0" eb="2">
      <t>クワナ</t>
    </rPh>
    <rPh sb="2" eb="5">
      <t>スミエ</t>
    </rPh>
    <rPh sb="6" eb="8">
      <t xml:space="preserve">セキグチ </t>
    </rPh>
    <phoneticPr fontId="2"/>
  </si>
  <si>
    <t>藤田範男</t>
    <rPh sb="0" eb="2">
      <t>フジタ</t>
    </rPh>
    <rPh sb="2" eb="4">
      <t>ノリオ</t>
    </rPh>
    <phoneticPr fontId="2"/>
  </si>
  <si>
    <t>6－64</t>
    <phoneticPr fontId="2"/>
  </si>
  <si>
    <t>861－4047</t>
    <phoneticPr fontId="2"/>
  </si>
  <si>
    <t>前田清孝</t>
    <rPh sb="0" eb="2">
      <t>マエダ</t>
    </rPh>
    <rPh sb="2" eb="4">
      <t>キヨタカ</t>
    </rPh>
    <phoneticPr fontId="2"/>
  </si>
  <si>
    <t>861－6619</t>
    <phoneticPr fontId="2"/>
  </si>
  <si>
    <t>高島秀夫</t>
    <rPh sb="0" eb="2">
      <t>タカシマ</t>
    </rPh>
    <rPh sb="2" eb="4">
      <t>ヒデオ</t>
    </rPh>
    <phoneticPr fontId="2"/>
  </si>
  <si>
    <t>861－8908</t>
    <phoneticPr fontId="2"/>
  </si>
  <si>
    <t>桐生勝巳</t>
    <rPh sb="0" eb="2">
      <t>キリュウ</t>
    </rPh>
    <rPh sb="2" eb="3">
      <t>カツミ</t>
    </rPh>
    <rPh sb="3" eb="4">
      <t xml:space="preserve">タツミ </t>
    </rPh>
    <phoneticPr fontId="2"/>
  </si>
  <si>
    <t>090-1604-7097</t>
    <phoneticPr fontId="2"/>
  </si>
  <si>
    <t>前田拓也</t>
    <rPh sb="0" eb="2">
      <t>マエダ</t>
    </rPh>
    <rPh sb="2" eb="4">
      <t>タクヤ</t>
    </rPh>
    <phoneticPr fontId="1"/>
  </si>
  <si>
    <t>090-1698-7304</t>
    <phoneticPr fontId="1"/>
  </si>
  <si>
    <t>竹本久子</t>
    <rPh sb="0" eb="2">
      <t>タケモト</t>
    </rPh>
    <rPh sb="2" eb="4">
      <t>ヒサコ</t>
    </rPh>
    <phoneticPr fontId="1"/>
  </si>
  <si>
    <t>090-2426-5722</t>
    <phoneticPr fontId="1"/>
  </si>
  <si>
    <t>須田昭</t>
    <rPh sb="0" eb="2">
      <t>スダ</t>
    </rPh>
    <rPh sb="2" eb="3">
      <t>アキラ</t>
    </rPh>
    <phoneticPr fontId="2"/>
  </si>
  <si>
    <t>6－3</t>
    <phoneticPr fontId="2"/>
  </si>
  <si>
    <t>861－0046</t>
    <phoneticPr fontId="2"/>
  </si>
  <si>
    <t>福寿早苗</t>
    <rPh sb="0" eb="2">
      <t>フクジュ</t>
    </rPh>
    <rPh sb="2" eb="4">
      <t>サナエ</t>
    </rPh>
    <phoneticPr fontId="2"/>
  </si>
  <si>
    <t>6－6</t>
    <phoneticPr fontId="2"/>
  </si>
  <si>
    <t>861－5768</t>
    <phoneticPr fontId="2"/>
  </si>
  <si>
    <t>小山米子</t>
    <rPh sb="0" eb="2">
      <t>コヤマ</t>
    </rPh>
    <rPh sb="2" eb="4">
      <t>ヨネコ</t>
    </rPh>
    <phoneticPr fontId="2"/>
  </si>
  <si>
    <t>861－6556</t>
    <phoneticPr fontId="2"/>
  </si>
  <si>
    <t>須田公子</t>
    <rPh sb="0" eb="2">
      <t>スダ</t>
    </rPh>
    <rPh sb="2" eb="4">
      <t>キミコ</t>
    </rPh>
    <phoneticPr fontId="2"/>
  </si>
  <si>
    <t>861－4475</t>
    <phoneticPr fontId="2"/>
  </si>
  <si>
    <t>牧野ビル</t>
    <rPh sb="0" eb="2">
      <t>マキノ</t>
    </rPh>
    <phoneticPr fontId="1"/>
  </si>
  <si>
    <t>R6.4月～※回覧不要（町内会費3,600円のみ）</t>
    <rPh sb="4" eb="5">
      <t>ガツ</t>
    </rPh>
    <rPh sb="7" eb="9">
      <t>カイラン</t>
    </rPh>
    <rPh sb="9" eb="11">
      <t>フヨウ</t>
    </rPh>
    <phoneticPr fontId="1"/>
  </si>
  <si>
    <t>渡邊芳彦</t>
    <rPh sb="0" eb="2">
      <t>ワタナベ</t>
    </rPh>
    <rPh sb="2" eb="4">
      <t>ヨシヒコ</t>
    </rPh>
    <phoneticPr fontId="2"/>
  </si>
  <si>
    <t>6－68-14 G2　</t>
    <phoneticPr fontId="1"/>
  </si>
  <si>
    <t>861－5160</t>
    <phoneticPr fontId="2"/>
  </si>
  <si>
    <t>861－6386</t>
    <phoneticPr fontId="2"/>
  </si>
  <si>
    <t>矢部謙三</t>
    <rPh sb="0" eb="2">
      <t>ヤベ</t>
    </rPh>
    <rPh sb="2" eb="4">
      <t>ケンゾウ</t>
    </rPh>
    <phoneticPr fontId="2"/>
  </si>
  <si>
    <t>861－8012</t>
    <phoneticPr fontId="2"/>
  </si>
  <si>
    <t>千葉幸代</t>
    <rPh sb="0" eb="2">
      <t>チバ</t>
    </rPh>
    <rPh sb="2" eb="4">
      <t>サチヨ</t>
    </rPh>
    <phoneticPr fontId="2"/>
  </si>
  <si>
    <t>861－8988</t>
    <phoneticPr fontId="2"/>
  </si>
  <si>
    <t>杉澤知美</t>
    <rPh sb="0" eb="2">
      <t>スギサワ</t>
    </rPh>
    <rPh sb="2" eb="4">
      <t>トモミ</t>
    </rPh>
    <phoneticPr fontId="2"/>
  </si>
  <si>
    <t>861－5071</t>
    <phoneticPr fontId="2"/>
  </si>
  <si>
    <t>701号室（久貝⇒杉澤）090-1539-9137</t>
    <rPh sb="3" eb="4">
      <t>ゴウ</t>
    </rPh>
    <rPh sb="4" eb="5">
      <t>ムロ</t>
    </rPh>
    <rPh sb="9" eb="11">
      <t>スギサワ</t>
    </rPh>
    <phoneticPr fontId="2"/>
  </si>
  <si>
    <t>伊藤健二</t>
    <rPh sb="0" eb="2">
      <t>イトウ</t>
    </rPh>
    <rPh sb="2" eb="4">
      <t>ケンジ</t>
    </rPh>
    <phoneticPr fontId="2"/>
  </si>
  <si>
    <t>荒井照男</t>
    <rPh sb="0" eb="2">
      <t>アライ</t>
    </rPh>
    <rPh sb="2" eb="4">
      <t>テルオ</t>
    </rPh>
    <phoneticPr fontId="2"/>
  </si>
  <si>
    <t>703号室</t>
    <rPh sb="3" eb="4">
      <t>ゴウ</t>
    </rPh>
    <rPh sb="4" eb="5">
      <t>ムロ</t>
    </rPh>
    <phoneticPr fontId="2"/>
  </si>
  <si>
    <t>佐々木宏子</t>
    <rPh sb="0" eb="3">
      <t>ササキ</t>
    </rPh>
    <rPh sb="3" eb="5">
      <t>ヒロコ</t>
    </rPh>
    <phoneticPr fontId="2"/>
  </si>
  <si>
    <t>601号室</t>
    <rPh sb="3" eb="4">
      <t>ゴウ</t>
    </rPh>
    <rPh sb="4" eb="5">
      <t>ムロ</t>
    </rPh>
    <phoneticPr fontId="2"/>
  </si>
  <si>
    <t>佐々木雅浩</t>
    <rPh sb="0" eb="3">
      <t>ササキ</t>
    </rPh>
    <rPh sb="3" eb="5">
      <t>マサヒロ</t>
    </rPh>
    <phoneticPr fontId="2"/>
  </si>
  <si>
    <t>861－7531</t>
    <phoneticPr fontId="2"/>
  </si>
  <si>
    <t>森良枝</t>
    <rPh sb="0" eb="1">
      <t>モリ</t>
    </rPh>
    <rPh sb="1" eb="2">
      <t>ヨ</t>
    </rPh>
    <rPh sb="2" eb="3">
      <t>エ</t>
    </rPh>
    <phoneticPr fontId="2"/>
  </si>
  <si>
    <t>861－2322</t>
    <phoneticPr fontId="2"/>
  </si>
  <si>
    <t>千葉満</t>
    <rPh sb="0" eb="2">
      <t>チバ</t>
    </rPh>
    <rPh sb="2" eb="3">
      <t>ミツル</t>
    </rPh>
    <phoneticPr fontId="1"/>
  </si>
  <si>
    <t>502号室</t>
    <rPh sb="3" eb="5">
      <t>ゴウシツ</t>
    </rPh>
    <phoneticPr fontId="1"/>
  </si>
  <si>
    <t>鎌田智士</t>
    <rPh sb="0" eb="2">
      <t>カマタ</t>
    </rPh>
    <rPh sb="2" eb="3">
      <t>サトシ</t>
    </rPh>
    <rPh sb="3" eb="4">
      <t>シ</t>
    </rPh>
    <phoneticPr fontId="1"/>
  </si>
  <si>
    <t>090-7416-4378</t>
    <phoneticPr fontId="1"/>
  </si>
  <si>
    <t>503号室</t>
    <rPh sb="3" eb="5">
      <t>ゴウシツ</t>
    </rPh>
    <phoneticPr fontId="1"/>
  </si>
  <si>
    <t>杉森正博</t>
    <rPh sb="0" eb="2">
      <t>スギモリ</t>
    </rPh>
    <rPh sb="2" eb="4">
      <t>マサヒロ</t>
    </rPh>
    <phoneticPr fontId="2"/>
  </si>
  <si>
    <t>861－1736</t>
    <phoneticPr fontId="2"/>
  </si>
  <si>
    <t>401号室</t>
    <rPh sb="3" eb="4">
      <t>ゴウ</t>
    </rPh>
    <rPh sb="4" eb="5">
      <t>ムロ</t>
    </rPh>
    <phoneticPr fontId="2"/>
  </si>
  <si>
    <t>山口明良</t>
    <rPh sb="0" eb="2">
      <t>ヤマグチ</t>
    </rPh>
    <rPh sb="2" eb="3">
      <t>アキラ</t>
    </rPh>
    <rPh sb="3" eb="4">
      <t>リョウ</t>
    </rPh>
    <phoneticPr fontId="2"/>
  </si>
  <si>
    <t>861－4840</t>
    <phoneticPr fontId="2"/>
  </si>
  <si>
    <t>齋藤耕平</t>
    <rPh sb="0" eb="2">
      <t>サイトウ</t>
    </rPh>
    <rPh sb="2" eb="4">
      <t>コウヘイ</t>
    </rPh>
    <phoneticPr fontId="1"/>
  </si>
  <si>
    <t>小田切幸男</t>
    <rPh sb="0" eb="3">
      <t>オダギリ</t>
    </rPh>
    <rPh sb="3" eb="5">
      <t>ユキオ</t>
    </rPh>
    <phoneticPr fontId="2"/>
  </si>
  <si>
    <t>矢畑進</t>
    <rPh sb="0" eb="1">
      <t>ヤ</t>
    </rPh>
    <rPh sb="1" eb="2">
      <t>ハタ</t>
    </rPh>
    <rPh sb="2" eb="3">
      <t>スス</t>
    </rPh>
    <phoneticPr fontId="2"/>
  </si>
  <si>
    <t>861－4220</t>
    <phoneticPr fontId="2"/>
  </si>
  <si>
    <t>杉山</t>
    <rPh sb="0" eb="2">
      <t>スギヤマ</t>
    </rPh>
    <phoneticPr fontId="2"/>
  </si>
  <si>
    <t>丸茂治彦</t>
    <rPh sb="0" eb="2">
      <t>マルモ</t>
    </rPh>
    <rPh sb="2" eb="4">
      <t xml:space="preserve">ハルヒコ </t>
    </rPh>
    <phoneticPr fontId="2"/>
  </si>
  <si>
    <t>861－8630</t>
    <phoneticPr fontId="2"/>
  </si>
  <si>
    <t>山岸靖子</t>
    <rPh sb="0" eb="2">
      <t>ヤマギシ</t>
    </rPh>
    <rPh sb="2" eb="4">
      <t>ヤスコ</t>
    </rPh>
    <phoneticPr fontId="1"/>
  </si>
  <si>
    <t>854－9148</t>
    <phoneticPr fontId="2"/>
  </si>
  <si>
    <t>304号室</t>
    <rPh sb="3" eb="4">
      <t>ゴウ</t>
    </rPh>
    <rPh sb="4" eb="5">
      <t>シツ</t>
    </rPh>
    <phoneticPr fontId="2"/>
  </si>
  <si>
    <t>高橋昭仁</t>
    <rPh sb="0" eb="2">
      <t>タカハシ</t>
    </rPh>
    <rPh sb="2" eb="3">
      <t>ショウ</t>
    </rPh>
    <rPh sb="3" eb="4">
      <t>ジン</t>
    </rPh>
    <phoneticPr fontId="2"/>
  </si>
  <si>
    <t>861－5004</t>
    <phoneticPr fontId="2"/>
  </si>
  <si>
    <t>202号室　評議員は「由美子」さん</t>
    <rPh sb="3" eb="4">
      <t>ゴウ</t>
    </rPh>
    <rPh sb="4" eb="5">
      <t>ムロ</t>
    </rPh>
    <rPh sb="11" eb="14">
      <t>ユミコ</t>
    </rPh>
    <phoneticPr fontId="2"/>
  </si>
  <si>
    <t>雨海正男</t>
    <rPh sb="0" eb="1">
      <t>アメ</t>
    </rPh>
    <rPh sb="1" eb="2">
      <t>ウミ</t>
    </rPh>
    <rPh sb="2" eb="4">
      <t>マサオ</t>
    </rPh>
    <phoneticPr fontId="2"/>
  </si>
  <si>
    <t>861－8916</t>
    <phoneticPr fontId="2"/>
  </si>
  <si>
    <t>高橋博満</t>
    <rPh sb="0" eb="2">
      <t>タカハシ</t>
    </rPh>
    <rPh sb="2" eb="3">
      <t>ヒロシ</t>
    </rPh>
    <rPh sb="3" eb="4">
      <t>マン</t>
    </rPh>
    <phoneticPr fontId="2"/>
  </si>
  <si>
    <t>861－5953</t>
    <phoneticPr fontId="2"/>
  </si>
  <si>
    <t>204号室</t>
    <rPh sb="3" eb="4">
      <t>ゴウ</t>
    </rPh>
    <rPh sb="4" eb="5">
      <t>ムロ</t>
    </rPh>
    <phoneticPr fontId="2"/>
  </si>
  <si>
    <t>森田眞由美</t>
    <rPh sb="0" eb="2">
      <t>モリタ</t>
    </rPh>
    <rPh sb="2" eb="5">
      <t xml:space="preserve">マユミ </t>
    </rPh>
    <phoneticPr fontId="2"/>
  </si>
  <si>
    <t>6－10</t>
    <phoneticPr fontId="2"/>
  </si>
  <si>
    <t>861－7670</t>
    <phoneticPr fontId="2"/>
  </si>
  <si>
    <t>森田章裕</t>
    <rPh sb="0" eb="2">
      <t>モリタ</t>
    </rPh>
    <rPh sb="3" eb="4">
      <t xml:space="preserve">ユウ </t>
    </rPh>
    <phoneticPr fontId="2"/>
  </si>
  <si>
    <t>080-1057-0799</t>
    <phoneticPr fontId="1"/>
  </si>
  <si>
    <t>小澤正行</t>
    <rPh sb="0" eb="2">
      <t>オザワ</t>
    </rPh>
    <rPh sb="2" eb="4">
      <t>マサユキ</t>
    </rPh>
    <phoneticPr fontId="2"/>
  </si>
  <si>
    <t>861－0783</t>
    <phoneticPr fontId="2"/>
  </si>
  <si>
    <t>福島紀一</t>
    <rPh sb="0" eb="2">
      <t>フクシマ</t>
    </rPh>
    <rPh sb="2" eb="4">
      <t>キイチ</t>
    </rPh>
    <phoneticPr fontId="2"/>
  </si>
  <si>
    <t>891－7351</t>
    <phoneticPr fontId="2"/>
  </si>
  <si>
    <t>鈴木美恵子</t>
    <rPh sb="0" eb="2">
      <t>スズキ</t>
    </rPh>
    <rPh sb="2" eb="5">
      <t>ミエコ</t>
    </rPh>
    <phoneticPr fontId="2"/>
  </si>
  <si>
    <t>（861－0554）</t>
    <phoneticPr fontId="2"/>
  </si>
  <si>
    <t>R5.7月外国人住居　回覧板不要</t>
    <rPh sb="4" eb="5">
      <t>ガツ</t>
    </rPh>
    <rPh sb="5" eb="8">
      <t>ガイコクジン</t>
    </rPh>
    <rPh sb="8" eb="10">
      <t>ジュウキョ</t>
    </rPh>
    <rPh sb="11" eb="14">
      <t>カイランバン</t>
    </rPh>
    <rPh sb="14" eb="16">
      <t>フヨウ</t>
    </rPh>
    <phoneticPr fontId="1"/>
  </si>
  <si>
    <t>名取眞代</t>
    <rPh sb="0" eb="2">
      <t>ナトリ</t>
    </rPh>
    <rPh sb="2" eb="3">
      <t>シン</t>
    </rPh>
    <rPh sb="3" eb="4">
      <t>ダイ</t>
    </rPh>
    <phoneticPr fontId="1"/>
  </si>
  <si>
    <t>861－2218</t>
    <phoneticPr fontId="2"/>
  </si>
  <si>
    <t>藤田将作</t>
    <rPh sb="0" eb="2">
      <t xml:space="preserve">フジタ </t>
    </rPh>
    <rPh sb="2" eb="3">
      <t xml:space="preserve">タイショウ </t>
    </rPh>
    <rPh sb="3" eb="4">
      <t xml:space="preserve">ツクル </t>
    </rPh>
    <phoneticPr fontId="1"/>
  </si>
  <si>
    <t>6－7－1</t>
    <phoneticPr fontId="2"/>
  </si>
  <si>
    <t>090-3231-5190</t>
    <phoneticPr fontId="2"/>
  </si>
  <si>
    <t>滝本春香</t>
    <rPh sb="0" eb="2">
      <t>タキモト</t>
    </rPh>
    <rPh sb="2" eb="4">
      <t>ハルカ</t>
    </rPh>
    <phoneticPr fontId="1"/>
  </si>
  <si>
    <t>080-4106-0506</t>
    <phoneticPr fontId="1"/>
  </si>
  <si>
    <t>861－8450</t>
    <phoneticPr fontId="2"/>
  </si>
  <si>
    <t>佐野和弘</t>
    <rPh sb="0" eb="2">
      <t>サノ</t>
    </rPh>
    <rPh sb="2" eb="4">
      <t>カズヒロ</t>
    </rPh>
    <phoneticPr fontId="2"/>
  </si>
  <si>
    <t>861－1562</t>
    <phoneticPr fontId="2"/>
  </si>
  <si>
    <t>評議員は「ミズサ」さん</t>
    <rPh sb="0" eb="3">
      <t>ヒョウギイン</t>
    </rPh>
    <phoneticPr fontId="1"/>
  </si>
  <si>
    <t>橋本岳</t>
    <rPh sb="0" eb="2">
      <t>ハシモト</t>
    </rPh>
    <rPh sb="2" eb="3">
      <t>ダケ</t>
    </rPh>
    <phoneticPr fontId="2"/>
  </si>
  <si>
    <t>861－7016</t>
    <phoneticPr fontId="2"/>
  </si>
  <si>
    <t>評議員は「アリサ」さん</t>
    <rPh sb="0" eb="3">
      <t>ヒョウギイン</t>
    </rPh>
    <phoneticPr fontId="1"/>
  </si>
  <si>
    <t>御薗節子</t>
    <rPh sb="0" eb="2">
      <t>ミソノ</t>
    </rPh>
    <phoneticPr fontId="2"/>
  </si>
  <si>
    <t>6－19</t>
    <phoneticPr fontId="2"/>
  </si>
  <si>
    <t>861－7513</t>
    <phoneticPr fontId="2"/>
  </si>
  <si>
    <t>小松誠</t>
    <rPh sb="0" eb="2">
      <t>コマツ</t>
    </rPh>
    <rPh sb="2" eb="3">
      <t>マコト</t>
    </rPh>
    <phoneticPr fontId="2"/>
  </si>
  <si>
    <t>6－20</t>
    <phoneticPr fontId="2"/>
  </si>
  <si>
    <t>861－4464</t>
    <phoneticPr fontId="2"/>
  </si>
  <si>
    <t>霜村紀子</t>
    <rPh sb="0" eb="2">
      <t>シモムラ</t>
    </rPh>
    <rPh sb="2" eb="4">
      <t>ノリコ</t>
    </rPh>
    <phoneticPr fontId="2"/>
  </si>
  <si>
    <t>6－12</t>
    <phoneticPr fontId="2"/>
  </si>
  <si>
    <t>861－4956</t>
    <phoneticPr fontId="2"/>
  </si>
  <si>
    <t>吉田順子</t>
    <rPh sb="0" eb="2">
      <t>ヨシダ</t>
    </rPh>
    <rPh sb="2" eb="4">
      <t>ジュンコ</t>
    </rPh>
    <phoneticPr fontId="2"/>
  </si>
  <si>
    <t>861－6934</t>
    <phoneticPr fontId="2"/>
  </si>
  <si>
    <t>吉田初枝</t>
    <rPh sb="0" eb="2">
      <t>ヨシダ</t>
    </rPh>
    <rPh sb="2" eb="4">
      <t xml:space="preserve">ハツエ </t>
    </rPh>
    <phoneticPr fontId="2"/>
  </si>
  <si>
    <t>861－2167</t>
    <phoneticPr fontId="2"/>
  </si>
  <si>
    <t>網倉潤子</t>
    <rPh sb="0" eb="2">
      <t>アミクラコウタロウ</t>
    </rPh>
    <phoneticPr fontId="2"/>
  </si>
  <si>
    <t>6－11</t>
    <phoneticPr fontId="2"/>
  </si>
  <si>
    <t>861－7068</t>
    <phoneticPr fontId="2"/>
  </si>
  <si>
    <t>2019光太郎さん逝去</t>
    <phoneticPr fontId="1"/>
  </si>
  <si>
    <t>861－6994</t>
    <phoneticPr fontId="2"/>
  </si>
  <si>
    <t>岩垂晴夫</t>
    <rPh sb="0" eb="2">
      <t>イワタレ</t>
    </rPh>
    <rPh sb="2" eb="4">
      <t>ハルオ</t>
    </rPh>
    <phoneticPr fontId="2"/>
  </si>
  <si>
    <t>6－14</t>
    <phoneticPr fontId="2"/>
  </si>
  <si>
    <t>861－5756</t>
    <phoneticPr fontId="2"/>
  </si>
  <si>
    <t>斉田芳久</t>
    <rPh sb="0" eb="2">
      <t>サイタ</t>
    </rPh>
    <rPh sb="2" eb="4">
      <t>ヨシヒサ</t>
    </rPh>
    <phoneticPr fontId="2"/>
  </si>
  <si>
    <t>6－13</t>
    <phoneticPr fontId="2"/>
  </si>
  <si>
    <t>861－1392</t>
    <phoneticPr fontId="2"/>
  </si>
  <si>
    <t>安藤豊美</t>
    <rPh sb="0" eb="2">
      <t>アンドウ</t>
    </rPh>
    <rPh sb="2" eb="4">
      <t>トヨミ</t>
    </rPh>
    <phoneticPr fontId="2"/>
  </si>
  <si>
    <t>861－2809</t>
    <phoneticPr fontId="2"/>
  </si>
  <si>
    <t>濱名誠</t>
    <rPh sb="0" eb="1">
      <t>ハマ</t>
    </rPh>
    <rPh sb="1" eb="2">
      <t>メイ</t>
    </rPh>
    <rPh sb="2" eb="3">
      <t>マコト</t>
    </rPh>
    <phoneticPr fontId="1"/>
  </si>
  <si>
    <t>6-14-8</t>
    <phoneticPr fontId="1"/>
  </si>
  <si>
    <t>090-9204-3671</t>
    <phoneticPr fontId="1"/>
  </si>
  <si>
    <t>佐藤シズエ</t>
    <rPh sb="0" eb="2">
      <t>サトウ</t>
    </rPh>
    <phoneticPr fontId="2"/>
  </si>
  <si>
    <t>861－2812</t>
    <phoneticPr fontId="2"/>
  </si>
  <si>
    <t>6－18</t>
    <phoneticPr fontId="2"/>
  </si>
  <si>
    <t>861－2670</t>
    <phoneticPr fontId="2"/>
  </si>
  <si>
    <t>岡本三七子</t>
    <rPh sb="0" eb="2">
      <t>オカモト</t>
    </rPh>
    <rPh sb="2" eb="3">
      <t xml:space="preserve">サン </t>
    </rPh>
    <rPh sb="4" eb="5">
      <t xml:space="preserve">コ </t>
    </rPh>
    <phoneticPr fontId="2"/>
  </si>
  <si>
    <t>861－0476</t>
    <phoneticPr fontId="2"/>
  </si>
  <si>
    <t>R4.4月雄一さん逝去</t>
    <phoneticPr fontId="1"/>
  </si>
  <si>
    <t>佐々木誠</t>
    <rPh sb="0" eb="3">
      <t>ササキ</t>
    </rPh>
    <rPh sb="3" eb="4">
      <t>マコト</t>
    </rPh>
    <phoneticPr fontId="2"/>
  </si>
  <si>
    <t>861－4759</t>
    <phoneticPr fontId="2"/>
  </si>
  <si>
    <t>鹿野絵里子</t>
    <rPh sb="0" eb="2">
      <t>シカノ</t>
    </rPh>
    <rPh sb="2" eb="5">
      <t>エリコ</t>
    </rPh>
    <phoneticPr fontId="2"/>
  </si>
  <si>
    <t>861－4472</t>
    <phoneticPr fontId="2"/>
  </si>
  <si>
    <t>田口英弼</t>
    <rPh sb="0" eb="2">
      <t>タグチ</t>
    </rPh>
    <rPh sb="2" eb="3">
      <t>エイ</t>
    </rPh>
    <rPh sb="3" eb="4">
      <t>タスク</t>
    </rPh>
    <phoneticPr fontId="2"/>
  </si>
  <si>
    <t>861－3589</t>
    <phoneticPr fontId="2"/>
  </si>
  <si>
    <t>倉邉雅光</t>
    <rPh sb="0" eb="1">
      <t>クラ</t>
    </rPh>
    <rPh sb="1" eb="2">
      <t>ベ</t>
    </rPh>
    <rPh sb="2" eb="4">
      <t>マサミツ</t>
    </rPh>
    <phoneticPr fontId="2"/>
  </si>
  <si>
    <t>861－8441</t>
    <phoneticPr fontId="2"/>
  </si>
  <si>
    <t>三井雅子</t>
    <rPh sb="0" eb="2">
      <t>ミツイ</t>
    </rPh>
    <rPh sb="2" eb="4">
      <t>マサコ</t>
    </rPh>
    <phoneticPr fontId="2"/>
  </si>
  <si>
    <t>861－7064</t>
    <phoneticPr fontId="2"/>
  </si>
  <si>
    <t>勇士時生</t>
    <rPh sb="0" eb="2">
      <t>ユウシ</t>
    </rPh>
    <rPh sb="2" eb="4">
      <t>トキオ</t>
    </rPh>
    <phoneticPr fontId="2"/>
  </si>
  <si>
    <t>861－7675</t>
    <phoneticPr fontId="2"/>
  </si>
  <si>
    <t>㈲峯田工業</t>
    <rPh sb="1" eb="3">
      <t>ミネタ</t>
    </rPh>
    <rPh sb="3" eb="5">
      <t>コウギョウ</t>
    </rPh>
    <phoneticPr fontId="2"/>
  </si>
  <si>
    <t>2023.7月から（町内会費3,600円のみ）</t>
    <rPh sb="6" eb="7">
      <t>ガツ</t>
    </rPh>
    <phoneticPr fontId="1"/>
  </si>
  <si>
    <t>相沢さんの家：外国人７名　</t>
    <phoneticPr fontId="1"/>
  </si>
  <si>
    <t>小林弘子</t>
    <rPh sb="0" eb="2">
      <t>コバヤシ</t>
    </rPh>
    <phoneticPr fontId="2"/>
  </si>
  <si>
    <t>6－15</t>
    <phoneticPr fontId="2"/>
  </si>
  <si>
    <t>861－4804</t>
    <phoneticPr fontId="2"/>
  </si>
  <si>
    <t>宮下忠夫</t>
    <rPh sb="0" eb="2">
      <t>ミヤシタ</t>
    </rPh>
    <rPh sb="2" eb="4">
      <t>タダオ</t>
    </rPh>
    <phoneticPr fontId="2"/>
  </si>
  <si>
    <t>861－6897</t>
    <phoneticPr fontId="2"/>
  </si>
  <si>
    <t>黒部綾</t>
    <rPh sb="0" eb="2">
      <t>クロベ</t>
    </rPh>
    <rPh sb="2" eb="3">
      <t>アヤ</t>
    </rPh>
    <phoneticPr fontId="2"/>
  </si>
  <si>
    <t>861－0114</t>
    <phoneticPr fontId="2"/>
  </si>
  <si>
    <t>井波純一</t>
    <rPh sb="0" eb="2">
      <t>イナミ</t>
    </rPh>
    <rPh sb="2" eb="3">
      <t>ジュン</t>
    </rPh>
    <rPh sb="3" eb="4">
      <t>イチ</t>
    </rPh>
    <phoneticPr fontId="2"/>
  </si>
  <si>
    <t>861－6409</t>
    <phoneticPr fontId="2"/>
  </si>
  <si>
    <t>菊池之裕</t>
    <rPh sb="0" eb="2">
      <t>キクチ</t>
    </rPh>
    <rPh sb="2" eb="3">
      <t>ユキ</t>
    </rPh>
    <rPh sb="3" eb="4">
      <t>ヒロシ</t>
    </rPh>
    <phoneticPr fontId="1"/>
  </si>
  <si>
    <t>6－15</t>
    <phoneticPr fontId="1"/>
  </si>
  <si>
    <t>861-3871</t>
    <phoneticPr fontId="1"/>
  </si>
  <si>
    <t>080-8013-0897</t>
    <phoneticPr fontId="1"/>
  </si>
  <si>
    <t>佐合駿</t>
    <rPh sb="0" eb="2">
      <t>サゴウ</t>
    </rPh>
    <rPh sb="2" eb="3">
      <t>シュン</t>
    </rPh>
    <phoneticPr fontId="1"/>
  </si>
  <si>
    <t>090-9193-9910</t>
    <phoneticPr fontId="1"/>
  </si>
  <si>
    <t>冨山厚</t>
    <rPh sb="0" eb="2">
      <t>トミヤマ</t>
    </rPh>
    <rPh sb="2" eb="3">
      <t>アツシ</t>
    </rPh>
    <phoneticPr fontId="2"/>
  </si>
  <si>
    <t>高橋則篤</t>
    <rPh sb="0" eb="2">
      <t>タカハシ</t>
    </rPh>
    <rPh sb="2" eb="3">
      <t>ノリ</t>
    </rPh>
    <rPh sb="3" eb="4">
      <t>アツシ</t>
    </rPh>
    <phoneticPr fontId="2"/>
  </si>
  <si>
    <t>861－1352</t>
    <phoneticPr fontId="2"/>
  </si>
  <si>
    <t>宗像進</t>
    <rPh sb="0" eb="2">
      <t>ムナカタ</t>
    </rPh>
    <rPh sb="2" eb="3">
      <t>ススム</t>
    </rPh>
    <phoneticPr fontId="2"/>
  </si>
  <si>
    <t>861－7069</t>
    <phoneticPr fontId="2"/>
  </si>
  <si>
    <t>関根伸成</t>
    <rPh sb="0" eb="2">
      <t>セキネ</t>
    </rPh>
    <rPh sb="2" eb="3">
      <t>ノブ</t>
    </rPh>
    <rPh sb="3" eb="4">
      <t>ナリ</t>
    </rPh>
    <phoneticPr fontId="2"/>
  </si>
  <si>
    <t>6－17-26</t>
    <phoneticPr fontId="2"/>
  </si>
  <si>
    <t>861－1599</t>
    <phoneticPr fontId="2"/>
  </si>
  <si>
    <t>吉田千恵子</t>
    <rPh sb="0" eb="2">
      <t>ヨシダ</t>
    </rPh>
    <rPh sb="2" eb="5">
      <t>チエコ</t>
    </rPh>
    <phoneticPr fontId="2"/>
  </si>
  <si>
    <t>861－4678</t>
    <phoneticPr fontId="2"/>
  </si>
  <si>
    <t>手塚文子</t>
    <rPh sb="0" eb="2">
      <t>テツカ</t>
    </rPh>
    <rPh sb="2" eb="4">
      <t>フミコ</t>
    </rPh>
    <phoneticPr fontId="2"/>
  </si>
  <si>
    <t>861－7307</t>
    <phoneticPr fontId="2"/>
  </si>
  <si>
    <t>星川ツル</t>
    <rPh sb="0" eb="2">
      <t>ホシカワ</t>
    </rPh>
    <phoneticPr fontId="2"/>
  </si>
  <si>
    <t>090-4478-5466</t>
    <phoneticPr fontId="2"/>
  </si>
  <si>
    <t>小原友美</t>
    <rPh sb="0" eb="2">
      <t xml:space="preserve">オバラ </t>
    </rPh>
    <rPh sb="2" eb="4">
      <t xml:space="preserve">トモミ </t>
    </rPh>
    <phoneticPr fontId="2"/>
  </si>
  <si>
    <t>6－19－2</t>
    <phoneticPr fontId="2"/>
  </si>
  <si>
    <t>080-6542-0035</t>
    <phoneticPr fontId="1"/>
  </si>
  <si>
    <t>藤谷健太</t>
    <rPh sb="0" eb="1">
      <t xml:space="preserve">フジタニ </t>
    </rPh>
    <rPh sb="2" eb="4">
      <t xml:space="preserve">ケンタ </t>
    </rPh>
    <phoneticPr fontId="2"/>
  </si>
  <si>
    <t>6－17－8</t>
    <phoneticPr fontId="2"/>
  </si>
  <si>
    <t>090-8962-3594</t>
    <phoneticPr fontId="1"/>
  </si>
  <si>
    <t>佐藤和朗</t>
    <rPh sb="0" eb="2">
      <t>サトウ</t>
    </rPh>
    <rPh sb="2" eb="4">
      <t>カズロウ</t>
    </rPh>
    <phoneticPr fontId="2"/>
  </si>
  <si>
    <t>861－3516</t>
    <phoneticPr fontId="2"/>
  </si>
  <si>
    <t>爲廣哲朗</t>
    <rPh sb="0" eb="1">
      <t>タメ</t>
    </rPh>
    <rPh sb="1" eb="2">
      <t>ヒロシ</t>
    </rPh>
    <rPh sb="2" eb="4">
      <t>テツロウ</t>
    </rPh>
    <phoneticPr fontId="1"/>
  </si>
  <si>
    <t>6－17</t>
    <phoneticPr fontId="2"/>
  </si>
  <si>
    <t>861－1657</t>
    <phoneticPr fontId="2"/>
  </si>
  <si>
    <t>中根佳江</t>
    <rPh sb="0" eb="2">
      <t>ナカネ</t>
    </rPh>
    <rPh sb="2" eb="4">
      <t>ヨシエ</t>
    </rPh>
    <phoneticPr fontId="2"/>
  </si>
  <si>
    <t>861－3445</t>
    <phoneticPr fontId="2"/>
  </si>
  <si>
    <t>大塚孝史</t>
    <rPh sb="0" eb="2">
      <t>オオツカ</t>
    </rPh>
    <rPh sb="2" eb="4">
      <t>タカシ</t>
    </rPh>
    <phoneticPr fontId="2"/>
  </si>
  <si>
    <t>861－0866</t>
    <phoneticPr fontId="2"/>
  </si>
  <si>
    <t>鴨崎昶美</t>
    <rPh sb="0" eb="1">
      <t>カモ</t>
    </rPh>
    <rPh sb="1" eb="2">
      <t>ザキ</t>
    </rPh>
    <rPh sb="2" eb="3">
      <t>アキラ</t>
    </rPh>
    <rPh sb="3" eb="4">
      <t>ミ</t>
    </rPh>
    <phoneticPr fontId="2"/>
  </si>
  <si>
    <t>861－3123</t>
    <phoneticPr fontId="2"/>
  </si>
  <si>
    <t>杉本一久</t>
    <rPh sb="0" eb="2">
      <t>スギモト</t>
    </rPh>
    <rPh sb="2" eb="4">
      <t>カズヒサ</t>
    </rPh>
    <phoneticPr fontId="2"/>
  </si>
  <si>
    <t>861－2232</t>
    <phoneticPr fontId="2"/>
  </si>
  <si>
    <t>内山巧</t>
    <rPh sb="0" eb="2">
      <t>ウチヤマ</t>
    </rPh>
    <rPh sb="2" eb="3">
      <t>コウ</t>
    </rPh>
    <phoneticPr fontId="2"/>
  </si>
  <si>
    <t>861－2317</t>
    <phoneticPr fontId="2"/>
  </si>
  <si>
    <t>稲橋義治</t>
    <rPh sb="0" eb="1">
      <t>イナ</t>
    </rPh>
    <rPh sb="1" eb="2">
      <t>ハシ</t>
    </rPh>
    <rPh sb="2" eb="4">
      <t>ヨシハル</t>
    </rPh>
    <phoneticPr fontId="2"/>
  </si>
  <si>
    <t>861－5938</t>
    <phoneticPr fontId="2"/>
  </si>
  <si>
    <t>堀江善幸</t>
    <rPh sb="0" eb="2">
      <t>ホリエ</t>
    </rPh>
    <rPh sb="2" eb="4">
      <t>ゼンコウ</t>
    </rPh>
    <phoneticPr fontId="2"/>
  </si>
  <si>
    <t>861－4850</t>
    <phoneticPr fontId="2"/>
  </si>
  <si>
    <t>水内鶴男</t>
    <rPh sb="0" eb="2">
      <t>ミズウチ</t>
    </rPh>
    <rPh sb="2" eb="4">
      <t>ツルオ</t>
    </rPh>
    <phoneticPr fontId="2"/>
  </si>
  <si>
    <t>861－0650</t>
    <phoneticPr fontId="2"/>
  </si>
  <si>
    <t>阿部治</t>
    <rPh sb="0" eb="2">
      <t>アベ</t>
    </rPh>
    <rPh sb="2" eb="3">
      <t>オサム</t>
    </rPh>
    <phoneticPr fontId="2"/>
  </si>
  <si>
    <t>861－4057</t>
    <phoneticPr fontId="2"/>
  </si>
  <si>
    <t>861－7338</t>
    <phoneticPr fontId="2"/>
  </si>
  <si>
    <t>小林晃</t>
    <rPh sb="0" eb="2">
      <t>コバヤシ</t>
    </rPh>
    <rPh sb="2" eb="3">
      <t>アキラ</t>
    </rPh>
    <phoneticPr fontId="2"/>
  </si>
  <si>
    <t>6－21-9</t>
    <phoneticPr fontId="2"/>
  </si>
  <si>
    <t>861－0176</t>
    <phoneticPr fontId="2"/>
  </si>
  <si>
    <t>6－21</t>
    <phoneticPr fontId="2"/>
  </si>
  <si>
    <t>861－5246</t>
    <phoneticPr fontId="2"/>
  </si>
  <si>
    <t>2022-1210 浩さん逝去</t>
    <rPh sb="13" eb="15">
      <t>セイキョ</t>
    </rPh>
    <phoneticPr fontId="1"/>
  </si>
  <si>
    <t>稲葉政志</t>
    <rPh sb="0" eb="2">
      <t>イナバ</t>
    </rPh>
    <rPh sb="2" eb="4">
      <t>マサシ</t>
    </rPh>
    <phoneticPr fontId="2"/>
  </si>
  <si>
    <t>6－17-34</t>
    <phoneticPr fontId="2"/>
  </si>
  <si>
    <t>861－4711</t>
    <phoneticPr fontId="2"/>
  </si>
  <si>
    <t>内田純久</t>
    <rPh sb="0" eb="2">
      <t>ウチダ</t>
    </rPh>
    <rPh sb="2" eb="3">
      <t>ジュン</t>
    </rPh>
    <rPh sb="3" eb="4">
      <t>ヒサ</t>
    </rPh>
    <phoneticPr fontId="2"/>
  </si>
  <si>
    <t>6－16-16</t>
    <phoneticPr fontId="2"/>
  </si>
  <si>
    <t>861－3367</t>
    <phoneticPr fontId="2"/>
  </si>
  <si>
    <t>金井六平</t>
    <rPh sb="0" eb="2">
      <t>カナイ</t>
    </rPh>
    <rPh sb="2" eb="3">
      <t>ロッ</t>
    </rPh>
    <rPh sb="3" eb="4">
      <t>ヘイ</t>
    </rPh>
    <phoneticPr fontId="2"/>
  </si>
  <si>
    <t>6－17-28</t>
    <phoneticPr fontId="2"/>
  </si>
  <si>
    <t>861－1514</t>
    <phoneticPr fontId="2"/>
  </si>
  <si>
    <t>鈴木由美子</t>
    <rPh sb="0" eb="2">
      <t>スズキ</t>
    </rPh>
    <rPh sb="2" eb="5">
      <t>ユミコ</t>
    </rPh>
    <phoneticPr fontId="2"/>
  </si>
  <si>
    <t>6－16-18</t>
    <phoneticPr fontId="2"/>
  </si>
  <si>
    <t>861－0905</t>
    <phoneticPr fontId="2"/>
  </si>
  <si>
    <t>藤巻明子</t>
    <rPh sb="0" eb="2">
      <t>フジマキ</t>
    </rPh>
    <rPh sb="2" eb="4">
      <t>アキコ</t>
    </rPh>
    <phoneticPr fontId="2"/>
  </si>
  <si>
    <t>6－17-35</t>
    <phoneticPr fontId="2"/>
  </si>
  <si>
    <t>861－7527</t>
    <phoneticPr fontId="2"/>
  </si>
  <si>
    <t>軍司由利子</t>
    <rPh sb="0" eb="2">
      <t>グンジ</t>
    </rPh>
    <rPh sb="2" eb="5">
      <t>ユリコ</t>
    </rPh>
    <phoneticPr fontId="2"/>
  </si>
  <si>
    <t>6－16-8</t>
    <phoneticPr fontId="2"/>
  </si>
  <si>
    <t>861－2869</t>
    <phoneticPr fontId="2"/>
  </si>
  <si>
    <t>小池弘</t>
    <rPh sb="0" eb="2">
      <t>コイケ</t>
    </rPh>
    <rPh sb="2" eb="3">
      <t>ヒロシ</t>
    </rPh>
    <phoneticPr fontId="2"/>
  </si>
  <si>
    <t>6－17-30</t>
    <phoneticPr fontId="2"/>
  </si>
  <si>
    <t>861－4579</t>
    <phoneticPr fontId="2"/>
  </si>
  <si>
    <t>澤藤成穂</t>
    <rPh sb="0" eb="2">
      <t>サワフジ</t>
    </rPh>
    <rPh sb="2" eb="3">
      <t>ナリ</t>
    </rPh>
    <rPh sb="3" eb="4">
      <t>ホ</t>
    </rPh>
    <phoneticPr fontId="2"/>
  </si>
  <si>
    <t>6－16-17</t>
    <phoneticPr fontId="2"/>
  </si>
  <si>
    <t>861－5360</t>
    <phoneticPr fontId="2"/>
  </si>
  <si>
    <t>多和エイ子</t>
    <rPh sb="0" eb="1">
      <t>タ</t>
    </rPh>
    <rPh sb="1" eb="2">
      <t>ワ</t>
    </rPh>
    <rPh sb="4" eb="5">
      <t>コ</t>
    </rPh>
    <phoneticPr fontId="2"/>
  </si>
  <si>
    <t>6－17-39</t>
    <phoneticPr fontId="2"/>
  </si>
  <si>
    <t>861－1500</t>
    <phoneticPr fontId="2"/>
  </si>
  <si>
    <t>中島京子</t>
    <rPh sb="0" eb="2">
      <t>ナカジマ</t>
    </rPh>
    <rPh sb="2" eb="4">
      <t>キョウコ</t>
    </rPh>
    <phoneticPr fontId="2"/>
  </si>
  <si>
    <t>6－16-11</t>
    <phoneticPr fontId="2"/>
  </si>
  <si>
    <t>861－2122</t>
    <phoneticPr fontId="2"/>
  </si>
  <si>
    <t>橋本尚弥</t>
    <rPh sb="0" eb="2">
      <t>ハシモト</t>
    </rPh>
    <rPh sb="2" eb="4">
      <t>ナオヤ</t>
    </rPh>
    <phoneticPr fontId="2"/>
  </si>
  <si>
    <t>6-17</t>
    <phoneticPr fontId="1"/>
  </si>
  <si>
    <t>090-4121-0576</t>
    <phoneticPr fontId="2"/>
  </si>
  <si>
    <t>H7.6.28生</t>
    <rPh sb="7" eb="8">
      <t>ウ</t>
    </rPh>
    <phoneticPr fontId="1"/>
  </si>
  <si>
    <t>6－31</t>
    <phoneticPr fontId="2"/>
  </si>
  <si>
    <t>山下信子</t>
    <rPh sb="0" eb="2">
      <t>ヤマシタ</t>
    </rPh>
    <rPh sb="2" eb="4">
      <t>ノブコ</t>
    </rPh>
    <phoneticPr fontId="2"/>
  </si>
  <si>
    <t>861－1416</t>
    <phoneticPr fontId="2"/>
  </si>
  <si>
    <t>伊藤一樹</t>
    <rPh sb="0" eb="2">
      <t>イトウ</t>
    </rPh>
    <rPh sb="2" eb="4">
      <t>カズキ</t>
    </rPh>
    <phoneticPr fontId="2"/>
  </si>
  <si>
    <t>志田武</t>
    <rPh sb="0" eb="2">
      <t>シダ</t>
    </rPh>
    <rPh sb="2" eb="3">
      <t>タケシ</t>
    </rPh>
    <phoneticPr fontId="2"/>
  </si>
  <si>
    <t>861－0102</t>
    <phoneticPr fontId="2"/>
  </si>
  <si>
    <t>熊本義明</t>
    <rPh sb="0" eb="2">
      <t>クマモト</t>
    </rPh>
    <rPh sb="2" eb="4">
      <t>ヨシアキ</t>
    </rPh>
    <phoneticPr fontId="2"/>
  </si>
  <si>
    <t>861－2244</t>
    <phoneticPr fontId="2"/>
  </si>
  <si>
    <t>三橋眞弓</t>
    <rPh sb="0" eb="2">
      <t>ミツハシ</t>
    </rPh>
    <rPh sb="2" eb="4">
      <t xml:space="preserve">マユミ </t>
    </rPh>
    <phoneticPr fontId="2"/>
  </si>
  <si>
    <t>861－1461</t>
    <phoneticPr fontId="2"/>
  </si>
  <si>
    <t>2019修さん逝去</t>
    <phoneticPr fontId="1"/>
  </si>
  <si>
    <t>山田つるゑ</t>
    <rPh sb="0" eb="2">
      <t>ヤマダ</t>
    </rPh>
    <phoneticPr fontId="2"/>
  </si>
  <si>
    <t>6－22</t>
    <phoneticPr fontId="2"/>
  </si>
  <si>
    <t>861－1643</t>
    <phoneticPr fontId="2"/>
  </si>
  <si>
    <t>渡邊俊郎</t>
    <rPh sb="0" eb="2">
      <t>ワタナベ</t>
    </rPh>
    <rPh sb="2" eb="4">
      <t>トシロウ</t>
    </rPh>
    <phoneticPr fontId="2"/>
  </si>
  <si>
    <t>861－0013</t>
    <phoneticPr fontId="2"/>
  </si>
  <si>
    <t>松村和彦</t>
    <rPh sb="0" eb="2">
      <t>マツムラ</t>
    </rPh>
    <rPh sb="2" eb="4">
      <t>カズヒコ</t>
    </rPh>
    <phoneticPr fontId="2"/>
  </si>
  <si>
    <t>861－7708</t>
    <phoneticPr fontId="2"/>
  </si>
  <si>
    <t>グアダルーペ</t>
    <phoneticPr fontId="1"/>
  </si>
  <si>
    <t>R3.12加入（町内会費3,600円のみ）</t>
    <rPh sb="5" eb="7">
      <t xml:space="preserve">カニュウ </t>
    </rPh>
    <rPh sb="17" eb="18">
      <t>エン</t>
    </rPh>
    <phoneticPr fontId="1"/>
  </si>
  <si>
    <t>Mr.Fesus &amp; Mrs.Claudia</t>
    <phoneticPr fontId="1"/>
  </si>
  <si>
    <t>宮川雅之</t>
    <rPh sb="0" eb="2">
      <t>ミヤガワ</t>
    </rPh>
    <rPh sb="2" eb="4">
      <t>ミツエ</t>
    </rPh>
    <phoneticPr fontId="2"/>
  </si>
  <si>
    <t>6－20-39</t>
    <phoneticPr fontId="2"/>
  </si>
  <si>
    <t>861－8486</t>
    <phoneticPr fontId="2"/>
  </si>
  <si>
    <t>中島祐子</t>
    <phoneticPr fontId="1"/>
  </si>
  <si>
    <t>861－9412</t>
    <phoneticPr fontId="1"/>
  </si>
  <si>
    <t>西田裕亮</t>
    <rPh sb="0" eb="2">
      <t>ニシダ</t>
    </rPh>
    <rPh sb="2" eb="3">
      <t>ヒロシ</t>
    </rPh>
    <rPh sb="3" eb="4">
      <t>リョウ</t>
    </rPh>
    <phoneticPr fontId="2"/>
  </si>
  <si>
    <t>6－20-41</t>
    <phoneticPr fontId="2"/>
  </si>
  <si>
    <t>080-5654-9297</t>
    <phoneticPr fontId="2"/>
  </si>
  <si>
    <t>菅原憲治</t>
    <rPh sb="0" eb="2">
      <t>スガハラ</t>
    </rPh>
    <rPh sb="2" eb="4">
      <t>ケンジ</t>
    </rPh>
    <phoneticPr fontId="2"/>
  </si>
  <si>
    <t>6－20-35</t>
    <phoneticPr fontId="2"/>
  </si>
  <si>
    <t>861－7617</t>
    <phoneticPr fontId="2"/>
  </si>
  <si>
    <t>三浦豊治</t>
    <rPh sb="0" eb="2">
      <t>ミウラ</t>
    </rPh>
    <rPh sb="2" eb="4">
      <t>トヨハル</t>
    </rPh>
    <phoneticPr fontId="2"/>
  </si>
  <si>
    <t>6－20-34</t>
    <phoneticPr fontId="2"/>
  </si>
  <si>
    <t>861－6641</t>
    <phoneticPr fontId="2"/>
  </si>
  <si>
    <t>水内美治</t>
    <rPh sb="0" eb="2">
      <t>ミズウチ</t>
    </rPh>
    <rPh sb="2" eb="4">
      <t>ヨシハル</t>
    </rPh>
    <phoneticPr fontId="2"/>
  </si>
  <si>
    <t>6－20－36? 杉本追記</t>
    <rPh sb="9" eb="11">
      <t>スギモト</t>
    </rPh>
    <rPh sb="11" eb="13">
      <t>ツイキ</t>
    </rPh>
    <phoneticPr fontId="1"/>
  </si>
  <si>
    <t>長沼千賀子</t>
    <rPh sb="0" eb="2">
      <t>ナガヌマ</t>
    </rPh>
    <rPh sb="2" eb="5">
      <t>チカコ</t>
    </rPh>
    <phoneticPr fontId="2"/>
  </si>
  <si>
    <t>6－20-44</t>
    <phoneticPr fontId="2"/>
  </si>
  <si>
    <t>861－1522</t>
    <phoneticPr fontId="2"/>
  </si>
  <si>
    <t>中原真一</t>
    <rPh sb="0" eb="2">
      <t>ナカハラ</t>
    </rPh>
    <rPh sb="2" eb="3">
      <t>シン</t>
    </rPh>
    <rPh sb="3" eb="4">
      <t>イチ</t>
    </rPh>
    <phoneticPr fontId="2"/>
  </si>
  <si>
    <t>6－20-43</t>
    <phoneticPr fontId="2"/>
  </si>
  <si>
    <t>菅野吉幸</t>
    <rPh sb="0" eb="2">
      <t>スゲノ</t>
    </rPh>
    <rPh sb="2" eb="4">
      <t>ヨシユキ</t>
    </rPh>
    <phoneticPr fontId="2"/>
  </si>
  <si>
    <t>6－20-42</t>
    <phoneticPr fontId="2"/>
  </si>
  <si>
    <t>861－6002</t>
    <phoneticPr fontId="2"/>
  </si>
  <si>
    <t>評議員は「かつみ」さん</t>
    <rPh sb="0" eb="3">
      <t xml:space="preserve">ヒョウギイン </t>
    </rPh>
    <phoneticPr fontId="1"/>
  </si>
  <si>
    <t>評議員（凡例）</t>
    <rPh sb="0" eb="3">
      <t>ヒョウギイン</t>
    </rPh>
    <rPh sb="4" eb="6">
      <t>ハンレイ</t>
    </rPh>
    <phoneticPr fontId="1"/>
  </si>
  <si>
    <t>：今回の変更箇所</t>
    <rPh sb="1" eb="3">
      <t>コンカイ</t>
    </rPh>
    <rPh sb="4" eb="6">
      <t>ヘンコウ</t>
    </rPh>
    <rPh sb="6" eb="8">
      <t>カショ</t>
    </rPh>
    <phoneticPr fontId="1"/>
  </si>
  <si>
    <t>6－7</t>
    <phoneticPr fontId="2"/>
  </si>
  <si>
    <t>6－62</t>
    <phoneticPr fontId="2"/>
  </si>
  <si>
    <t>森原智</t>
    <rPh sb="0" eb="2">
      <t>モリハラ</t>
    </rPh>
    <rPh sb="2" eb="3">
      <t>サトシ</t>
    </rPh>
    <phoneticPr fontId="2"/>
  </si>
  <si>
    <t>菊池崇広</t>
    <rPh sb="0" eb="2">
      <t>キクチ</t>
    </rPh>
    <rPh sb="2" eb="3">
      <t>タカシ</t>
    </rPh>
    <rPh sb="3" eb="4">
      <t>ヒロシ</t>
    </rPh>
    <phoneticPr fontId="1"/>
  </si>
  <si>
    <t>6-47-54</t>
    <phoneticPr fontId="1"/>
  </si>
  <si>
    <t>090-8585-0686</t>
    <phoneticPr fontId="1"/>
  </si>
  <si>
    <t>R7.2加入〜 ﾀｶﾋﾛ(1993.10.4生)</t>
    <rPh sb="4" eb="6">
      <t>カニュウ</t>
    </rPh>
    <rPh sb="22" eb="23">
      <t>ウ</t>
    </rPh>
    <phoneticPr fontId="1"/>
  </si>
  <si>
    <t>R5.8月入会 1954.1.6生 三角</t>
    <rPh sb="4" eb="5">
      <t>ガツ</t>
    </rPh>
    <rPh sb="5" eb="7">
      <t>ニュウカイ</t>
    </rPh>
    <rPh sb="16" eb="17">
      <t>ウ</t>
    </rPh>
    <rPh sb="18" eb="20">
      <t>サンカク</t>
    </rPh>
    <phoneticPr fontId="1"/>
  </si>
  <si>
    <t>：情報不足箇所</t>
    <rPh sb="1" eb="3">
      <t>ジョウホウ</t>
    </rPh>
    <rPh sb="3" eb="5">
      <t>フソク</t>
    </rPh>
    <rPh sb="5" eb="7">
      <t>カショ</t>
    </rPh>
    <phoneticPr fontId="1"/>
  </si>
  <si>
    <t>古川孝一</t>
    <rPh sb="0" eb="2">
      <t>フルカワ</t>
    </rPh>
    <rPh sb="2" eb="4">
      <t>コウイチ</t>
    </rPh>
    <phoneticPr fontId="2"/>
  </si>
  <si>
    <t>080-5694-8317</t>
    <phoneticPr fontId="1"/>
  </si>
  <si>
    <t>504号室　R.7.3月加入 1964.8.20生</t>
    <rPh sb="3" eb="4">
      <t>ゴウ</t>
    </rPh>
    <rPh sb="4" eb="5">
      <t>ムロ</t>
    </rPh>
    <rPh sb="11" eb="12">
      <t>ガツ</t>
    </rPh>
    <rPh sb="12" eb="14">
      <t>カニュウ</t>
    </rPh>
    <rPh sb="24" eb="25">
      <t>ウ</t>
    </rPh>
    <phoneticPr fontId="2"/>
  </si>
  <si>
    <t>2024.8.4初枝さん逝去88歳 ※初枝の長男</t>
    <rPh sb="12" eb="14">
      <t>セイキョ</t>
    </rPh>
    <rPh sb="16" eb="17">
      <t>サイ</t>
    </rPh>
    <rPh sb="22" eb="24">
      <t>チョウナン</t>
    </rPh>
    <phoneticPr fontId="1"/>
  </si>
  <si>
    <t>046-804-9430</t>
    <phoneticPr fontId="2"/>
  </si>
  <si>
    <t>861－6118</t>
    <phoneticPr fontId="2"/>
  </si>
  <si>
    <t>861－0383</t>
    <phoneticPr fontId="2"/>
  </si>
  <si>
    <t>046-848－5127</t>
    <phoneticPr fontId="2"/>
  </si>
  <si>
    <t>R７年度評議員（2025.5月～2026.4月末まで）</t>
    <rPh sb="2" eb="4">
      <t>ネンド</t>
    </rPh>
    <rPh sb="4" eb="7">
      <t>ヒョウギイン</t>
    </rPh>
    <rPh sb="22" eb="23">
      <t>ガツ</t>
    </rPh>
    <rPh sb="23" eb="24">
      <t>マツ</t>
    </rPh>
    <phoneticPr fontId="1"/>
  </si>
  <si>
    <t>802号室　※祭礼寄付の意志なし</t>
    <rPh sb="3" eb="4">
      <t>ゴウ</t>
    </rPh>
    <rPh sb="4" eb="5">
      <t>ムロ</t>
    </rPh>
    <rPh sb="7" eb="9">
      <t>サイレイ</t>
    </rPh>
    <rPh sb="9" eb="11">
      <t>キフ</t>
    </rPh>
    <rPh sb="12" eb="14">
      <t>イシ</t>
    </rPh>
    <phoneticPr fontId="2"/>
  </si>
  <si>
    <t>渡辺嘉久也</t>
    <rPh sb="0" eb="2">
      <t>ワタナベ</t>
    </rPh>
    <rPh sb="2" eb="3">
      <t>カ</t>
    </rPh>
    <rPh sb="3" eb="4">
      <t>ヒサシ</t>
    </rPh>
    <rPh sb="4" eb="5">
      <t>ヤ</t>
    </rPh>
    <phoneticPr fontId="2"/>
  </si>
  <si>
    <t>2019幸男さん逝去, 2025(1月)薫子さん逝去</t>
    <rPh sb="18" eb="19">
      <t>ガツ</t>
    </rPh>
    <rPh sb="24" eb="26">
      <t>セイキョ</t>
    </rPh>
    <phoneticPr fontId="1"/>
  </si>
  <si>
    <t>オールウェイズ残り３世帯は水内さんから町内会費のみ収納</t>
    <rPh sb="7" eb="8">
      <t>ノコ</t>
    </rPh>
    <rPh sb="10" eb="12">
      <t>セタイ</t>
    </rPh>
    <rPh sb="13" eb="15">
      <t>ミズウチ</t>
    </rPh>
    <rPh sb="19" eb="21">
      <t>チョウナイ</t>
    </rPh>
    <rPh sb="21" eb="22">
      <t>カイ</t>
    </rPh>
    <rPh sb="22" eb="23">
      <t>ヒ</t>
    </rPh>
    <rPh sb="25" eb="27">
      <t>シュウノウ</t>
    </rPh>
    <phoneticPr fontId="1"/>
  </si>
  <si>
    <t>AJITO中村みどり</t>
    <rPh sb="5" eb="7">
      <t>ナカムラ</t>
    </rPh>
    <phoneticPr fontId="2"/>
  </si>
  <si>
    <t>澤登武文</t>
    <rPh sb="0" eb="1">
      <t>サワ</t>
    </rPh>
    <rPh sb="1" eb="2">
      <t>ト</t>
    </rPh>
    <rPh sb="2" eb="4">
      <t>タケフミ</t>
    </rPh>
    <phoneticPr fontId="2"/>
  </si>
  <si>
    <t>鈴木眞寿美</t>
    <rPh sb="0" eb="2">
      <t>スズキ</t>
    </rPh>
    <rPh sb="2" eb="3">
      <t>マコト</t>
    </rPh>
    <rPh sb="3" eb="5">
      <t>トシミ</t>
    </rPh>
    <phoneticPr fontId="2"/>
  </si>
  <si>
    <r>
      <t xml:space="preserve">Mr.Fesus &amp; Mrs.Claudia </t>
    </r>
    <r>
      <rPr>
        <b/>
        <sz val="11"/>
        <color theme="1"/>
        <rFont val="BIZ UDゴシック"/>
        <family val="3"/>
        <charset val="128"/>
      </rPr>
      <t>Guadalupe</t>
    </r>
    <phoneticPr fontId="1"/>
  </si>
  <si>
    <r>
      <t>上田</t>
    </r>
    <r>
      <rPr>
        <sz val="11"/>
        <color rgb="FFFF0000"/>
        <rFont val="BIZ UDゴシック"/>
        <family val="3"/>
        <charset val="128"/>
      </rPr>
      <t>千代</t>
    </r>
    <rPh sb="0" eb="2">
      <t>ウエダ</t>
    </rPh>
    <rPh sb="2" eb="4">
      <t>チヨ</t>
    </rPh>
    <phoneticPr fontId="2"/>
  </si>
  <si>
    <t>090-1032-3946</t>
    <phoneticPr fontId="2"/>
  </si>
  <si>
    <t>R7.4月外国人住居　回覧板不要</t>
    <rPh sb="4" eb="5">
      <t>ガツ</t>
    </rPh>
    <rPh sb="5" eb="8">
      <t>ガイコクジン</t>
    </rPh>
    <rPh sb="8" eb="10">
      <t>ジュウキョ</t>
    </rPh>
    <rPh sb="11" eb="14">
      <t>カイランバン</t>
    </rPh>
    <rPh sb="14" eb="16">
      <t>フヨウ</t>
    </rPh>
    <phoneticPr fontId="1"/>
  </si>
  <si>
    <t>2025.5月18日 千代さん逝去</t>
    <rPh sb="6" eb="7">
      <t>ガツ</t>
    </rPh>
    <rPh sb="9" eb="10">
      <t>ニチ</t>
    </rPh>
    <rPh sb="15" eb="17">
      <t>セイキョ</t>
    </rPh>
    <phoneticPr fontId="1"/>
  </si>
  <si>
    <t>磯野真一</t>
    <rPh sb="0" eb="2">
      <t>イソノ</t>
    </rPh>
    <rPh sb="2" eb="4">
      <t>シンイチ</t>
    </rPh>
    <phoneticPr fontId="2"/>
  </si>
  <si>
    <t>冨松良紀</t>
    <rPh sb="0" eb="2">
      <t>トミマツ</t>
    </rPh>
    <rPh sb="2" eb="4">
      <t>ヨシノリ</t>
    </rPh>
    <phoneticPr fontId="1"/>
  </si>
  <si>
    <t>090-4537-8236</t>
    <phoneticPr fontId="1"/>
  </si>
  <si>
    <t>6-47-28</t>
    <phoneticPr fontId="1"/>
  </si>
  <si>
    <t>赤荻忠幸</t>
    <rPh sb="0" eb="2">
      <t>アカオギ</t>
    </rPh>
    <rPh sb="2" eb="4">
      <t>タダユキ</t>
    </rPh>
    <phoneticPr fontId="2"/>
  </si>
  <si>
    <t>戸村則登</t>
    <rPh sb="0" eb="2">
      <t>トムラ</t>
    </rPh>
    <rPh sb="2" eb="3">
      <t>ノリ</t>
    </rPh>
    <rPh sb="3" eb="4">
      <t>ノボル</t>
    </rPh>
    <phoneticPr fontId="1"/>
  </si>
  <si>
    <t>R7.6月加入、S33.7.29生</t>
    <rPh sb="4" eb="5">
      <t>ガツ</t>
    </rPh>
    <rPh sb="5" eb="7">
      <t>カニュウ</t>
    </rPh>
    <rPh sb="16" eb="17">
      <t>ウ</t>
    </rPh>
    <phoneticPr fontId="1"/>
  </si>
  <si>
    <t>6－68-19</t>
    <phoneticPr fontId="2"/>
  </si>
  <si>
    <t>090-6346-9518</t>
    <phoneticPr fontId="2"/>
  </si>
  <si>
    <t>オールウェイズ（水内）</t>
    <rPh sb="8" eb="10">
      <t>ミズウチ</t>
    </rPh>
    <phoneticPr fontId="2"/>
  </si>
  <si>
    <t>ジュンハイム（小板橋）</t>
    <rPh sb="7" eb="10">
      <t>コイタバシ</t>
    </rPh>
    <phoneticPr fontId="1"/>
  </si>
  <si>
    <t>１棟10,000円　冨山ゆみさんが取り次ぎ</t>
    <rPh sb="1" eb="2">
      <t>トウ</t>
    </rPh>
    <rPh sb="8" eb="9">
      <t>エン</t>
    </rPh>
    <rPh sb="10" eb="12">
      <t>トミヤマ</t>
    </rPh>
    <rPh sb="17" eb="18">
      <t>ト</t>
    </rPh>
    <rPh sb="19" eb="20">
      <t>ツ</t>
    </rPh>
    <phoneticPr fontId="1"/>
  </si>
  <si>
    <t>評議員は「道子」さん？</t>
    <rPh sb="5" eb="7">
      <t>ミチコ</t>
    </rPh>
    <phoneticPr fontId="1"/>
  </si>
  <si>
    <t>(R7)3世帯分</t>
    <rPh sb="5" eb="7">
      <t>セタイ</t>
    </rPh>
    <rPh sb="7" eb="8">
      <t>ブン</t>
    </rPh>
    <phoneticPr fontId="1"/>
  </si>
  <si>
    <t>R3.12月加入//S43.4.23生「未紀？未妃？」</t>
    <rPh sb="5" eb="6">
      <t xml:space="preserve">ガツ </t>
    </rPh>
    <rPh sb="6" eb="8">
      <t xml:space="preserve">カニュウ </t>
    </rPh>
    <rPh sb="18" eb="19">
      <t xml:space="preserve">ウマレ </t>
    </rPh>
    <rPh sb="23" eb="24">
      <t>ミ</t>
    </rPh>
    <rPh sb="24" eb="25">
      <t>キサキ</t>
    </rPh>
    <phoneticPr fontId="1"/>
  </si>
  <si>
    <t>利根川剛士</t>
    <rPh sb="0" eb="2">
      <t>トネ</t>
    </rPh>
    <rPh sb="2" eb="3">
      <t>ガワ</t>
    </rPh>
    <rPh sb="3" eb="5">
      <t>ツヨシ</t>
    </rPh>
    <phoneticPr fontId="2"/>
  </si>
  <si>
    <t>6－20-38</t>
    <phoneticPr fontId="2"/>
  </si>
  <si>
    <t>080-2256-0453</t>
    <phoneticPr fontId="2"/>
  </si>
  <si>
    <t>←妻、090-1263-4293←夫（H7.11.16生) 2025.9月加入</t>
    <rPh sb="1" eb="2">
      <t>ツマ</t>
    </rPh>
    <rPh sb="17" eb="18">
      <t>オット</t>
    </rPh>
    <rPh sb="27" eb="28">
      <t>ウ</t>
    </rPh>
    <rPh sb="36" eb="37">
      <t>ガツ</t>
    </rPh>
    <rPh sb="37" eb="39">
      <t>カニュウ</t>
    </rPh>
    <phoneticPr fontId="1"/>
  </si>
  <si>
    <t>渡邉健志</t>
    <rPh sb="0" eb="2">
      <t>ワタナベ</t>
    </rPh>
    <rPh sb="2" eb="4">
      <t>タケシ</t>
    </rPh>
    <phoneticPr fontId="2"/>
  </si>
  <si>
    <t>R7(82)</t>
    <phoneticPr fontId="1"/>
  </si>
  <si>
    <t>芳朗ﾖｼﾛｳ R7(75)</t>
    <phoneticPr fontId="1"/>
  </si>
  <si>
    <t>順子ｼﾞｭﾝｺR7(75)</t>
    <phoneticPr fontId="1"/>
  </si>
  <si>
    <t>R3.評議員は「智子」さん 良一R7(75)</t>
    <rPh sb="3" eb="6">
      <t xml:space="preserve">ヒョウギイン </t>
    </rPh>
    <phoneticPr fontId="1"/>
  </si>
  <si>
    <t>乾タヅ子</t>
    <rPh sb="0" eb="1">
      <t>イヌイ</t>
    </rPh>
    <rPh sb="3" eb="4">
      <t>コ</t>
    </rPh>
    <phoneticPr fontId="2"/>
  </si>
  <si>
    <t>誠R7(75)</t>
    <phoneticPr fontId="1"/>
  </si>
  <si>
    <t>英弼ｴｲｽｹR7(82)・アヤ子(76)</t>
    <phoneticPr fontId="1"/>
  </si>
  <si>
    <t>2023.3.31 恭久さん逝去 弘子R7(81)</t>
    <phoneticPr fontId="1"/>
  </si>
  <si>
    <t>忠夫R7(78)、眞理子</t>
    <rPh sb="9" eb="12">
      <t>マリコ</t>
    </rPh>
    <phoneticPr fontId="1"/>
  </si>
  <si>
    <t>純一R7(84)・外茂子ﾄﾓｺ(75)</t>
    <phoneticPr fontId="1"/>
  </si>
  <si>
    <t>進R7(78)、久美子(77)</t>
    <phoneticPr fontId="1"/>
  </si>
  <si>
    <t>文子R7(97)</t>
    <phoneticPr fontId="1"/>
  </si>
  <si>
    <t>評議員は(同居人)伊藤育伸さん。伊藤さん携帯 ツルR7(91)</t>
    <rPh sb="5" eb="7">
      <t>ドウキョ</t>
    </rPh>
    <rPh sb="7" eb="8">
      <t>ニン</t>
    </rPh>
    <rPh sb="9" eb="11">
      <t>イトウ</t>
    </rPh>
    <rPh sb="11" eb="12">
      <t>イク</t>
    </rPh>
    <rPh sb="12" eb="13">
      <t>シン</t>
    </rPh>
    <rPh sb="16" eb="18">
      <t>イトウ</t>
    </rPh>
    <rPh sb="20" eb="22">
      <t>ケイタイ</t>
    </rPh>
    <phoneticPr fontId="1"/>
  </si>
  <si>
    <t>和朗ｶｽﾞﾛｳ、順子ﾖﾘｺ</t>
    <phoneticPr fontId="1"/>
  </si>
  <si>
    <t>佳江（?）R7敬老対象</t>
    <rPh sb="7" eb="9">
      <t>ケイロウ</t>
    </rPh>
    <rPh sb="9" eb="11">
      <t>タイショウ</t>
    </rPh>
    <phoneticPr fontId="1"/>
  </si>
  <si>
    <t>孝史（?）R7敬老対象</t>
    <phoneticPr fontId="1"/>
  </si>
  <si>
    <t>長谷部が同居　昶美ﾃﾙﾐ(?)R7敬老対象</t>
    <rPh sb="0" eb="3">
      <t>ハセベ</t>
    </rPh>
    <rPh sb="4" eb="6">
      <t>ドウキョ</t>
    </rPh>
    <phoneticPr fontId="2"/>
  </si>
  <si>
    <t>一久R7敬老対象</t>
    <phoneticPr fontId="1"/>
  </si>
  <si>
    <t>巧R7(75)</t>
    <phoneticPr fontId="1"/>
  </si>
  <si>
    <t>評議員は「和美」さん 善幸ﾖｼﾕｷR7(79)、和美(79)</t>
    <rPh sb="0" eb="3">
      <t>ヒョウギイン</t>
    </rPh>
    <rPh sb="5" eb="7">
      <t>カズミ</t>
    </rPh>
    <phoneticPr fontId="1"/>
  </si>
  <si>
    <t>房江R7(92)</t>
    <phoneticPr fontId="1"/>
  </si>
  <si>
    <t>治R7(79)</t>
    <phoneticPr fontId="1"/>
  </si>
  <si>
    <t>八子スヱ子</t>
    <rPh sb="0" eb="1">
      <t>8</t>
    </rPh>
    <rPh sb="1" eb="2">
      <t>コ</t>
    </rPh>
    <phoneticPr fontId="2"/>
  </si>
  <si>
    <t>R7?秀五郎逝去 スヱ子R7(84)</t>
    <rPh sb="6" eb="8">
      <t>セイキョ</t>
    </rPh>
    <phoneticPr fontId="1"/>
  </si>
  <si>
    <t>六平R7(83)・ノリ子(79)</t>
    <phoneticPr fontId="1"/>
  </si>
  <si>
    <t>弘R7(84)、晃子ﾃﾙｺ(79)</t>
    <phoneticPr fontId="1"/>
  </si>
  <si>
    <t>エイ子R7(89)</t>
    <phoneticPr fontId="1"/>
  </si>
  <si>
    <t>明子R7(88)</t>
    <phoneticPr fontId="1"/>
  </si>
  <si>
    <t>成穂ｼｹﾞｵR7(77)・年子ﾄｼｺ(74)</t>
    <phoneticPr fontId="1"/>
  </si>
  <si>
    <t>京子R7(89)</t>
    <phoneticPr fontId="1"/>
  </si>
  <si>
    <t>由利子R7(78)</t>
    <phoneticPr fontId="1"/>
  </si>
  <si>
    <t>純久ｽﾐﾋｻR7(76)</t>
    <phoneticPr fontId="1"/>
  </si>
  <si>
    <t>信子R7(76)</t>
    <phoneticPr fontId="1"/>
  </si>
  <si>
    <t>評議員は「千春」さん 静江R7(86)</t>
    <rPh sb="5" eb="7">
      <t>チハル</t>
    </rPh>
    <phoneticPr fontId="1"/>
  </si>
  <si>
    <t>つるゑR7(94)</t>
    <phoneticPr fontId="1"/>
  </si>
  <si>
    <t>6－8</t>
    <phoneticPr fontId="2"/>
  </si>
  <si>
    <t>紀子R7(70以上)</t>
    <rPh sb="0" eb="2">
      <t>ノリコ</t>
    </rPh>
    <rPh sb="7" eb="9">
      <t>イジョウ</t>
    </rPh>
    <phoneticPr fontId="1"/>
  </si>
  <si>
    <t>鹿野ｼｶﾉ　玲子R7(70以上)</t>
    <rPh sb="6" eb="8">
      <t>レイコ</t>
    </rPh>
    <rPh sb="13" eb="15">
      <t>イジョウ</t>
    </rPh>
    <phoneticPr fontId="1"/>
  </si>
  <si>
    <t>俊郎R7(77)、法子（?)</t>
    <rPh sb="9" eb="11">
      <t>ノリコ</t>
    </rPh>
    <phoneticPr fontId="1"/>
  </si>
  <si>
    <t>須藤滉ﾀｹｼR7(89)</t>
    <rPh sb="0" eb="2">
      <t>スドウ</t>
    </rPh>
    <rPh sb="2" eb="3">
      <t>ヒロシ</t>
    </rPh>
    <phoneticPr fontId="2"/>
  </si>
  <si>
    <t>佳子ｹｲｺ</t>
    <rPh sb="0" eb="2">
      <t>ヨシコ</t>
    </rPh>
    <phoneticPr fontId="1"/>
  </si>
  <si>
    <t>6－68片山303</t>
    <rPh sb="4" eb="6">
      <t>カタヤマ</t>
    </rPh>
    <phoneticPr fontId="2"/>
  </si>
  <si>
    <t>203号室 雨海正男ｱﾏｶﾞｲﾏｻｵ</t>
    <rPh sb="3" eb="4">
      <t>ゴウ</t>
    </rPh>
    <rPh sb="4" eb="5">
      <t>ムロ</t>
    </rPh>
    <phoneticPr fontId="2"/>
  </si>
  <si>
    <t>行之ｺｳｼ、博美ﾋﾛﾐ</t>
    <rPh sb="6" eb="8">
      <t>ヒロミ</t>
    </rPh>
    <phoneticPr fontId="1"/>
  </si>
  <si>
    <r>
      <t>プレミール　</t>
    </r>
    <r>
      <rPr>
        <b/>
        <sz val="11"/>
        <color theme="1"/>
        <rFont val="BIZ UDゴシック"/>
        <family val="3"/>
        <charset val="128"/>
      </rPr>
      <t>彰ｱｷﾗR7(75)</t>
    </r>
    <r>
      <rPr>
        <sz val="11"/>
        <color theme="1"/>
        <rFont val="BIZ UDゴシック"/>
        <family val="3"/>
        <charset val="128"/>
      </rPr>
      <t>、正子(?)</t>
    </r>
    <rPh sb="17" eb="19">
      <t>マサコ</t>
    </rPh>
    <phoneticPr fontId="2"/>
  </si>
  <si>
    <t>治子ﾊﾙｺ R7(81)S19.8.24</t>
    <phoneticPr fontId="1"/>
  </si>
  <si>
    <t>セラヴィ 京子R7(79)S21.7.5</t>
    <phoneticPr fontId="2"/>
  </si>
  <si>
    <t>進 R7(77)S23.2.23</t>
    <phoneticPr fontId="1"/>
  </si>
  <si>
    <t>R7(77)S23.1.19</t>
    <phoneticPr fontId="1"/>
  </si>
  <si>
    <t>H29.4～ 046-854-9786 同居佐藤たい子R7(93)S6.11.6</t>
    <rPh sb="20" eb="22">
      <t>ドウキョ</t>
    </rPh>
    <phoneticPr fontId="1"/>
  </si>
  <si>
    <t>H29.4～ 聰ｻﾄｼ R7(83)S17.11.16</t>
    <phoneticPr fontId="1"/>
  </si>
  <si>
    <t>勇R7(79)S21.8.4、ヨシ子(93)S6.1.2</t>
    <phoneticPr fontId="1"/>
  </si>
  <si>
    <t>益男(88)S11.1.24、久枝(86)S14.2.16</t>
    <phoneticPr fontId="1"/>
  </si>
  <si>
    <t>一ﾊｼﾞﾒR7(76)S23.9.22、幸子(80)S20.7.11、徹(?)</t>
    <rPh sb="35" eb="36">
      <t>トオル</t>
    </rPh>
    <phoneticPr fontId="1"/>
  </si>
  <si>
    <r>
      <t xml:space="preserve">評議員は鳥居知加代 </t>
    </r>
    <r>
      <rPr>
        <b/>
        <sz val="11"/>
        <rFont val="BIZ UDゴシック"/>
        <family val="3"/>
        <charset val="128"/>
      </rPr>
      <t>スミヱ(93)</t>
    </r>
    <r>
      <rPr>
        <sz val="11"/>
        <rFont val="BIZ UDゴシック"/>
        <family val="3"/>
        <charset val="128"/>
      </rPr>
      <t>S7.5.31</t>
    </r>
    <rPh sb="0" eb="3">
      <t>ヒョウギイン</t>
    </rPh>
    <rPh sb="4" eb="6">
      <t>トリイ</t>
    </rPh>
    <rPh sb="6" eb="7">
      <t>チ</t>
    </rPh>
    <rPh sb="7" eb="9">
      <t>カヨ</t>
    </rPh>
    <phoneticPr fontId="1"/>
  </si>
  <si>
    <t>康弘ﾔｽﾋﾛR7(82)S18.8.18、秀子ﾋﾃﾞｺ(78)S22.1.22</t>
    <phoneticPr fontId="1"/>
  </si>
  <si>
    <t>中村修一R7(77)S23.10.15</t>
    <phoneticPr fontId="1"/>
  </si>
  <si>
    <t>勇ｲｻﾑR7(80)S20.5.18・愛子(79)S21.8.9</t>
    <phoneticPr fontId="1"/>
  </si>
  <si>
    <t>治ｵｻﾑR7(76)S24.2.2・美保子ﾐﾎｺ(76)S24.11.4</t>
    <phoneticPr fontId="1"/>
  </si>
  <si>
    <t>渡戸正志ﾜﾀﾄﾞﾏｻｼR7(78)S22.7.1、清美(?)</t>
    <rPh sb="25" eb="27">
      <t>キヨミ</t>
    </rPh>
    <phoneticPr fontId="1"/>
  </si>
  <si>
    <t>怜子R7(80)S20.3.10</t>
    <phoneticPr fontId="1"/>
  </si>
  <si>
    <t>美代子R7(79)S21.12.13</t>
    <phoneticPr fontId="1"/>
  </si>
  <si>
    <t>正子ﾏｻｺR7(77)S22.7.15</t>
    <phoneticPr fontId="1"/>
  </si>
  <si>
    <t>H29.4～ 和枝(80)S20.4.17・礼子(77)S23.1.22</t>
    <phoneticPr fontId="1"/>
  </si>
  <si>
    <t>評議員は「尚子」さん 勲R7(91)S9.1.10</t>
    <rPh sb="0" eb="3">
      <t xml:space="preserve">ヒョウギイン </t>
    </rPh>
    <rPh sb="5" eb="7">
      <t>ナオコ</t>
    </rPh>
    <phoneticPr fontId="1"/>
  </si>
  <si>
    <r>
      <t xml:space="preserve">評議員は妹の：加瀬和子S24.1.28 </t>
    </r>
    <r>
      <rPr>
        <sz val="11"/>
        <color rgb="FF0070C0"/>
        <rFont val="BIZ UDゴシック"/>
        <family val="3"/>
        <charset val="128"/>
      </rPr>
      <t>※祭礼寄付は加瀬さん</t>
    </r>
    <rPh sb="4" eb="5">
      <t xml:space="preserve">イモウト </t>
    </rPh>
    <rPh sb="7" eb="9">
      <t>カセ</t>
    </rPh>
    <rPh sb="9" eb="11">
      <t>カズコ</t>
    </rPh>
    <rPh sb="21" eb="23">
      <t>サイレイ</t>
    </rPh>
    <rPh sb="23" eb="25">
      <t>キフ</t>
    </rPh>
    <rPh sb="26" eb="28">
      <t>カセ</t>
    </rPh>
    <phoneticPr fontId="2"/>
  </si>
  <si>
    <t>R4.評議員は「重光隆子」さん 090-5508-6158 公子R7(93)S7.3.18</t>
    <rPh sb="3" eb="6">
      <t xml:space="preserve">ヒョウギイイｎ </t>
    </rPh>
    <phoneticPr fontId="1"/>
  </si>
  <si>
    <t>米子R7(86)S13.3.29</t>
    <phoneticPr fontId="1"/>
  </si>
  <si>
    <t>早苗R7(81)S19.1.2</t>
    <phoneticPr fontId="1"/>
  </si>
  <si>
    <t>901号室 渡邊幾子ｲｸｺR7(89)S11.1.5</t>
    <rPh sb="3" eb="4">
      <t>ゴウ</t>
    </rPh>
    <rPh sb="4" eb="5">
      <t>ムロ</t>
    </rPh>
    <phoneticPr fontId="2"/>
  </si>
  <si>
    <t>801号室　謙三R7(88)S12.9.1</t>
    <rPh sb="3" eb="4">
      <t>ゴウ</t>
    </rPh>
    <rPh sb="4" eb="5">
      <t>ムロ</t>
    </rPh>
    <phoneticPr fontId="2"/>
  </si>
  <si>
    <t>702号室　明美S14.1.1</t>
    <rPh sb="3" eb="4">
      <t>ゴウ</t>
    </rPh>
    <rPh sb="4" eb="5">
      <t>ムロ</t>
    </rPh>
    <rPh sb="6" eb="8">
      <t>アケミ</t>
    </rPh>
    <phoneticPr fontId="2"/>
  </si>
  <si>
    <t>902号室　タヅ子R7(79)S21.9.5</t>
    <rPh sb="3" eb="4">
      <t>ゴウ</t>
    </rPh>
    <rPh sb="4" eb="5">
      <t>ムロ</t>
    </rPh>
    <phoneticPr fontId="2"/>
  </si>
  <si>
    <t>501号室 良枝S22.12.18</t>
    <rPh sb="3" eb="4">
      <t>ゴウ</t>
    </rPh>
    <rPh sb="4" eb="5">
      <t>ムロ</t>
    </rPh>
    <phoneticPr fontId="2"/>
  </si>
  <si>
    <t>404号室　幸男S23.12.23</t>
    <rPh sb="3" eb="4">
      <t>ゴウ</t>
    </rPh>
    <rPh sb="4" eb="5">
      <t>ムロ</t>
    </rPh>
    <phoneticPr fontId="2"/>
  </si>
  <si>
    <t>ﾊｲﾂ小林103 眞代R7(85)S15.3.9</t>
    <rPh sb="3" eb="5">
      <t>コバヤシ</t>
    </rPh>
    <phoneticPr fontId="1"/>
  </si>
  <si>
    <t>評議員は「玲子」さん 紀一R7(77)S23.2.11・玲子(76)S24.3.18</t>
    <rPh sb="0" eb="3">
      <t>ヒョウギイン</t>
    </rPh>
    <rPh sb="5" eb="7">
      <t>レイコ</t>
    </rPh>
    <phoneticPr fontId="1"/>
  </si>
  <si>
    <t>R.5.10月入会 千和子ﾁﾜｺR7(84)S16.7.15</t>
    <rPh sb="6" eb="7">
      <t>ガツ</t>
    </rPh>
    <rPh sb="7" eb="9">
      <t>ニュウカイ</t>
    </rPh>
    <phoneticPr fontId="1"/>
  </si>
  <si>
    <t>節子(88)S12.5.10</t>
    <phoneticPr fontId="1"/>
  </si>
  <si>
    <t>誠R7(83)S17.1.27・邦世ｲｸﾖ(79)S20.11.8</t>
    <phoneticPr fontId="1"/>
  </si>
  <si>
    <t>「順子=ノブコ」順子R7(88)S12.7.26</t>
    <phoneticPr fontId="1"/>
  </si>
  <si>
    <t>2021.11.19洋吉さん逝去 初枝R7(77)S22.11.5</t>
    <phoneticPr fontId="1"/>
  </si>
  <si>
    <t>紀子ﾉﾘｺR7(82)S18.10.7</t>
    <rPh sb="0" eb="2">
      <t>ノリコ</t>
    </rPh>
    <phoneticPr fontId="1"/>
  </si>
  <si>
    <t>芳久ﾖｼﾌｻR7(89)S11.3.14</t>
    <phoneticPr fontId="1"/>
  </si>
  <si>
    <t>晴夫R7(87)S13.1.15・正子(83)S17.4.8</t>
    <phoneticPr fontId="1"/>
  </si>
  <si>
    <t>シズエR7(81)S18.12.15</t>
    <phoneticPr fontId="1"/>
  </si>
  <si>
    <t>201号室　妻「聖子」さん 2025.10月加入</t>
    <rPh sb="3" eb="4">
      <t>ゴウ</t>
    </rPh>
    <rPh sb="4" eb="5">
      <t>ムロ</t>
    </rPh>
    <rPh sb="6" eb="7">
      <t>ツマ</t>
    </rPh>
    <rPh sb="8" eb="10">
      <t>セイコ</t>
    </rPh>
    <rPh sb="21" eb="22">
      <t>ガツ</t>
    </rPh>
    <rPh sb="22" eb="24">
      <t>カニュウ</t>
    </rPh>
    <phoneticPr fontId="2"/>
  </si>
  <si>
    <t>090-6633-4707</t>
    <phoneticPr fontId="1"/>
  </si>
  <si>
    <t>6－22－21</t>
    <phoneticPr fontId="2"/>
  </si>
  <si>
    <t>回覧不要</t>
    <rPh sb="0" eb="2">
      <t>カイラン</t>
    </rPh>
    <rPh sb="2" eb="4">
      <t>フヨウ</t>
    </rPh>
    <phoneticPr fontId="1"/>
  </si>
  <si>
    <t>6－19－1</t>
    <phoneticPr fontId="2"/>
  </si>
  <si>
    <t>6－17－66</t>
    <phoneticPr fontId="2"/>
  </si>
  <si>
    <t>6－17－17</t>
    <phoneticPr fontId="2"/>
  </si>
  <si>
    <t>6－63－10</t>
    <phoneticPr fontId="2"/>
  </si>
  <si>
    <t>6－76-4</t>
    <phoneticPr fontId="2"/>
  </si>
  <si>
    <t>長谷川聰</t>
    <rPh sb="0" eb="3">
      <t>ハセガワ</t>
    </rPh>
    <phoneticPr fontId="1"/>
  </si>
  <si>
    <t>和彦R7(79)、敏江(80)、英治080-5547-2744</t>
    <rPh sb="16" eb="18">
      <t>エイジ</t>
    </rPh>
    <phoneticPr fontId="1"/>
  </si>
  <si>
    <r>
      <t>861－</t>
    </r>
    <r>
      <rPr>
        <sz val="11"/>
        <color rgb="FFFF0000"/>
        <rFont val="BIZ UDゴシック"/>
        <family val="3"/>
        <charset val="128"/>
      </rPr>
      <t>8486</t>
    </r>
    <phoneticPr fontId="2"/>
  </si>
  <si>
    <r>
      <t>R3.評議員は「光枝」さん 光枝R7(96)　</t>
    </r>
    <r>
      <rPr>
        <sz val="11"/>
        <color rgb="FFFF0000"/>
        <rFont val="BIZ UDゴシック"/>
        <family val="3"/>
        <charset val="128"/>
      </rPr>
      <t>8486 or 8468</t>
    </r>
    <rPh sb="3" eb="6">
      <t xml:space="preserve">ヒョウギイン </t>
    </rPh>
    <phoneticPr fontId="1"/>
  </si>
  <si>
    <t>080-3414-7545</t>
    <phoneticPr fontId="1"/>
  </si>
  <si>
    <r>
      <t>861－</t>
    </r>
    <r>
      <rPr>
        <sz val="11"/>
        <color rgb="FFFF0000"/>
        <rFont val="BIZ UDゴシック"/>
        <family val="3"/>
        <charset val="128"/>
      </rPr>
      <t>0383</t>
    </r>
    <phoneticPr fontId="2"/>
  </si>
  <si>
    <r>
      <t xml:space="preserve">評議員は「ゆみ」さん </t>
    </r>
    <r>
      <rPr>
        <sz val="11"/>
        <color rgb="FFFF0000"/>
        <rFont val="BIZ UDゴシック"/>
        <family val="3"/>
        <charset val="128"/>
      </rPr>
      <t>(0383 or 3363)</t>
    </r>
    <phoneticPr fontId="2"/>
  </si>
  <si>
    <t>H31.1-, 綾乃,鈴,昇</t>
    <rPh sb="8" eb="10">
      <t>アヤノ</t>
    </rPh>
    <rPh sb="11" eb="12">
      <t>スズ</t>
    </rPh>
    <rPh sb="13" eb="14">
      <t>ノボル</t>
    </rPh>
    <phoneticPr fontId="1"/>
  </si>
  <si>
    <t>ゆうすけ,茉里奈,楓,藍</t>
    <rPh sb="5" eb="8">
      <t>マリナ</t>
    </rPh>
    <rPh sb="9" eb="10">
      <t>カエデ</t>
    </rPh>
    <rPh sb="11" eb="12">
      <t>アイ</t>
    </rPh>
    <phoneticPr fontId="1"/>
  </si>
  <si>
    <t>評議員は「優子」さん, 輝優,哲輝</t>
    <rPh sb="0" eb="3">
      <t xml:space="preserve">ヒョウギイン </t>
    </rPh>
    <rPh sb="5" eb="7">
      <t>ユウコ</t>
    </rPh>
    <rPh sb="12" eb="13">
      <t>テル</t>
    </rPh>
    <rPh sb="13" eb="14">
      <t>ユウ</t>
    </rPh>
    <rPh sb="15" eb="16">
      <t>テツ</t>
    </rPh>
    <phoneticPr fontId="1"/>
  </si>
  <si>
    <t>R.4.5月入会　評議員は「雅子」さん（080-1039-4467）,暖人,理人</t>
    <rPh sb="5" eb="6">
      <t xml:space="preserve">ガツ </t>
    </rPh>
    <rPh sb="6" eb="8">
      <t xml:space="preserve">ニュウカイ </t>
    </rPh>
    <rPh sb="14" eb="16">
      <t>マサコ</t>
    </rPh>
    <rPh sb="35" eb="36">
      <t>アタタ</t>
    </rPh>
    <rPh sb="36" eb="37">
      <t>ヒト</t>
    </rPh>
    <rPh sb="38" eb="39">
      <t>リ</t>
    </rPh>
    <rPh sb="39" eb="40">
      <t>ジン</t>
    </rPh>
    <phoneticPr fontId="1"/>
  </si>
  <si>
    <t>H31.4～,涼子,恵梨絵,茉莉恵</t>
    <rPh sb="7" eb="9">
      <t>リョウコ</t>
    </rPh>
    <rPh sb="10" eb="12">
      <t>エリ</t>
    </rPh>
    <rPh sb="12" eb="13">
      <t>エ</t>
    </rPh>
    <rPh sb="14" eb="17">
      <t>マリエ</t>
    </rPh>
    <phoneticPr fontId="1"/>
  </si>
  <si>
    <t>R7.4加入 1998.5月生（橘鷹さん孫）愛海,ひまり</t>
    <rPh sb="4" eb="6">
      <t>カニュウ</t>
    </rPh>
    <rPh sb="13" eb="14">
      <t>ガツ</t>
    </rPh>
    <rPh sb="14" eb="15">
      <t>ウ</t>
    </rPh>
    <rPh sb="17" eb="18">
      <t>タカ</t>
    </rPh>
    <rPh sb="22" eb="23">
      <t>アイ</t>
    </rPh>
    <rPh sb="23" eb="24">
      <t>ウミ</t>
    </rPh>
    <phoneticPr fontId="1"/>
  </si>
  <si>
    <t>302号室　姓のみでOK「正臣？政臣？」裕子,ひなた,瑛汰,敬汰</t>
    <rPh sb="3" eb="4">
      <t>ゴウ</t>
    </rPh>
    <rPh sb="4" eb="5">
      <t>シツ</t>
    </rPh>
    <rPh sb="6" eb="7">
      <t>セイ</t>
    </rPh>
    <rPh sb="16" eb="17">
      <t>セイ</t>
    </rPh>
    <rPh sb="17" eb="18">
      <t>シン</t>
    </rPh>
    <rPh sb="20" eb="22">
      <t>ユウコ</t>
    </rPh>
    <rPh sb="27" eb="28">
      <t>エイ</t>
    </rPh>
    <rPh sb="28" eb="29">
      <t>タ</t>
    </rPh>
    <rPh sb="30" eb="31">
      <t>ウヤマ</t>
    </rPh>
    <rPh sb="31" eb="32">
      <t>タ</t>
    </rPh>
    <phoneticPr fontId="2"/>
  </si>
  <si>
    <t>評議員は「節子」さん　節子R7(76)S24.2.27、在彩</t>
    <rPh sb="0" eb="3">
      <t xml:space="preserve">ヒョウギイン </t>
    </rPh>
    <rPh sb="5" eb="7">
      <t>セツコ</t>
    </rPh>
    <rPh sb="28" eb="29">
      <t>ア</t>
    </rPh>
    <rPh sb="29" eb="30">
      <t>アヤ</t>
    </rPh>
    <phoneticPr fontId="1"/>
  </si>
  <si>
    <t>梨々華,藍來</t>
    <rPh sb="0" eb="1">
      <t>ナシ</t>
    </rPh>
    <rPh sb="2" eb="3">
      <t>ハナ</t>
    </rPh>
    <rPh sb="4" eb="5">
      <t>アイ</t>
    </rPh>
    <rPh sb="5" eb="6">
      <t>ライ</t>
    </rPh>
    <phoneticPr fontId="1"/>
  </si>
  <si>
    <t>H31.4～ 菊池篤子ｱﾂｺR7(82)S18.1.2, 千鶴子,実咲</t>
    <rPh sb="29" eb="32">
      <t>チヅコ</t>
    </rPh>
    <rPh sb="33" eb="34">
      <t>ジツ</t>
    </rPh>
    <rPh sb="34" eb="35">
      <t>サ</t>
    </rPh>
    <phoneticPr fontId="1"/>
  </si>
  <si>
    <t>R1.4〜スズサンマンション302, 礼</t>
    <rPh sb="19" eb="20">
      <t>レイ</t>
    </rPh>
    <phoneticPr fontId="1"/>
  </si>
  <si>
    <t>評議員は「友美」さん, 風摩,竜騎,一颯</t>
    <rPh sb="5" eb="7">
      <t>トモミ</t>
    </rPh>
    <rPh sb="12" eb="13">
      <t>カゼ</t>
    </rPh>
    <rPh sb="13" eb="14">
      <t>マ</t>
    </rPh>
    <rPh sb="15" eb="16">
      <t>リュウ</t>
    </rPh>
    <rPh sb="18" eb="19">
      <t>イチ</t>
    </rPh>
    <phoneticPr fontId="1"/>
  </si>
  <si>
    <t>403号室　知美(080-3525-1135)</t>
    <rPh sb="3" eb="4">
      <t>ゴウ</t>
    </rPh>
    <rPh sb="4" eb="5">
      <t>ムロ</t>
    </rPh>
    <rPh sb="6" eb="8">
      <t>トモミ</t>
    </rPh>
    <phoneticPr fontId="2"/>
  </si>
  <si>
    <t>明R7(75)、満貴子ﾏｷｺ(?),均(090-9305-5987)梢(080-5078-6336),光,匠,楓</t>
    <rPh sb="8" eb="9">
      <t>マン</t>
    </rPh>
    <rPh sb="9" eb="11">
      <t>タカコ</t>
    </rPh>
    <rPh sb="18" eb="19">
      <t>ヒトシ</t>
    </rPh>
    <rPh sb="34" eb="35">
      <t>コズエ</t>
    </rPh>
    <rPh sb="51" eb="52">
      <t>ヒカリ</t>
    </rPh>
    <rPh sb="53" eb="54">
      <t>タクミ</t>
    </rPh>
    <rPh sb="55" eb="56">
      <t>カエデ</t>
    </rPh>
    <phoneticPr fontId="1"/>
  </si>
  <si>
    <t>1981.7.23生、評議員は「舞」さん（090-8962-3594）。苺花</t>
    <rPh sb="9" eb="10">
      <t>ウ</t>
    </rPh>
    <rPh sb="11" eb="14">
      <t>ヒョウギイン</t>
    </rPh>
    <rPh sb="16" eb="17">
      <t>マイ</t>
    </rPh>
    <rPh sb="36" eb="37">
      <t>イチゴ</t>
    </rPh>
    <rPh sb="37" eb="38">
      <t>ハナ</t>
    </rPh>
    <phoneticPr fontId="1"/>
  </si>
  <si>
    <t>正士ﾏｻｼ R7(81)S19.3.31, 真美,妃由</t>
    <rPh sb="22" eb="24">
      <t>マミ</t>
    </rPh>
    <rPh sb="25" eb="26">
      <t>キサキ</t>
    </rPh>
    <rPh sb="26" eb="27">
      <t>ヨシ</t>
    </rPh>
    <phoneticPr fontId="1"/>
  </si>
  <si>
    <t>評議員は「恵」(090-4525-3059)さん 裕翔, 柚芽</t>
    <rPh sb="0" eb="3">
      <t xml:space="preserve">ヒョウギイン </t>
    </rPh>
    <rPh sb="5" eb="6">
      <t>メグミ</t>
    </rPh>
    <rPh sb="25" eb="26">
      <t>ユウ</t>
    </rPh>
    <rPh sb="26" eb="27">
      <t>カケル</t>
    </rPh>
    <rPh sb="29" eb="30">
      <t>ユズ</t>
    </rPh>
    <rPh sb="30" eb="31">
      <t>メ</t>
    </rPh>
    <phoneticPr fontId="1"/>
  </si>
  <si>
    <t>千賀子R7(77),鈴木聡・里江・渓舵, 海帆</t>
    <rPh sb="14" eb="16">
      <t>リエ</t>
    </rPh>
    <rPh sb="17" eb="18">
      <t>タニ</t>
    </rPh>
    <rPh sb="18" eb="19">
      <t>カジ</t>
    </rPh>
    <rPh sb="21" eb="23">
      <t>ウミホ</t>
    </rPh>
    <phoneticPr fontId="1"/>
  </si>
  <si>
    <t>慎一R7(78)S22.4.25 親弘(090-7225-8149)敏恵,慎太郎,光次郎</t>
    <rPh sb="34" eb="36">
      <t>トシエ</t>
    </rPh>
    <rPh sb="37" eb="38">
      <t>シン</t>
    </rPh>
    <rPh sb="38" eb="40">
      <t>タロウ</t>
    </rPh>
    <rPh sb="41" eb="42">
      <t>ヒカリ</t>
    </rPh>
    <rPh sb="42" eb="44">
      <t>ジロウ</t>
    </rPh>
    <phoneticPr fontId="1"/>
  </si>
  <si>
    <t>「隼斗」綾、太陽、ひまわり</t>
    <rPh sb="1" eb="2">
      <t>ハヤブサ</t>
    </rPh>
    <rPh sb="4" eb="5">
      <t>アヤ</t>
    </rPh>
    <rPh sb="6" eb="8">
      <t>タイヨウ</t>
    </rPh>
    <phoneticPr fontId="1"/>
  </si>
  <si>
    <t>403号室　優李亜</t>
    <rPh sb="3" eb="5">
      <t>ゴウシツ</t>
    </rPh>
    <rPh sb="6" eb="7">
      <t>ユウ</t>
    </rPh>
    <rPh sb="7" eb="8">
      <t>リ</t>
    </rPh>
    <rPh sb="8" eb="9">
      <t>ア</t>
    </rPh>
    <phoneticPr fontId="2"/>
  </si>
  <si>
    <t>6－20-40</t>
    <phoneticPr fontId="1"/>
  </si>
  <si>
    <t>世帯主：中村雅紀➡中島祐子,花鈴</t>
    <rPh sb="0" eb="3">
      <t>セタイヌシ</t>
    </rPh>
    <rPh sb="9" eb="11">
      <t>ナカジマ</t>
    </rPh>
    <rPh sb="11" eb="13">
      <t>ユウコ</t>
    </rPh>
    <rPh sb="14" eb="15">
      <t>ハナ</t>
    </rPh>
    <rPh sb="15" eb="16">
      <t>スズ</t>
    </rPh>
    <phoneticPr fontId="1"/>
  </si>
  <si>
    <t>評議員は「まゆ子」さん, 滉人, 睦希</t>
    <rPh sb="0" eb="3">
      <t xml:space="preserve">ヒョウギイン </t>
    </rPh>
    <rPh sb="7" eb="8">
      <t>コ</t>
    </rPh>
    <rPh sb="13" eb="15">
      <t>ヒロト</t>
    </rPh>
    <rPh sb="17" eb="18">
      <t>ムツ</t>
    </rPh>
    <rPh sb="18" eb="19">
      <t>キ</t>
    </rPh>
    <phoneticPr fontId="1"/>
  </si>
  <si>
    <t>2018.7-　評議員は「文代」さん　然太、心菜</t>
    <rPh sb="19" eb="20">
      <t>ゼン</t>
    </rPh>
    <rPh sb="20" eb="21">
      <t>タ</t>
    </rPh>
    <rPh sb="22" eb="24">
      <t>ココナ</t>
    </rPh>
    <phoneticPr fontId="1"/>
  </si>
  <si>
    <t>典子、完久朗</t>
    <rPh sb="0" eb="2">
      <t>ノリコ</t>
    </rPh>
    <rPh sb="3" eb="4">
      <t>カン</t>
    </rPh>
    <rPh sb="4" eb="5">
      <t>ヒサシ</t>
    </rPh>
    <rPh sb="5" eb="6">
      <t>ロウ</t>
    </rPh>
    <phoneticPr fontId="1"/>
  </si>
  <si>
    <t>伸成ﾉﾌﾞｼｹﾞR7(81)、晃子(79)、有美、茉優</t>
    <rPh sb="22" eb="24">
      <t>ユミ</t>
    </rPh>
    <rPh sb="25" eb="27">
      <t>マユ</t>
    </rPh>
    <phoneticPr fontId="1"/>
  </si>
  <si>
    <r>
      <t>102号室（861-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27" eb="29">
      <t>ノブコ</t>
    </rPh>
    <rPh sb="30" eb="32">
      <t>リサ</t>
    </rPh>
    <rPh sb="33" eb="35">
      <t>レイナ</t>
    </rPh>
    <phoneticPr fontId="2"/>
  </si>
  <si>
    <t>402号室　評議員は「知佐子」さん？、珠未</t>
    <rPh sb="3" eb="4">
      <t>ゴウ</t>
    </rPh>
    <rPh sb="4" eb="5">
      <t>ムロ</t>
    </rPh>
    <rPh sb="11" eb="12">
      <t>シ</t>
    </rPh>
    <rPh sb="12" eb="13">
      <t>サ</t>
    </rPh>
    <rPh sb="13" eb="14">
      <t>コ</t>
    </rPh>
    <rPh sb="19" eb="20">
      <t>タマ</t>
    </rPh>
    <rPh sb="20" eb="21">
      <t>ミ</t>
    </rPh>
    <phoneticPr fontId="2"/>
  </si>
  <si>
    <t>303号室　R3.評議員は「安岐子」さん, 舜弥,瞭太</t>
    <rPh sb="3" eb="4">
      <t>ゴウ</t>
    </rPh>
    <rPh sb="4" eb="5">
      <t>シツ</t>
    </rPh>
    <rPh sb="9" eb="12">
      <t xml:space="preserve">ヒョウギイン </t>
    </rPh>
    <rPh sb="25" eb="27">
      <t>リョウタ</t>
    </rPh>
    <phoneticPr fontId="2"/>
  </si>
  <si>
    <t>301号室　サチ子、真那斗</t>
    <rPh sb="3" eb="4">
      <t>ゴウ</t>
    </rPh>
    <rPh sb="4" eb="5">
      <t>ムロ</t>
    </rPh>
    <rPh sb="8" eb="9">
      <t>コ</t>
    </rPh>
    <rPh sb="10" eb="12">
      <t>マナ</t>
    </rPh>
    <rPh sb="12" eb="13">
      <t>ト</t>
    </rPh>
    <phoneticPr fontId="2"/>
  </si>
  <si>
    <t>603号室　啓子、雅史,里菜</t>
    <rPh sb="3" eb="4">
      <t>ゴウ</t>
    </rPh>
    <rPh sb="4" eb="5">
      <t>ムロ</t>
    </rPh>
    <rPh sb="6" eb="8">
      <t>ケイコ</t>
    </rPh>
    <rPh sb="9" eb="10">
      <t>マサシ</t>
    </rPh>
    <rPh sb="10" eb="11">
      <t>シ</t>
    </rPh>
    <rPh sb="12" eb="14">
      <t>リナ</t>
    </rPh>
    <phoneticPr fontId="2"/>
  </si>
  <si>
    <t>2025.11.30転出</t>
    <rPh sb="10" eb="12">
      <t>テンシュツ</t>
    </rPh>
    <phoneticPr fontId="1"/>
  </si>
  <si>
    <t>正子ﾏｻｺR7(92)S7.10.23-2025逝去</t>
    <rPh sb="24" eb="26">
      <t>セイキョ</t>
    </rPh>
    <phoneticPr fontId="1"/>
  </si>
  <si>
    <t>ユキエR7(94)S6.7.28-2025逝去</t>
    <rPh sb="21" eb="23">
      <t>セイキョ</t>
    </rPh>
    <phoneticPr fontId="2"/>
  </si>
  <si>
    <t>義明R7(82)、石橋勇哉(861-8450),千夏,日葵,英汰</t>
    <rPh sb="9" eb="11">
      <t>イシバシ</t>
    </rPh>
    <rPh sb="11" eb="12">
      <t>イサム</t>
    </rPh>
    <rPh sb="24" eb="26">
      <t>チナツ</t>
    </rPh>
    <rPh sb="27" eb="29">
      <t>ヒマリ</t>
    </rPh>
    <rPh sb="30" eb="31">
      <t>エイ</t>
    </rPh>
    <rPh sb="31" eb="32">
      <t>タ</t>
    </rPh>
    <phoneticPr fontId="1"/>
  </si>
  <si>
    <t>渡辺さん</t>
    <rPh sb="0" eb="2">
      <t>ワタナベ</t>
    </rPh>
    <phoneticPr fontId="1"/>
  </si>
  <si>
    <t>井岡さん</t>
    <rPh sb="0" eb="2">
      <t>イオカ</t>
    </rPh>
    <phoneticPr fontId="1"/>
  </si>
  <si>
    <t>駒寄町内会　会員名簿　(2026年01月03日現在)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</si>
  <si>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(2026年01月25日現在)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</si>
  <si>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井岡拓也</t>
    <rPh sb="0" eb="2">
      <t>イオカ</t>
    </rPh>
    <rPh sb="2" eb="4">
      <t>タクヤ</t>
    </rPh>
    <phoneticPr fontId="1"/>
  </si>
  <si>
    <t>6－6－5</t>
    <phoneticPr fontId="2"/>
  </si>
  <si>
    <t>070-5601-3998</t>
    <phoneticPr fontId="1"/>
  </si>
  <si>
    <t>拓也1993.7.20生 2026.1月加入</t>
    <rPh sb="11" eb="12">
      <t>ウ</t>
    </rPh>
    <rPh sb="19" eb="20">
      <t>ガツ</t>
    </rPh>
    <rPh sb="20" eb="22">
      <t>カニュウ</t>
    </rPh>
    <phoneticPr fontId="1"/>
  </si>
  <si>
    <t>町田さん</t>
    <rPh sb="0" eb="2">
      <t>マチダ</t>
    </rPh>
    <phoneticPr fontId="1"/>
  </si>
  <si>
    <t>上田</t>
    <rPh sb="0" eb="2">
      <t>ウエダ</t>
    </rPh>
    <phoneticPr fontId="2"/>
  </si>
  <si>
    <t>駒寄町内会　会員名簿　(2026年02月01日現在)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</si>
  <si>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町田恵資</t>
    <rPh sb="0" eb="2">
      <t>マチダ</t>
    </rPh>
    <rPh sb="2" eb="3">
      <t>メグミ</t>
    </rPh>
    <rPh sb="3" eb="4">
      <t>シ</t>
    </rPh>
    <phoneticPr fontId="1"/>
  </si>
  <si>
    <t>046-861-1644</t>
    <phoneticPr fontId="1"/>
  </si>
  <si>
    <t>S44.5.26生　※行事は不参加</t>
    <rPh sb="8" eb="9">
      <t>ウ</t>
    </rPh>
    <rPh sb="11" eb="13">
      <t>ギョウジ</t>
    </rPh>
    <rPh sb="14" eb="17">
      <t>フサンカ</t>
    </rPh>
    <phoneticPr fontId="1"/>
  </si>
  <si>
    <t>渡邊秀一</t>
    <rPh sb="2" eb="4">
      <t>シュウイチ</t>
    </rPh>
    <phoneticPr fontId="1"/>
  </si>
  <si>
    <t>090-9328-7011</t>
    <phoneticPr fontId="1"/>
  </si>
  <si>
    <t>6-69-12</t>
    <phoneticPr fontId="1"/>
  </si>
  <si>
    <t>S62.5.30生</t>
    <rPh sb="8" eb="9">
      <t>ウ</t>
    </rPh>
    <phoneticPr fontId="1"/>
  </si>
  <si>
    <t>R3.評議員は「光枝」さん 光枝R7(96)　8486 or 8468</t>
    <rPh sb="3" eb="6">
      <t xml:space="preserve">ヒョウギイン </t>
    </rPh>
    <phoneticPr fontId="1"/>
  </si>
  <si>
    <t>評議員は「ゆみ」さん (0383 or 3363)</t>
    <phoneticPr fontId="2"/>
  </si>
  <si>
    <t>避難
支援</t>
    <rPh sb="0" eb="2">
      <t>ヒナン</t>
    </rPh>
    <rPh sb="3" eb="5">
      <t>シエン</t>
    </rPh>
    <phoneticPr fontId="1"/>
  </si>
  <si>
    <t>要</t>
    <rPh sb="0" eb="1">
      <t>ヨウ</t>
    </rPh>
    <phoneticPr fontId="1"/>
  </si>
  <si>
    <t>不要</t>
    <rPh sb="0" eb="2">
      <t>フヨウ</t>
    </rPh>
    <phoneticPr fontId="1"/>
  </si>
  <si>
    <t>同居
家族</t>
    <rPh sb="0" eb="2">
      <t>ドウキョ</t>
    </rPh>
    <rPh sb="3" eb="5">
      <t>カゾク</t>
    </rPh>
    <phoneticPr fontId="1"/>
  </si>
  <si>
    <t>R7(78)S23.1.19</t>
    <phoneticPr fontId="1"/>
  </si>
  <si>
    <t>一ﾊｼﾞﾒR7(77)S23.9.22、幸子(80)S20.7.11、徹(?)</t>
    <rPh sb="35" eb="36">
      <t>トオル</t>
    </rPh>
    <phoneticPr fontId="1"/>
  </si>
  <si>
    <t>S62.5.30生(38)</t>
    <rPh sb="8" eb="9">
      <t>ウ</t>
    </rPh>
    <phoneticPr fontId="1"/>
  </si>
  <si>
    <t>H29.4～ 佐藤歯科（夜間不在）</t>
    <rPh sb="7" eb="9">
      <t>サトウ</t>
    </rPh>
    <rPh sb="9" eb="11">
      <t>シカ</t>
    </rPh>
    <rPh sb="12" eb="14">
      <t>ヤカン</t>
    </rPh>
    <rPh sb="14" eb="16">
      <t>フザイ</t>
    </rPh>
    <phoneticPr fontId="1"/>
  </si>
  <si>
    <t>悦子(r8.1月 60) R5.美代子さん逝去</t>
    <rPh sb="7" eb="8">
      <t>ガツ</t>
    </rPh>
    <rPh sb="21" eb="23">
      <t>セイキョ</t>
    </rPh>
    <phoneticPr fontId="1"/>
  </si>
  <si>
    <t>R7.6月加入、S33.7.29生(67)</t>
    <rPh sb="4" eb="5">
      <t>ガツ</t>
    </rPh>
    <rPh sb="5" eb="7">
      <t>カニュウ</t>
    </rPh>
    <rPh sb="16" eb="17">
      <t>ウ</t>
    </rPh>
    <phoneticPr fontId="1"/>
  </si>
  <si>
    <t>(r8.1月 59)</t>
    <rPh sb="5" eb="6">
      <t>ガツ</t>
    </rPh>
    <phoneticPr fontId="1"/>
  </si>
  <si>
    <t>武文(R8.2月 56)R4 弘志さん逝去</t>
    <rPh sb="7" eb="8">
      <t>ガツ</t>
    </rPh>
    <rPh sb="19" eb="21">
      <t>セイキョ</t>
    </rPh>
    <phoneticPr fontId="1"/>
  </si>
  <si>
    <t>芳美(R8.2月 57)</t>
    <rPh sb="7" eb="8">
      <t>ガツ</t>
    </rPh>
    <phoneticPr fontId="1"/>
  </si>
  <si>
    <t>なつみ(R8.2月 30) R1.4〜スズサンマンション302, 礼</t>
    <rPh sb="8" eb="9">
      <t>ガツ</t>
    </rPh>
    <rPh sb="33" eb="34">
      <t>レイ</t>
    </rPh>
    <phoneticPr fontId="1"/>
  </si>
  <si>
    <r>
      <t>102号室　洋一(R8.2月55歳)（861-</t>
    </r>
    <r>
      <rPr>
        <sz val="11"/>
        <color rgb="FFFF0000"/>
        <rFont val="BIZ UDゴシック"/>
        <family val="3"/>
        <charset val="128"/>
      </rPr>
      <t>8656 or 4686</t>
    </r>
    <r>
      <rPr>
        <sz val="11"/>
        <rFont val="BIZ UDゴシック"/>
        <family val="3"/>
        <charset val="128"/>
      </rPr>
      <t>）評議員は宣子,理沙,玲奈</t>
    </r>
    <rPh sb="3" eb="4">
      <t>ゴウ</t>
    </rPh>
    <rPh sb="4" eb="5">
      <t>ムロ</t>
    </rPh>
    <rPh sb="13" eb="14">
      <t>ガツ</t>
    </rPh>
    <rPh sb="16" eb="17">
      <t>サイ</t>
    </rPh>
    <rPh sb="40" eb="42">
      <t>ノブコ</t>
    </rPh>
    <rPh sb="43" eb="45">
      <t>リサ</t>
    </rPh>
    <rPh sb="46" eb="48">
      <t>レイナ</t>
    </rPh>
    <phoneticPr fontId="2"/>
  </si>
  <si>
    <t>203号室 睦(R8.2月56歳)</t>
    <rPh sb="3" eb="4">
      <t>ゴウ</t>
    </rPh>
    <rPh sb="4" eb="5">
      <t>ムロ</t>
    </rPh>
    <phoneticPr fontId="2"/>
  </si>
  <si>
    <t>403号室　誠治(R8.2月 61歳), 優李亜</t>
    <rPh sb="3" eb="5">
      <t>ゴウシツ</t>
    </rPh>
    <rPh sb="13" eb="14">
      <t>ガツ</t>
    </rPh>
    <rPh sb="17" eb="18">
      <t>サイ</t>
    </rPh>
    <rPh sb="21" eb="22">
      <t>ユウ</t>
    </rPh>
    <rPh sb="22" eb="23">
      <t>リ</t>
    </rPh>
    <rPh sb="23" eb="24">
      <t>ア</t>
    </rPh>
    <phoneticPr fontId="2"/>
  </si>
  <si>
    <t>H31.1-, 剛(R8.2月40歳),綾乃,鈴,昇</t>
    <rPh sb="14" eb="15">
      <t>ガツ</t>
    </rPh>
    <rPh sb="17" eb="18">
      <t>サイ</t>
    </rPh>
    <rPh sb="20" eb="22">
      <t>アヤノ</t>
    </rPh>
    <rPh sb="23" eb="24">
      <t>スズ</t>
    </rPh>
    <rPh sb="25" eb="26">
      <t>ノボル</t>
    </rPh>
    <phoneticPr fontId="1"/>
  </si>
  <si>
    <t>啓二(R8.2月 73歳), 順子ｼﾞｭﾝｺR7(75)</t>
    <rPh sb="7" eb="8">
      <t>ガツ</t>
    </rPh>
    <rPh sb="11" eb="12">
      <t>サイ</t>
    </rPh>
    <phoneticPr fontId="1"/>
  </si>
  <si>
    <t>R1.5〜 広樹(R8.2月35歳)</t>
    <rPh sb="13" eb="14">
      <t>ガツ</t>
    </rPh>
    <rPh sb="16" eb="17">
      <t>サイ</t>
    </rPh>
    <phoneticPr fontId="1"/>
  </si>
  <si>
    <t>行之ｺｳｼ(R8.2月73歳)、博美ﾋﾛﾐ</t>
    <rPh sb="10" eb="11">
      <t>ガツ</t>
    </rPh>
    <rPh sb="13" eb="14">
      <t>サイ</t>
    </rPh>
    <rPh sb="16" eb="18">
      <t>ヒロミ</t>
    </rPh>
    <phoneticPr fontId="1"/>
  </si>
  <si>
    <t>啓次(R8.2月 68歳)</t>
    <rPh sb="7" eb="8">
      <t>ガツ</t>
    </rPh>
    <rPh sb="11" eb="12">
      <t>サイ</t>
    </rPh>
    <phoneticPr fontId="1"/>
  </si>
  <si>
    <t>怜子R8.2月(81)S20.3.10</t>
    <rPh sb="6" eb="7">
      <t>ガツ</t>
    </rPh>
    <phoneticPr fontId="1"/>
  </si>
  <si>
    <t>R3.12月加入//S43.4.23生(57)</t>
    <rPh sb="5" eb="6">
      <t xml:space="preserve">ガツ </t>
    </rPh>
    <rPh sb="6" eb="8">
      <t xml:space="preserve">カニュウ </t>
    </rPh>
    <rPh sb="18" eb="19">
      <t xml:space="preserve">ウマレ </t>
    </rPh>
    <phoneticPr fontId="1"/>
  </si>
  <si>
    <t>正子ﾏｻｺR7(77)S22.7.15 ※留守多し</t>
    <rPh sb="21" eb="23">
      <t>ルス</t>
    </rPh>
    <rPh sb="23" eb="24">
      <t>オオ</t>
    </rPh>
    <phoneticPr fontId="1"/>
  </si>
  <si>
    <t>評議員は「節子」さん　裕介R8.2月(48),節子R7(76)S24.2.27、在彩</t>
    <rPh sb="0" eb="3">
      <t xml:space="preserve">ヒョウギイン </t>
    </rPh>
    <rPh sb="5" eb="7">
      <t>セツコ</t>
    </rPh>
    <rPh sb="17" eb="18">
      <t>ガツ</t>
    </rPh>
    <rPh sb="40" eb="41">
      <t>ア</t>
    </rPh>
    <rPh sb="41" eb="42">
      <t>アヤ</t>
    </rPh>
    <phoneticPr fontId="1"/>
  </si>
  <si>
    <t>由香里r8.2月(42), 梨々華,藍來</t>
    <rPh sb="7" eb="8">
      <t>ガツ</t>
    </rPh>
    <rPh sb="14" eb="15">
      <t>ナシ</t>
    </rPh>
    <rPh sb="16" eb="17">
      <t>ハナ</t>
    </rPh>
    <rPh sb="18" eb="19">
      <t>アイ</t>
    </rPh>
    <rPh sb="19" eb="20">
      <t>ライ</t>
    </rPh>
    <phoneticPr fontId="1"/>
  </si>
  <si>
    <t>評議員は「優子」さん, 義輝R8.2月(52),輝優,哲輝</t>
    <rPh sb="0" eb="3">
      <t xml:space="preserve">ヒョウギイン </t>
    </rPh>
    <rPh sb="5" eb="7">
      <t>ユウコ</t>
    </rPh>
    <rPh sb="18" eb="19">
      <t>ガツ</t>
    </rPh>
    <rPh sb="24" eb="25">
      <t>テル</t>
    </rPh>
    <rPh sb="25" eb="26">
      <t>ユウ</t>
    </rPh>
    <rPh sb="27" eb="28">
      <t>テツ</t>
    </rPh>
    <phoneticPr fontId="1"/>
  </si>
  <si>
    <t>H31.4～(34),涼子,恵梨絵,茉莉恵</t>
    <rPh sb="11" eb="13">
      <t>リョウコ</t>
    </rPh>
    <rPh sb="14" eb="16">
      <t>エリ</t>
    </rPh>
    <rPh sb="16" eb="17">
      <t>エ</t>
    </rPh>
    <rPh sb="18" eb="21">
      <t>マリエ</t>
    </rPh>
    <phoneticPr fontId="1"/>
  </si>
  <si>
    <t>加瀬和子</t>
    <phoneticPr fontId="1"/>
  </si>
  <si>
    <t>勝巳R8.2月(61),H31.4～ 菊池篤子ｱﾂｺR7(82)S18.1.2, 千鶴子,実咲</t>
    <rPh sb="6" eb="7">
      <t>ガツ</t>
    </rPh>
    <rPh sb="41" eb="44">
      <t>チヅコ</t>
    </rPh>
    <rPh sb="45" eb="46">
      <t>ジツ</t>
    </rPh>
    <rPh sb="46" eb="47">
      <t>サ</t>
    </rPh>
    <phoneticPr fontId="1"/>
  </si>
  <si>
    <t>清孝(68)</t>
    <phoneticPr fontId="1"/>
  </si>
  <si>
    <t>範男R8.2月(68),ユキエR7(94)S6.7.28-2025逝去</t>
    <rPh sb="6" eb="7">
      <t>ガツ</t>
    </rPh>
    <rPh sb="33" eb="35">
      <t>セイキョ</t>
    </rPh>
    <phoneticPr fontId="2"/>
  </si>
  <si>
    <t>R5.8月入会 1954.1.6生(72) 三角</t>
    <rPh sb="4" eb="5">
      <t>ガツ</t>
    </rPh>
    <rPh sb="5" eb="7">
      <t>ニュウカイ</t>
    </rPh>
    <rPh sb="16" eb="17">
      <t>ウ</t>
    </rPh>
    <rPh sb="22" eb="24">
      <t>サンカク</t>
    </rPh>
    <phoneticPr fontId="1"/>
  </si>
  <si>
    <t>桑名須美枝 関口香奈R8.2月(64)：090-6047-4874</t>
    <rPh sb="0" eb="2">
      <t>クワナ</t>
    </rPh>
    <rPh sb="2" eb="5">
      <t>スミエ</t>
    </rPh>
    <rPh sb="6" eb="8">
      <t xml:space="preserve">セキグチ </t>
    </rPh>
    <rPh sb="14" eb="15">
      <t>ガツ</t>
    </rPh>
    <phoneticPr fontId="2"/>
  </si>
  <si>
    <t>評議員は「尚子」さん 勲R8.2月(92)S9.1.10</t>
    <rPh sb="0" eb="3">
      <t xml:space="preserve">ヒョウギイン </t>
    </rPh>
    <rPh sb="5" eb="7">
      <t>ナオコ</t>
    </rPh>
    <rPh sb="16" eb="17">
      <t>ガツ</t>
    </rPh>
    <phoneticPr fontId="1"/>
  </si>
  <si>
    <t>秀夫R8.2月(74), 佳子ｹｲｺ</t>
    <rPh sb="6" eb="7">
      <t>ガツ</t>
    </rPh>
    <rPh sb="13" eb="15">
      <t>ヨシコ</t>
    </rPh>
    <phoneticPr fontId="1"/>
  </si>
  <si>
    <t>早苗R8(82)S19.1.2</t>
    <phoneticPr fontId="1"/>
  </si>
  <si>
    <t>米子R8(87)S13.3.29</t>
    <phoneticPr fontId="1"/>
  </si>
  <si>
    <t>拓也1993.7.20生R8(32) 2026.1月加入 ※R8乳児</t>
    <rPh sb="11" eb="12">
      <t>ウ</t>
    </rPh>
    <rPh sb="25" eb="26">
      <t>ガツ</t>
    </rPh>
    <rPh sb="26" eb="28">
      <t>カニュウ</t>
    </rPh>
    <rPh sb="32" eb="34">
      <t>ニュウジ</t>
    </rPh>
    <phoneticPr fontId="1"/>
  </si>
  <si>
    <t>渡邊幾子</t>
    <rPh sb="0" eb="2">
      <t>ワタナベ</t>
    </rPh>
    <phoneticPr fontId="2"/>
  </si>
  <si>
    <t>901号室 渡邊幾子ｲｸｺR8(90)S11.1.5　※長女,葉山在住</t>
    <rPh sb="3" eb="4">
      <t>ゴウ</t>
    </rPh>
    <rPh sb="4" eb="5">
      <t>ムロ</t>
    </rPh>
    <rPh sb="28" eb="30">
      <t>チョウジョ</t>
    </rPh>
    <rPh sb="31" eb="33">
      <t>ハヤマ</t>
    </rPh>
    <rPh sb="33" eb="35">
      <t>ザイジュウ</t>
    </rPh>
    <phoneticPr fontId="2"/>
  </si>
  <si>
    <t>701号室（久貝⇒杉澤）知美R8.2月(58)090-1539-9137</t>
    <rPh sb="3" eb="4">
      <t>ゴウ</t>
    </rPh>
    <rPh sb="4" eb="5">
      <t>ムロ</t>
    </rPh>
    <rPh sb="9" eb="11">
      <t>スギサワ</t>
    </rPh>
    <rPh sb="18" eb="19">
      <t>ガツ</t>
    </rPh>
    <phoneticPr fontId="2"/>
  </si>
  <si>
    <t>702号室　健二R8.2月(73) 明美S14.1.1</t>
    <rPh sb="3" eb="4">
      <t>ゴウ</t>
    </rPh>
    <rPh sb="4" eb="5">
      <t>ムロ</t>
    </rPh>
    <rPh sb="12" eb="13">
      <t>ガツ</t>
    </rPh>
    <rPh sb="18" eb="20">
      <t>アケミ</t>
    </rPh>
    <phoneticPr fontId="2"/>
  </si>
  <si>
    <t>703号室　照男R8.2月(62)</t>
    <rPh sb="3" eb="4">
      <t>ゴウ</t>
    </rPh>
    <rPh sb="4" eb="5">
      <t>ムロ</t>
    </rPh>
    <rPh sb="12" eb="13">
      <t>ガツ</t>
    </rPh>
    <phoneticPr fontId="2"/>
  </si>
  <si>
    <t>601号室　宏子R8.2月(70)</t>
    <rPh sb="3" eb="4">
      <t>ゴウ</t>
    </rPh>
    <rPh sb="4" eb="5">
      <t>ムロ</t>
    </rPh>
    <rPh sb="12" eb="13">
      <t>ガツ</t>
    </rPh>
    <phoneticPr fontId="2"/>
  </si>
  <si>
    <t>603号室　雅浩R8.2月(57),啓子、雅史,里菜</t>
    <rPh sb="3" eb="4">
      <t>ゴウ</t>
    </rPh>
    <rPh sb="4" eb="5">
      <t>ムロ</t>
    </rPh>
    <rPh sb="12" eb="13">
      <t>ガツ</t>
    </rPh>
    <rPh sb="18" eb="20">
      <t>ケイコ</t>
    </rPh>
    <rPh sb="21" eb="22">
      <t>マサシ</t>
    </rPh>
    <rPh sb="22" eb="23">
      <t>シ</t>
    </rPh>
    <rPh sb="24" eb="26">
      <t>リナ</t>
    </rPh>
    <phoneticPr fontId="2"/>
  </si>
  <si>
    <t>201号室　健志R8.2月(42),妻「聖子」さん 2025.10月加入</t>
    <rPh sb="3" eb="4">
      <t>ゴウ</t>
    </rPh>
    <rPh sb="4" eb="5">
      <t>ムロ</t>
    </rPh>
    <rPh sb="12" eb="13">
      <t>ガツ</t>
    </rPh>
    <rPh sb="18" eb="19">
      <t>ツマ</t>
    </rPh>
    <rPh sb="20" eb="22">
      <t>セイコ</t>
    </rPh>
    <rPh sb="33" eb="34">
      <t>ガツ</t>
    </rPh>
    <rPh sb="34" eb="36">
      <t>カニュウ</t>
    </rPh>
    <phoneticPr fontId="2"/>
  </si>
  <si>
    <t>202号室　昭仁R8.2月(65),評議員は「由美子」さん</t>
    <rPh sb="3" eb="4">
      <t>ゴウ</t>
    </rPh>
    <rPh sb="4" eb="5">
      <t>ムロ</t>
    </rPh>
    <rPh sb="12" eb="13">
      <t>ガツ</t>
    </rPh>
    <rPh sb="23" eb="26">
      <t>ユミコ</t>
    </rPh>
    <phoneticPr fontId="2"/>
  </si>
  <si>
    <t>203号室 雨海正男ｱﾏｶﾞｲﾏｻｵR8.2月(74)</t>
    <rPh sb="3" eb="4">
      <t>ゴウ</t>
    </rPh>
    <rPh sb="4" eb="5">
      <t>ムロ</t>
    </rPh>
    <rPh sb="22" eb="23">
      <t>ガツ</t>
    </rPh>
    <phoneticPr fontId="2"/>
  </si>
  <si>
    <t>204号室　博満R8.2月(62)</t>
    <rPh sb="3" eb="4">
      <t>ゴウ</t>
    </rPh>
    <rPh sb="4" eb="5">
      <t>ムロ</t>
    </rPh>
    <rPh sb="12" eb="13">
      <t>ガツ</t>
    </rPh>
    <phoneticPr fontId="2"/>
  </si>
  <si>
    <t>301号室　進R8.2月(56),サチ子、真那斗</t>
    <rPh sb="3" eb="4">
      <t>ゴウ</t>
    </rPh>
    <rPh sb="4" eb="5">
      <t>ムロ</t>
    </rPh>
    <rPh sb="11" eb="12">
      <t>ガツ</t>
    </rPh>
    <rPh sb="19" eb="20">
      <t>コ</t>
    </rPh>
    <rPh sb="21" eb="23">
      <t>マナ</t>
    </rPh>
    <rPh sb="23" eb="24">
      <t>ト</t>
    </rPh>
    <phoneticPr fontId="2"/>
  </si>
  <si>
    <t>杉山政臣</t>
    <rPh sb="0" eb="2">
      <t>スギヤマ</t>
    </rPh>
    <rPh sb="2" eb="3">
      <t>セイ</t>
    </rPh>
    <rPh sb="3" eb="4">
      <t>シン</t>
    </rPh>
    <phoneticPr fontId="2"/>
  </si>
  <si>
    <t>302号室　政臣R8.2月(38), 裕子,ひなた,瑛汰(10),敬汰</t>
    <rPh sb="3" eb="4">
      <t>ゴウ</t>
    </rPh>
    <rPh sb="4" eb="5">
      <t>シツ</t>
    </rPh>
    <rPh sb="6" eb="7">
      <t>セイ</t>
    </rPh>
    <rPh sb="7" eb="8">
      <t>オミ</t>
    </rPh>
    <rPh sb="12" eb="13">
      <t>ガツ</t>
    </rPh>
    <rPh sb="19" eb="21">
      <t>ユウコ</t>
    </rPh>
    <rPh sb="26" eb="27">
      <t>エイ</t>
    </rPh>
    <rPh sb="27" eb="28">
      <t>タ</t>
    </rPh>
    <rPh sb="33" eb="34">
      <t>ウヤマ</t>
    </rPh>
    <rPh sb="34" eb="35">
      <t>タ</t>
    </rPh>
    <phoneticPr fontId="2"/>
  </si>
  <si>
    <t>瑛汰,放課後ひとりのことあり。</t>
    <rPh sb="3" eb="6">
      <t>ホウカゴ</t>
    </rPh>
    <phoneticPr fontId="1"/>
  </si>
  <si>
    <t>303号室　治彦R8.2月(59) R3.評議員は「安岐子」さん, 舜弥,瞭太</t>
    <rPh sb="3" eb="4">
      <t>ゴウ</t>
    </rPh>
    <rPh sb="4" eb="5">
      <t>シツ</t>
    </rPh>
    <rPh sb="12" eb="13">
      <t>ガツ</t>
    </rPh>
    <rPh sb="21" eb="24">
      <t xml:space="preserve">ヒョウギイン </t>
    </rPh>
    <rPh sb="37" eb="39">
      <t>リョウタ</t>
    </rPh>
    <phoneticPr fontId="2"/>
  </si>
  <si>
    <t>304号室　靖子R8.2月(72)</t>
    <rPh sb="3" eb="4">
      <t>ゴウ</t>
    </rPh>
    <rPh sb="4" eb="5">
      <t>シツ</t>
    </rPh>
    <rPh sb="12" eb="13">
      <t>ガツ</t>
    </rPh>
    <phoneticPr fontId="2"/>
  </si>
  <si>
    <t>401号室 正博R8.2月(72)</t>
    <rPh sb="3" eb="4">
      <t>ゴウ</t>
    </rPh>
    <rPh sb="4" eb="5">
      <t>ムロ</t>
    </rPh>
    <rPh sb="12" eb="13">
      <t>ガツ</t>
    </rPh>
    <phoneticPr fontId="2"/>
  </si>
  <si>
    <t>402号室　明良R8.2月(59), 評議員は「知佐子」さん？、珠未</t>
    <rPh sb="3" eb="4">
      <t>ゴウ</t>
    </rPh>
    <rPh sb="4" eb="5">
      <t>ムロ</t>
    </rPh>
    <rPh sb="12" eb="13">
      <t>ガツ</t>
    </rPh>
    <rPh sb="24" eb="25">
      <t>シ</t>
    </rPh>
    <rPh sb="25" eb="26">
      <t>サ</t>
    </rPh>
    <rPh sb="26" eb="27">
      <t>コ</t>
    </rPh>
    <rPh sb="32" eb="33">
      <t>タマ</t>
    </rPh>
    <rPh sb="33" eb="34">
      <t>ミ</t>
    </rPh>
    <phoneticPr fontId="2"/>
  </si>
  <si>
    <t>403号室　耕平R8.2月(41), 知美(080-3525-1135)</t>
    <rPh sb="3" eb="4">
      <t>ゴウ</t>
    </rPh>
    <rPh sb="4" eb="5">
      <t>ムロ</t>
    </rPh>
    <rPh sb="12" eb="13">
      <t>ガツ</t>
    </rPh>
    <rPh sb="19" eb="21">
      <t>トモミ</t>
    </rPh>
    <phoneticPr fontId="2"/>
  </si>
  <si>
    <t>子供留守番あり</t>
    <rPh sb="0" eb="2">
      <t>コドモ</t>
    </rPh>
    <rPh sb="2" eb="5">
      <t>ルスバン</t>
    </rPh>
    <phoneticPr fontId="1"/>
  </si>
  <si>
    <t>404号室　幸男S23.12.23(77)</t>
    <rPh sb="3" eb="4">
      <t>ゴウ</t>
    </rPh>
    <rPh sb="4" eb="5">
      <t>ムロ</t>
    </rPh>
    <phoneticPr fontId="2"/>
  </si>
  <si>
    <t>501号室 良枝S22.12.18(78)</t>
    <rPh sb="3" eb="4">
      <t>ゴウ</t>
    </rPh>
    <rPh sb="4" eb="5">
      <t>ムロ</t>
    </rPh>
    <phoneticPr fontId="2"/>
  </si>
  <si>
    <t>502号室 満R8.2月(49)</t>
    <rPh sb="3" eb="5">
      <t>ゴウシツ</t>
    </rPh>
    <rPh sb="11" eb="12">
      <t>ガツ</t>
    </rPh>
    <phoneticPr fontId="1"/>
  </si>
  <si>
    <t>503号室 智士R8.2月(40)</t>
    <rPh sb="3" eb="5">
      <t>ゴウシツ</t>
    </rPh>
    <rPh sb="12" eb="13">
      <t>ガツ</t>
    </rPh>
    <phoneticPr fontId="1"/>
  </si>
  <si>
    <t>504号室　R.7.3月加入 1964.8.20生(61)</t>
    <rPh sb="3" eb="4">
      <t>ゴウ</t>
    </rPh>
    <rPh sb="4" eb="5">
      <t>ムロ</t>
    </rPh>
    <rPh sb="11" eb="12">
      <t>ガツ</t>
    </rPh>
    <rPh sb="12" eb="14">
      <t>カニュウ</t>
    </rPh>
    <rPh sb="24" eb="25">
      <t>ウ</t>
    </rPh>
    <phoneticPr fontId="2"/>
  </si>
  <si>
    <t>R.4.5月入会　将作R8.2月(44),評議員は「雅子」さん（080-1039-4467）,暖人,理人</t>
    <rPh sb="5" eb="6">
      <t xml:space="preserve">ガツ </t>
    </rPh>
    <rPh sb="6" eb="8">
      <t xml:space="preserve">ニュウカイ </t>
    </rPh>
    <rPh sb="15" eb="16">
      <t>ガツ</t>
    </rPh>
    <rPh sb="26" eb="28">
      <t>マサコ</t>
    </rPh>
    <rPh sb="47" eb="48">
      <t>アタタ</t>
    </rPh>
    <rPh sb="48" eb="49">
      <t>ヒト</t>
    </rPh>
    <rPh sb="50" eb="51">
      <t>リ</t>
    </rPh>
    <rPh sb="51" eb="52">
      <t>ジン</t>
    </rPh>
    <phoneticPr fontId="1"/>
  </si>
  <si>
    <t>章裕R8.2月(40),評議員は「恵」(090-4525-3059)さん 裕翔, 柚芽</t>
    <rPh sb="6" eb="7">
      <t>ガツ</t>
    </rPh>
    <rPh sb="12" eb="15">
      <t xml:space="preserve">ヒョウギイン </t>
    </rPh>
    <rPh sb="17" eb="18">
      <t>メグミ</t>
    </rPh>
    <rPh sb="37" eb="38">
      <t>ユウ</t>
    </rPh>
    <rPh sb="38" eb="39">
      <t>カケル</t>
    </rPh>
    <rPh sb="41" eb="42">
      <t>ユズ</t>
    </rPh>
    <rPh sb="42" eb="43">
      <t>メ</t>
    </rPh>
    <phoneticPr fontId="1"/>
  </si>
  <si>
    <t>正行R8.2月(66), 紀子R7(70以上)</t>
    <rPh sb="6" eb="7">
      <t>ガツ</t>
    </rPh>
    <rPh sb="13" eb="15">
      <t>ノリコ</t>
    </rPh>
    <rPh sb="20" eb="22">
      <t>イジョウ</t>
    </rPh>
    <phoneticPr fontId="1"/>
  </si>
  <si>
    <t>眞由美R8.2月(67), 正子ﾏｻｺR7(92)S7.10.23-2025逝去</t>
    <rPh sb="7" eb="8">
      <t>ガツ</t>
    </rPh>
    <rPh sb="38" eb="40">
      <t>セイキョ</t>
    </rPh>
    <phoneticPr fontId="1"/>
  </si>
  <si>
    <t>春香R8.2月(28), R.5.10月入会 千和子ﾁﾜｺR7(84)S16.7.15</t>
    <rPh sb="6" eb="7">
      <t>ガツ</t>
    </rPh>
    <rPh sb="19" eb="20">
      <t>ガツ</t>
    </rPh>
    <rPh sb="20" eb="22">
      <t>ニュウカイ</t>
    </rPh>
    <phoneticPr fontId="1"/>
  </si>
  <si>
    <t>嘉久也R8.2月(50),2018.7-　評議員は「文代」さん　然太、心菜</t>
    <rPh sb="7" eb="8">
      <t>ガツ</t>
    </rPh>
    <rPh sb="32" eb="33">
      <t>ゼン</t>
    </rPh>
    <rPh sb="33" eb="34">
      <t>タ</t>
    </rPh>
    <rPh sb="35" eb="37">
      <t>ココナ</t>
    </rPh>
    <phoneticPr fontId="1"/>
  </si>
  <si>
    <t>誠R8(84)S17.1.27・邦世ｲｸﾖ(79)S20.11.8</t>
    <phoneticPr fontId="1"/>
  </si>
  <si>
    <t>上田隆</t>
    <rPh sb="0" eb="2">
      <t>ウエダ</t>
    </rPh>
    <rPh sb="2" eb="3">
      <t>タカシ</t>
    </rPh>
    <phoneticPr fontId="2"/>
  </si>
  <si>
    <t>隆R8.2月(63), 2025.5月18日 千代さん逝去</t>
    <rPh sb="5" eb="6">
      <t>ガツ</t>
    </rPh>
    <rPh sb="18" eb="19">
      <t>ガツ</t>
    </rPh>
    <rPh sb="21" eb="22">
      <t>ニチ</t>
    </rPh>
    <rPh sb="27" eb="29">
      <t>セイキョ</t>
    </rPh>
    <phoneticPr fontId="1"/>
  </si>
  <si>
    <t>2021.11.19洋吉さん逝去 初枝R8(78)S22.11.5</t>
    <phoneticPr fontId="1"/>
  </si>
  <si>
    <t>潤子R8.2月(61), 2019光太郎さん逝去</t>
    <rPh sb="6" eb="7">
      <t>ガツ</t>
    </rPh>
    <phoneticPr fontId="1"/>
  </si>
  <si>
    <t>シズエR8(82)S18.12.15</t>
    <phoneticPr fontId="1"/>
  </si>
  <si>
    <t>晴夫(88)S13.1.15・正子(83)S17.4.8</t>
    <phoneticPr fontId="1"/>
  </si>
  <si>
    <t>耳が遠く、介助なしでは歩行困難</t>
    <rPh sb="0" eb="1">
      <t>ミミ</t>
    </rPh>
    <rPh sb="2" eb="3">
      <t>トオ</t>
    </rPh>
    <rPh sb="5" eb="7">
      <t>カイジョ</t>
    </rPh>
    <rPh sb="11" eb="13">
      <t>ホコウ</t>
    </rPh>
    <rPh sb="13" eb="15">
      <t>コンナン</t>
    </rPh>
    <phoneticPr fontId="1"/>
  </si>
  <si>
    <t>誠R8.2月(52), 評議員は「友美」さん, 風摩,竜騎,一颯</t>
    <rPh sb="5" eb="6">
      <t>ガツ</t>
    </rPh>
    <rPh sb="17" eb="19">
      <t>トモミ</t>
    </rPh>
    <rPh sb="24" eb="25">
      <t>カゼ</t>
    </rPh>
    <rPh sb="25" eb="26">
      <t>マ</t>
    </rPh>
    <rPh sb="27" eb="28">
      <t>リュウ</t>
    </rPh>
    <rPh sb="30" eb="31">
      <t>イチ</t>
    </rPh>
    <phoneticPr fontId="1"/>
  </si>
  <si>
    <t>豊美R8(66)</t>
    <phoneticPr fontId="1"/>
  </si>
  <si>
    <t>2024.8.4初枝さん逝去88歳 ※初枝の長男 智R8.2月(60)</t>
    <rPh sb="12" eb="14">
      <t>セイキョ</t>
    </rPh>
    <rPh sb="16" eb="17">
      <t>サイ</t>
    </rPh>
    <rPh sb="22" eb="24">
      <t>チョウナン</t>
    </rPh>
    <rPh sb="30" eb="31">
      <t>ガツ</t>
    </rPh>
    <phoneticPr fontId="1"/>
  </si>
  <si>
    <t>R8(83)</t>
    <phoneticPr fontId="1"/>
  </si>
  <si>
    <t>誠R8(76)</t>
    <phoneticPr fontId="1"/>
  </si>
  <si>
    <t>英弼ｴｲｽｹR8(83)・アヤ子(77)</t>
    <phoneticPr fontId="1"/>
  </si>
  <si>
    <t>R4.4月雄一さん逝去 三七子R8.2月(73)</t>
    <rPh sb="19" eb="20">
      <t>ガツ</t>
    </rPh>
    <phoneticPr fontId="1"/>
  </si>
  <si>
    <t>雅光R8.2月(70)</t>
    <rPh sb="6" eb="7">
      <t>ガツ</t>
    </rPh>
    <phoneticPr fontId="1"/>
  </si>
  <si>
    <t>鹿野ｼｶﾉ　玲子R8(87)</t>
    <rPh sb="6" eb="8">
      <t>レイコ</t>
    </rPh>
    <phoneticPr fontId="1"/>
  </si>
  <si>
    <t>黒部隼斗</t>
    <rPh sb="0" eb="2">
      <t>クロベ</t>
    </rPh>
    <rPh sb="2" eb="4">
      <t>ハヤト</t>
    </rPh>
    <phoneticPr fontId="2"/>
  </si>
  <si>
    <t>隼斗R8.2月(43),評議員「綾」、太陽、ひまわり</t>
    <rPh sb="0" eb="1">
      <t>ハヤブサ</t>
    </rPh>
    <rPh sb="6" eb="7">
      <t>ガツ</t>
    </rPh>
    <rPh sb="12" eb="15">
      <t>ヒョウギイン</t>
    </rPh>
    <rPh sb="16" eb="17">
      <t>アヤ</t>
    </rPh>
    <rPh sb="19" eb="21">
      <t>タイヨウ</t>
    </rPh>
    <phoneticPr fontId="1"/>
  </si>
  <si>
    <t>忠夫R8(78)、眞理子</t>
    <rPh sb="9" eb="12">
      <t>マリコ</t>
    </rPh>
    <phoneticPr fontId="1"/>
  </si>
  <si>
    <t>純一R8.2月(84)・外茂子ﾄﾓｺ(75)</t>
    <rPh sb="6" eb="7">
      <t>ガツ</t>
    </rPh>
    <phoneticPr fontId="1"/>
  </si>
  <si>
    <t>之裕R8.2月(51), 080-8013-0897</t>
    <rPh sb="6" eb="7">
      <t>ガツ</t>
    </rPh>
    <phoneticPr fontId="1"/>
  </si>
  <si>
    <t>2023.3.31 恭久さん逝去 弘子R8.2月(81)</t>
    <rPh sb="23" eb="24">
      <t>ガツ</t>
    </rPh>
    <phoneticPr fontId="1"/>
  </si>
  <si>
    <t>伸成ﾉﾌﾞｼｹﾞR8(82)、晃子(80)、有美、茉優</t>
    <rPh sb="22" eb="24">
      <t>ユミ</t>
    </rPh>
    <rPh sb="25" eb="27">
      <t>マユ</t>
    </rPh>
    <phoneticPr fontId="1"/>
  </si>
  <si>
    <t>1981.7.23生(44)、評議員は「舞」さん（090-8962-3594）。苺花</t>
    <rPh sb="9" eb="10">
      <t>ウ</t>
    </rPh>
    <rPh sb="15" eb="18">
      <t>ヒョウギイン</t>
    </rPh>
    <rPh sb="20" eb="21">
      <t>マイ</t>
    </rPh>
    <rPh sb="40" eb="41">
      <t>イチゴ</t>
    </rPh>
    <rPh sb="41" eb="42">
      <t>ハナ</t>
    </rPh>
    <phoneticPr fontId="1"/>
  </si>
  <si>
    <t>文子R7(97？)R8.2月(92)</t>
    <rPh sb="13" eb="14">
      <t>ガツ</t>
    </rPh>
    <phoneticPr fontId="1"/>
  </si>
  <si>
    <t>評議員は(同居人)伊藤育伸さん。伊藤さん携帯 ツルR8(92)</t>
    <rPh sb="5" eb="7">
      <t>ドウキョ</t>
    </rPh>
    <rPh sb="7" eb="8">
      <t>ニン</t>
    </rPh>
    <rPh sb="9" eb="11">
      <t>イトウ</t>
    </rPh>
    <rPh sb="11" eb="12">
      <t>イク</t>
    </rPh>
    <rPh sb="12" eb="13">
      <t>シン</t>
    </rPh>
    <rPh sb="16" eb="18">
      <t>イトウ</t>
    </rPh>
    <rPh sb="20" eb="22">
      <t>ケイタイ</t>
    </rPh>
    <phoneticPr fontId="1"/>
  </si>
  <si>
    <t>日中、家族は仕事のため不在</t>
    <rPh sb="0" eb="2">
      <t>ニッチュウ</t>
    </rPh>
    <rPh sb="3" eb="5">
      <t>カゾク</t>
    </rPh>
    <rPh sb="6" eb="8">
      <t>シゴト</t>
    </rPh>
    <rPh sb="11" eb="13">
      <t>フザイ</t>
    </rPh>
    <phoneticPr fontId="1"/>
  </si>
  <si>
    <t>則篤R8.2月(61)</t>
    <rPh sb="6" eb="7">
      <t>ガツ</t>
    </rPh>
    <phoneticPr fontId="1"/>
  </si>
  <si>
    <t>千恵子R8.2月(63)</t>
    <rPh sb="7" eb="8">
      <t>ガツ</t>
    </rPh>
    <phoneticPr fontId="1"/>
  </si>
  <si>
    <t>厚R8.2月(60), 評議員は「ゆみ」さん (0383 or 3363)</t>
    <rPh sb="5" eb="6">
      <t>ガツ</t>
    </rPh>
    <phoneticPr fontId="2"/>
  </si>
  <si>
    <t>進R8(79)、久美子(78)</t>
    <phoneticPr fontId="1"/>
  </si>
  <si>
    <t>長谷部が同居　昶美ﾃﾙﾐR8(82)敬老対象</t>
    <rPh sb="0" eb="3">
      <t>ハセベ</t>
    </rPh>
    <rPh sb="4" eb="6">
      <t>ドウキョ</t>
    </rPh>
    <phoneticPr fontId="2"/>
  </si>
  <si>
    <t>一久R8.2月(75)</t>
    <rPh sb="6" eb="7">
      <t>ガツ</t>
    </rPh>
    <phoneticPr fontId="1"/>
  </si>
  <si>
    <t>佳江R8.2月（83）</t>
    <rPh sb="6" eb="7">
      <t>ガツ</t>
    </rPh>
    <phoneticPr fontId="1"/>
  </si>
  <si>
    <t>孝史R8.2月（76）</t>
    <rPh sb="6" eb="7">
      <t>ガツ</t>
    </rPh>
    <phoneticPr fontId="1"/>
  </si>
  <si>
    <t>佐藤元信</t>
    <rPh sb="0" eb="2">
      <t>サトウ</t>
    </rPh>
    <rPh sb="2" eb="4">
      <t>モトノブ</t>
    </rPh>
    <phoneticPr fontId="2"/>
  </si>
  <si>
    <t>元信R8.2月(56), 和朗ｶｽﾞﾛｳR8逝去、順子ﾖﾘｺ</t>
    <rPh sb="6" eb="7">
      <t>ガツ</t>
    </rPh>
    <rPh sb="22" eb="24">
      <t>セイキョ</t>
    </rPh>
    <phoneticPr fontId="1"/>
  </si>
  <si>
    <t>晃R8.2月(73)</t>
    <rPh sb="5" eb="6">
      <t>ガツ</t>
    </rPh>
    <phoneticPr fontId="1"/>
  </si>
  <si>
    <t>2022-1210 浩さん逝去 眞寿美R8.2月(67)</t>
    <rPh sb="13" eb="15">
      <t>セイキョ</t>
    </rPh>
    <rPh sb="23" eb="24">
      <t>ガツ</t>
    </rPh>
    <phoneticPr fontId="1"/>
  </si>
  <si>
    <t>水内房江</t>
    <rPh sb="0" eb="2">
      <t>ミズウチ</t>
    </rPh>
    <phoneticPr fontId="2"/>
  </si>
  <si>
    <t>鶴男、房江R8.2月(92)</t>
    <rPh sb="9" eb="10">
      <t>ガツ</t>
    </rPh>
    <phoneticPr fontId="1"/>
  </si>
  <si>
    <t>巧R8(76)</t>
    <phoneticPr fontId="1"/>
  </si>
  <si>
    <t>治R8.2月(79)</t>
    <rPh sb="5" eb="6">
      <t>ガツ</t>
    </rPh>
    <phoneticPr fontId="1"/>
  </si>
  <si>
    <t>義治R8.2月(56), 典子、完久朗</t>
    <rPh sb="6" eb="7">
      <t>ガツ</t>
    </rPh>
    <rPh sb="13" eb="15">
      <t>ノリコ</t>
    </rPh>
    <rPh sb="16" eb="17">
      <t>カン</t>
    </rPh>
    <rPh sb="17" eb="18">
      <t>ヒサシ</t>
    </rPh>
    <rPh sb="18" eb="19">
      <t>ロウ</t>
    </rPh>
    <phoneticPr fontId="1"/>
  </si>
  <si>
    <t>R7?秀五郎逝去 スヱ子R8.2月(84)</t>
    <rPh sb="6" eb="8">
      <t>セイキョ</t>
    </rPh>
    <rPh sb="16" eb="17">
      <t>ガツ</t>
    </rPh>
    <phoneticPr fontId="1"/>
  </si>
  <si>
    <t>一人暮らし</t>
    <rPh sb="0" eb="2">
      <t>ヒトリ</t>
    </rPh>
    <rPh sb="2" eb="3">
      <t>グ</t>
    </rPh>
    <phoneticPr fontId="1"/>
  </si>
  <si>
    <t>由利子R8.2月(78)</t>
    <rPh sb="7" eb="8">
      <t>ガツ</t>
    </rPh>
    <phoneticPr fontId="1"/>
  </si>
  <si>
    <t>京子R8.2月(89)</t>
    <rPh sb="6" eb="7">
      <t>ガツ</t>
    </rPh>
    <phoneticPr fontId="1"/>
  </si>
  <si>
    <t>エイ子R8.2月(89)</t>
    <rPh sb="7" eb="8">
      <t>ガツ</t>
    </rPh>
    <phoneticPr fontId="1"/>
  </si>
  <si>
    <t>H7.6.28生(30)</t>
    <rPh sb="7" eb="8">
      <t>ウ</t>
    </rPh>
    <phoneticPr fontId="1"/>
  </si>
  <si>
    <t>小学生1,未就学児1</t>
    <rPh sb="0" eb="3">
      <t>ショウガクセイ</t>
    </rPh>
    <rPh sb="5" eb="9">
      <t>ミシュウガクジ</t>
    </rPh>
    <phoneticPr fontId="1"/>
  </si>
  <si>
    <t>明子R8.2月(86)</t>
    <rPh sb="6" eb="7">
      <t>ガツ</t>
    </rPh>
    <phoneticPr fontId="1"/>
  </si>
  <si>
    <t>由美子R8.2月(60)</t>
    <phoneticPr fontId="1"/>
  </si>
  <si>
    <t>成穂ｼｹﾞｵR8.2月(77)・年子ﾄｼｺ(74)</t>
    <rPh sb="10" eb="11">
      <t>ガツ</t>
    </rPh>
    <phoneticPr fontId="1"/>
  </si>
  <si>
    <t>純久ｽﾐﾋｻR8.2月(76)</t>
    <rPh sb="10" eb="11">
      <t>ガツ</t>
    </rPh>
    <phoneticPr fontId="1"/>
  </si>
  <si>
    <t>六平R8(84)・ノリ子(80)</t>
    <phoneticPr fontId="1"/>
  </si>
  <si>
    <t>弘R8.2月(84)、晃子ﾃﾙｺ(80)</t>
    <rPh sb="5" eb="6">
      <t>ガツ</t>
    </rPh>
    <phoneticPr fontId="1"/>
  </si>
  <si>
    <t>信子R8(77)</t>
    <phoneticPr fontId="1"/>
  </si>
  <si>
    <t>俊郎R8(78)、法子（?)</t>
    <rPh sb="9" eb="11">
      <t>ノリコ</t>
    </rPh>
    <phoneticPr fontId="1"/>
  </si>
  <si>
    <t>一樹R8.2月(59),評議員は「千春」さん 静江R7(86)</t>
    <rPh sb="6" eb="7">
      <t>ガツ</t>
    </rPh>
    <rPh sb="17" eb="19">
      <t>チハル</t>
    </rPh>
    <phoneticPr fontId="1"/>
  </si>
  <si>
    <t>義明R8(83)、石橋勇哉(861-8450),千夏,日葵,英汰</t>
    <rPh sb="9" eb="11">
      <t>イシバシ</t>
    </rPh>
    <rPh sb="11" eb="12">
      <t>イサム</t>
    </rPh>
    <rPh sb="24" eb="26">
      <t>チナツ</t>
    </rPh>
    <rPh sb="27" eb="29">
      <t>ヒマリ</t>
    </rPh>
    <rPh sb="30" eb="31">
      <t>エイ</t>
    </rPh>
    <rPh sb="31" eb="32">
      <t>タ</t>
    </rPh>
    <phoneticPr fontId="1"/>
  </si>
  <si>
    <t>2019幸男さん逝去, 2025(1月)薫子さん逝去 忠幸R8.2月(53)</t>
    <rPh sb="18" eb="19">
      <t>ガツ</t>
    </rPh>
    <rPh sb="24" eb="26">
      <t>セイキョ</t>
    </rPh>
    <rPh sb="33" eb="34">
      <t>ガツ</t>
    </rPh>
    <phoneticPr fontId="1"/>
  </si>
  <si>
    <t>つるゑR8.2月(94)</t>
    <rPh sb="7" eb="8">
      <t>ガツ</t>
    </rPh>
    <phoneticPr fontId="1"/>
  </si>
  <si>
    <t>2019修さん逝去　眞弓R8.2月(72)</t>
    <rPh sb="16" eb="17">
      <t>ガツ</t>
    </rPh>
    <phoneticPr fontId="1"/>
  </si>
  <si>
    <t>声をかけてほしい</t>
    <rPh sb="0" eb="1">
      <t>コエ</t>
    </rPh>
    <phoneticPr fontId="1"/>
  </si>
  <si>
    <t>須藤滉ﾀｹｼR7(89)　武R8.2月(58)</t>
    <rPh sb="0" eb="2">
      <t>スドウ</t>
    </rPh>
    <rPh sb="2" eb="3">
      <t>ヒロシ</t>
    </rPh>
    <rPh sb="18" eb="19">
      <t>ガツ</t>
    </rPh>
    <phoneticPr fontId="2"/>
  </si>
  <si>
    <t>憲治R8.2月(55)</t>
    <rPh sb="6" eb="7">
      <t>ガツ</t>
    </rPh>
    <phoneticPr fontId="1"/>
  </si>
  <si>
    <t>R3.評議員は「光枝」さん 光枝R8(97)　8486 or 8468</t>
    <rPh sb="3" eb="6">
      <t xml:space="preserve">ヒョウギイン </t>
    </rPh>
    <phoneticPr fontId="1"/>
  </si>
  <si>
    <t>千賀子R8(78),鈴木聡R8(52)・里江・渓舵, 海帆</t>
    <rPh sb="20" eb="22">
      <t>リエ</t>
    </rPh>
    <rPh sb="23" eb="24">
      <t>タニ</t>
    </rPh>
    <rPh sb="24" eb="25">
      <t>カジ</t>
    </rPh>
    <rPh sb="27" eb="29">
      <t>ウミホ</t>
    </rPh>
    <phoneticPr fontId="1"/>
  </si>
  <si>
    <t>真一R8(52),評議員は「まゆ子」さん, 滉人, 睦希</t>
    <rPh sb="9" eb="12">
      <t xml:space="preserve">ヒョウギイン </t>
    </rPh>
    <rPh sb="16" eb="17">
      <t>コ</t>
    </rPh>
    <rPh sb="22" eb="24">
      <t>ヒロト</t>
    </rPh>
    <rPh sb="26" eb="27">
      <t>ムツ</t>
    </rPh>
    <rPh sb="27" eb="28">
      <t>キ</t>
    </rPh>
    <phoneticPr fontId="1"/>
  </si>
  <si>
    <t>世帯主：中村雅紀➡中島祐子R8(50),花鈴</t>
    <rPh sb="0" eb="3">
      <t>セタイヌシ</t>
    </rPh>
    <rPh sb="9" eb="11">
      <t>ナカジマ</t>
    </rPh>
    <rPh sb="11" eb="13">
      <t>ユウコ</t>
    </rPh>
    <rPh sb="20" eb="21">
      <t>ハナ</t>
    </rPh>
    <rPh sb="21" eb="22">
      <t>スズ</t>
    </rPh>
    <phoneticPr fontId="1"/>
  </si>
  <si>
    <t>←妻、090-1263-4293←夫.剛士(30)（H7.11.16生) 2025.9月加入</t>
    <rPh sb="1" eb="2">
      <t>ツマ</t>
    </rPh>
    <rPh sb="17" eb="18">
      <t>オット</t>
    </rPh>
    <rPh sb="34" eb="35">
      <t>ウ</t>
    </rPh>
    <rPh sb="43" eb="44">
      <t>ガツ</t>
    </rPh>
    <rPh sb="44" eb="46">
      <t>カニュウ</t>
    </rPh>
    <phoneticPr fontId="1"/>
  </si>
  <si>
    <t>三浦寿代</t>
    <rPh sb="0" eb="2">
      <t>ミウラ</t>
    </rPh>
    <rPh sb="2" eb="4">
      <t>ヒサヨ</t>
    </rPh>
    <phoneticPr fontId="2"/>
  </si>
  <si>
    <t>豊治？　寿代R8(63)</t>
    <phoneticPr fontId="1"/>
  </si>
  <si>
    <t>6－20－36? 杉本追記 美治R8(66)</t>
    <rPh sb="9" eb="11">
      <t>スギモト</t>
    </rPh>
    <rPh sb="11" eb="13">
      <t>ツイキ</t>
    </rPh>
    <phoneticPr fontId="1"/>
  </si>
  <si>
    <t>H29.4(79)～ 046-854-9786 同居佐藤たい子R7(93)S6.11.6</t>
    <rPh sb="24" eb="26">
      <t>ドウキョ</t>
    </rPh>
    <phoneticPr fontId="1"/>
  </si>
  <si>
    <t>H29.4～ 聰ｻﾄｼ S17.11.16(84)</t>
    <phoneticPr fontId="1"/>
  </si>
  <si>
    <t>正(R8.2月 62才)R3.評議員は「しのぶ」さん</t>
    <rPh sb="6" eb="7">
      <t>ガツ</t>
    </rPh>
    <rPh sb="10" eb="11">
      <t>サイ</t>
    </rPh>
    <rPh sb="15" eb="18">
      <t xml:space="preserve">ヒョウギイイｎ </t>
    </rPh>
    <phoneticPr fontId="1"/>
  </si>
  <si>
    <t>正士ﾏｻｼ R8.2月(81)S19.3.31, 真美,妃由</t>
    <rPh sb="10" eb="11">
      <t>ガツ</t>
    </rPh>
    <rPh sb="25" eb="27">
      <t>マミ</t>
    </rPh>
    <rPh sb="28" eb="29">
      <t>キサキ</t>
    </rPh>
    <rPh sb="29" eb="30">
      <t>ヨシ</t>
    </rPh>
    <phoneticPr fontId="1"/>
  </si>
  <si>
    <t>芳朗ﾖｼﾛｳ R8.2月(75)</t>
    <rPh sb="11" eb="12">
      <t>ガツ</t>
    </rPh>
    <phoneticPr fontId="1"/>
  </si>
  <si>
    <t>治子ﾊﾙｺ R8.2月(81)S19.8.24</t>
    <rPh sb="10" eb="11">
      <t>ガツ</t>
    </rPh>
    <phoneticPr fontId="1"/>
  </si>
  <si>
    <t>進 R8.2月(78)S23.2.23</t>
    <rPh sb="6" eb="7">
      <t>ガツ</t>
    </rPh>
    <phoneticPr fontId="1"/>
  </si>
  <si>
    <t>勇R8.2月(79)S21.8.4、ヨシ子(93)S6.1.2</t>
    <rPh sb="5" eb="6">
      <t>ガツ</t>
    </rPh>
    <phoneticPr fontId="1"/>
  </si>
  <si>
    <t>康弘ﾔｽﾋﾛR8.2月(82)S18.8.18、秀子ﾋﾃﾞｺ(79)S22.1.22</t>
    <rPh sb="10" eb="11">
      <t>ガツ</t>
    </rPh>
    <phoneticPr fontId="1"/>
  </si>
  <si>
    <t>慎一R7(78)S22.4.25 親弘(R8.2月45歳, 090-7225-8149)敏恵,慎太郎,光次郎</t>
    <rPh sb="24" eb="25">
      <t>ガツ</t>
    </rPh>
    <rPh sb="27" eb="28">
      <t>サイ</t>
    </rPh>
    <rPh sb="44" eb="46">
      <t>トシエ</t>
    </rPh>
    <rPh sb="47" eb="48">
      <t>シン</t>
    </rPh>
    <rPh sb="48" eb="50">
      <t>タロウ</t>
    </rPh>
    <rPh sb="51" eb="52">
      <t>ヒカリ</t>
    </rPh>
    <rPh sb="52" eb="54">
      <t>ジロウ</t>
    </rPh>
    <phoneticPr fontId="1"/>
  </si>
  <si>
    <t>中村太一　店舗</t>
    <rPh sb="0" eb="2">
      <t>ナカムラ</t>
    </rPh>
    <rPh sb="2" eb="4">
      <t>タイチ</t>
    </rPh>
    <phoneticPr fontId="2"/>
  </si>
  <si>
    <t>中村修一R8.2月(77)S23.10.15　店舗</t>
    <rPh sb="8" eb="9">
      <t>ガツ</t>
    </rPh>
    <rPh sb="23" eb="25">
      <t>テンポ</t>
    </rPh>
    <phoneticPr fontId="1"/>
  </si>
  <si>
    <t>明R8.2月(75)、満貴子ﾏｷｺ(?),均(090-9305-5987)梢(080-5078-6336),光,匠,楓</t>
    <rPh sb="5" eb="6">
      <t>ガツ</t>
    </rPh>
    <rPh sb="11" eb="12">
      <t>マン</t>
    </rPh>
    <rPh sb="12" eb="14">
      <t>タカコ</t>
    </rPh>
    <rPh sb="21" eb="22">
      <t>ヒトシ</t>
    </rPh>
    <rPh sb="37" eb="38">
      <t>コズエ</t>
    </rPh>
    <rPh sb="54" eb="55">
      <t>ヒカリ</t>
    </rPh>
    <rPh sb="56" eb="57">
      <t>タクミ</t>
    </rPh>
    <rPh sb="58" eb="59">
      <t>カエデ</t>
    </rPh>
    <phoneticPr fontId="1"/>
  </si>
  <si>
    <t>松本秀雄R8.2月(56)</t>
    <rPh sb="0" eb="2">
      <t>マツモト</t>
    </rPh>
    <rPh sb="2" eb="4">
      <t>ヒデオ</t>
    </rPh>
    <rPh sb="8" eb="9">
      <t>ガツ</t>
    </rPh>
    <phoneticPr fontId="2"/>
  </si>
  <si>
    <t>R7.4加入 1998.5月生(27)（橘鷹さん孫）愛海,ひまり</t>
    <rPh sb="4" eb="6">
      <t>カニュウ</t>
    </rPh>
    <rPh sb="13" eb="14">
      <t>ガツ</t>
    </rPh>
    <rPh sb="14" eb="15">
      <t>ウ</t>
    </rPh>
    <rPh sb="21" eb="22">
      <t>タカ</t>
    </rPh>
    <rPh sb="26" eb="27">
      <t>アイ</t>
    </rPh>
    <rPh sb="27" eb="28">
      <t>ウミ</t>
    </rPh>
    <phoneticPr fontId="1"/>
  </si>
  <si>
    <t>弘明R8.2月(70), 正子, 評議員は「道子」さん？</t>
    <rPh sb="0" eb="2">
      <t>ヒロアキ</t>
    </rPh>
    <rPh sb="6" eb="7">
      <t>ガツ</t>
    </rPh>
    <rPh sb="22" eb="24">
      <t>ミチコ</t>
    </rPh>
    <phoneticPr fontId="1"/>
  </si>
  <si>
    <t>宮野弘明</t>
    <rPh sb="0" eb="2">
      <t>ミヤノ</t>
    </rPh>
    <phoneticPr fontId="2"/>
  </si>
  <si>
    <t>齋藤智子</t>
    <rPh sb="0" eb="2">
      <t>サイトウ</t>
    </rPh>
    <phoneticPr fontId="2"/>
  </si>
  <si>
    <t>R3.評議員は「智子R8.2月(72)」さん 良一R7(75)逝去</t>
    <rPh sb="3" eb="6">
      <t xml:space="preserve">ヒョウギイン </t>
    </rPh>
    <rPh sb="14" eb="15">
      <t>ガツ</t>
    </rPh>
    <rPh sb="31" eb="33">
      <t>セイキョ</t>
    </rPh>
    <phoneticPr fontId="1"/>
  </si>
  <si>
    <t>訪問土日希望</t>
    <rPh sb="0" eb="2">
      <t>ホウモン</t>
    </rPh>
    <rPh sb="2" eb="4">
      <t>ドニチ</t>
    </rPh>
    <rPh sb="4" eb="6">
      <t>キボウ</t>
    </rPh>
    <phoneticPr fontId="1"/>
  </si>
  <si>
    <r>
      <t xml:space="preserve">「順子=ノブコ」順子R7(88)S12.7.26 </t>
    </r>
    <r>
      <rPr>
        <sz val="11"/>
        <rFont val="BIZ UDゴシック"/>
        <family val="3"/>
        <charset val="128"/>
      </rPr>
      <t>ホーム入居R8.3月～</t>
    </r>
    <rPh sb="28" eb="30">
      <t>ニュウキョ</t>
    </rPh>
    <rPh sb="34" eb="35">
      <t>ガツ</t>
    </rPh>
    <phoneticPr fontId="1"/>
  </si>
  <si>
    <t>駒寄町内会　Ｒ８要支援者名簿　(2026年03月07日現在)</t>
    <rPh sb="0" eb="2">
      <t>コマヨセ</t>
    </rPh>
    <rPh sb="2" eb="4">
      <t>チョウナイ</t>
    </rPh>
    <rPh sb="4" eb="5">
      <t>カイ</t>
    </rPh>
    <rPh sb="8" eb="9">
      <t>ヨウ</t>
    </rPh>
    <rPh sb="9" eb="12">
      <t>シエンシャ</t>
    </rPh>
    <rPh sb="12" eb="14">
      <t>メイボ</t>
    </rPh>
    <rPh sb="20" eb="21">
      <t>ネン</t>
    </rPh>
    <rPh sb="23" eb="24">
      <t>ツキ</t>
    </rPh>
    <rPh sb="26" eb="27">
      <t>ニチ</t>
    </rPh>
    <rPh sb="27" eb="29">
      <t>ゲンザイ</t>
    </rPh>
    <phoneticPr fontId="1"/>
  </si>
  <si>
    <t>子供留守番あり</t>
    <rPh sb="0" eb="2">
      <t>コドモ</t>
    </rPh>
    <rPh sb="2" eb="5">
      <t>ルスバン</t>
    </rPh>
    <phoneticPr fontId="2"/>
  </si>
  <si>
    <t>瑛汰,放課後ひとり</t>
    <phoneticPr fontId="2"/>
  </si>
  <si>
    <t>耳が遠く、介助なしでは歩行困難</t>
    <rPh sb="0" eb="1">
      <t>ミミ</t>
    </rPh>
    <rPh sb="2" eb="3">
      <t>トオ</t>
    </rPh>
    <rPh sb="5" eb="7">
      <t>カイジョ</t>
    </rPh>
    <rPh sb="11" eb="13">
      <t>ホコウ</t>
    </rPh>
    <rPh sb="13" eb="15">
      <t>コンナン</t>
    </rPh>
    <phoneticPr fontId="2"/>
  </si>
  <si>
    <t>日中、家族は仕事のため不在</t>
    <rPh sb="0" eb="2">
      <t>ニッチュウ</t>
    </rPh>
    <rPh sb="3" eb="5">
      <t>カゾク</t>
    </rPh>
    <rPh sb="6" eb="8">
      <t>シゴト</t>
    </rPh>
    <rPh sb="11" eb="13">
      <t>フザイ</t>
    </rPh>
    <phoneticPr fontId="2"/>
  </si>
  <si>
    <t>一人暮らし</t>
    <rPh sb="0" eb="2">
      <t>ヒトリ</t>
    </rPh>
    <rPh sb="2" eb="3">
      <t>グ</t>
    </rPh>
    <phoneticPr fontId="2"/>
  </si>
  <si>
    <t>小学生1,未就学児1</t>
    <rPh sb="0" eb="3">
      <t>ショウガクセイ</t>
    </rPh>
    <rPh sb="5" eb="9">
      <t>ミシュウガクジ</t>
    </rPh>
    <phoneticPr fontId="2"/>
  </si>
  <si>
    <t>声をかけてほしい</t>
    <rPh sb="0" eb="1">
      <t>コエ</t>
    </rPh>
    <phoneticPr fontId="2"/>
  </si>
  <si>
    <t>基本情報</t>
    <rPh sb="0" eb="2">
      <t>キホン</t>
    </rPh>
    <rPh sb="2" eb="4">
      <t>ジョウホウ</t>
    </rPh>
    <phoneticPr fontId="2"/>
  </si>
  <si>
    <t>信行(79) 同居:佐藤たい子(94)</t>
    <rPh sb="7" eb="9">
      <t>ドウキョ</t>
    </rPh>
    <phoneticPr fontId="1"/>
  </si>
  <si>
    <t>芳朗ﾖｼﾛｳ(75)</t>
    <phoneticPr fontId="1"/>
  </si>
  <si>
    <t>ﾊｼﾞﾒ(77)、幸子(80)、徹(?)</t>
    <rPh sb="16" eb="17">
      <t>トオル</t>
    </rPh>
    <phoneticPr fontId="1"/>
  </si>
  <si>
    <t>ﾏｻｼ(78)、清美(?)</t>
    <rPh sb="8" eb="10">
      <t>キヨミ</t>
    </rPh>
    <phoneticPr fontId="1"/>
  </si>
  <si>
    <t>和枝(80)、礼子(78)</t>
    <phoneticPr fontId="1"/>
  </si>
  <si>
    <t>由香里, 梨々華, 藍來</t>
    <rPh sb="5" eb="6">
      <t>ナシ</t>
    </rPh>
    <rPh sb="7" eb="8">
      <t>ハナ</t>
    </rPh>
    <rPh sb="10" eb="11">
      <t>アイ</t>
    </rPh>
    <rPh sb="11" eb="12">
      <t>ライ</t>
    </rPh>
    <phoneticPr fontId="1"/>
  </si>
  <si>
    <t>勝巳(61),菊池篤子ｱﾂｺ(83), 千鶴子, 実咲</t>
    <rPh sb="20" eb="23">
      <t>チヅコ</t>
    </rPh>
    <rPh sb="25" eb="26">
      <t>ジツ</t>
    </rPh>
    <rPh sb="26" eb="27">
      <t>サ</t>
    </rPh>
    <phoneticPr fontId="1"/>
  </si>
  <si>
    <t>早苗(82)</t>
    <phoneticPr fontId="1"/>
  </si>
  <si>
    <t>米子(87)</t>
    <phoneticPr fontId="1"/>
  </si>
  <si>
    <t>乳児あり</t>
    <phoneticPr fontId="2"/>
  </si>
  <si>
    <t>長女,葉山在住</t>
  </si>
  <si>
    <t>901号室 幾子(90)</t>
    <rPh sb="3" eb="4">
      <t>ゴウ</t>
    </rPh>
    <rPh sb="4" eb="5">
      <t>ムロ</t>
    </rPh>
    <phoneticPr fontId="2"/>
  </si>
  <si>
    <t>401号室 正博(72)</t>
    <rPh sb="3" eb="4">
      <t>ゴウ</t>
    </rPh>
    <rPh sb="4" eb="5">
      <t>ムロ</t>
    </rPh>
    <phoneticPr fontId="2"/>
  </si>
  <si>
    <t>403号室　耕平, 知美(080-3525-1135)</t>
    <rPh sb="3" eb="4">
      <t>ゴウ</t>
    </rPh>
    <rPh sb="4" eb="5">
      <t>ムロ</t>
    </rPh>
    <rPh sb="10" eb="12">
      <t>トモミ</t>
    </rPh>
    <phoneticPr fontId="2"/>
  </si>
  <si>
    <t>404号室　幸男(77)</t>
    <rPh sb="3" eb="4">
      <t>ゴウ</t>
    </rPh>
    <rPh sb="4" eb="5">
      <t>ムロ</t>
    </rPh>
    <phoneticPr fontId="2"/>
  </si>
  <si>
    <t>土日の訪問希望</t>
    <rPh sb="0" eb="2">
      <t>ドニチ</t>
    </rPh>
    <rPh sb="5" eb="7">
      <t>キボウ</t>
    </rPh>
    <phoneticPr fontId="2"/>
  </si>
  <si>
    <t>302号室　政臣(38), 裕子,ひなた,瑛汰(10),敬汰</t>
    <rPh sb="3" eb="4">
      <t>ゴウ</t>
    </rPh>
    <rPh sb="4" eb="5">
      <t>シツ</t>
    </rPh>
    <rPh sb="6" eb="7">
      <t>セイ</t>
    </rPh>
    <rPh sb="7" eb="8">
      <t>オミ</t>
    </rPh>
    <rPh sb="14" eb="16">
      <t>ユウコ</t>
    </rPh>
    <rPh sb="21" eb="22">
      <t>エイ</t>
    </rPh>
    <rPh sb="22" eb="23">
      <t>タ</t>
    </rPh>
    <rPh sb="28" eb="29">
      <t>ウヤマ</t>
    </rPh>
    <rPh sb="29" eb="30">
      <t>タ</t>
    </rPh>
    <phoneticPr fontId="2"/>
  </si>
  <si>
    <t>章裕,評議員は「恵」(090-4525-3059)さん 裕翔, 柚芽</t>
    <rPh sb="3" eb="6">
      <t xml:space="preserve">ヒョウギイン </t>
    </rPh>
    <rPh sb="8" eb="9">
      <t>メグミ</t>
    </rPh>
    <rPh sb="28" eb="29">
      <t>ユウ</t>
    </rPh>
    <rPh sb="29" eb="30">
      <t>カケル</t>
    </rPh>
    <rPh sb="32" eb="33">
      <t>ユズ</t>
    </rPh>
    <rPh sb="33" eb="34">
      <t>メ</t>
    </rPh>
    <phoneticPr fontId="1"/>
  </si>
  <si>
    <t>将作,評議員は「雅子」さん（080-1039-4467）,暖人,理人</t>
    <rPh sb="0" eb="1">
      <t>マサル</t>
    </rPh>
    <rPh sb="8" eb="10">
      <t>マサコ</t>
    </rPh>
    <rPh sb="29" eb="30">
      <t>アタタ</t>
    </rPh>
    <rPh sb="30" eb="31">
      <t>ヒト</t>
    </rPh>
    <rPh sb="32" eb="33">
      <t>リ</t>
    </rPh>
    <rPh sb="33" eb="34">
      <t>ジン</t>
    </rPh>
    <phoneticPr fontId="1"/>
  </si>
  <si>
    <t>春香(28), 千和子ﾁﾜｺ(84)</t>
    <phoneticPr fontId="1"/>
  </si>
  <si>
    <t>誠(84)、邦世ｲｸﾖ(80)</t>
    <phoneticPr fontId="1"/>
  </si>
  <si>
    <t>芳久ﾖｼﾌｻ(89)</t>
    <phoneticPr fontId="1"/>
  </si>
  <si>
    <t>豊美(66)</t>
    <phoneticPr fontId="1"/>
  </si>
  <si>
    <t>シズエ(82)</t>
    <phoneticPr fontId="1"/>
  </si>
  <si>
    <t>鹿野ｼｶﾉ　玲子(87)</t>
    <rPh sb="6" eb="8">
      <t>レイコ</t>
    </rPh>
    <phoneticPr fontId="1"/>
  </si>
  <si>
    <t>文子(92 ?)</t>
    <phoneticPr fontId="1"/>
  </si>
  <si>
    <t>ツル(92), 評議員は伊藤育伸さん。</t>
    <rPh sb="12" eb="14">
      <t>イトウ</t>
    </rPh>
    <rPh sb="14" eb="15">
      <t>イク</t>
    </rPh>
    <rPh sb="15" eb="16">
      <t>シン</t>
    </rPh>
    <phoneticPr fontId="1"/>
  </si>
  <si>
    <t>鶴男、房江(92)</t>
    <phoneticPr fontId="1"/>
  </si>
  <si>
    <t>スヱ子(84)</t>
    <phoneticPr fontId="1"/>
  </si>
  <si>
    <t>エイ子(89)</t>
    <phoneticPr fontId="1"/>
  </si>
  <si>
    <t>京子(89)</t>
    <phoneticPr fontId="1"/>
  </si>
  <si>
    <t>由利子(78)</t>
    <phoneticPr fontId="1"/>
  </si>
  <si>
    <t>武(58), 須藤滉ﾀｹｼ(89)　</t>
    <rPh sb="7" eb="9">
      <t>スドウ</t>
    </rPh>
    <rPh sb="9" eb="10">
      <t>ヒロシ</t>
    </rPh>
    <phoneticPr fontId="2"/>
  </si>
  <si>
    <t>眞弓(72)</t>
    <phoneticPr fontId="1"/>
  </si>
  <si>
    <t>つるゑ(94)</t>
    <phoneticPr fontId="1"/>
  </si>
  <si>
    <t>美治(66)</t>
    <phoneticPr fontId="1"/>
  </si>
  <si>
    <r>
      <t xml:space="preserve">評議員は鳥居知加代 </t>
    </r>
    <r>
      <rPr>
        <sz val="11"/>
        <rFont val="BIZ UDゴシック"/>
        <family val="3"/>
        <charset val="128"/>
      </rPr>
      <t>スミヱ(93)</t>
    </r>
    <rPh sb="0" eb="3">
      <t>ヒョウギイン</t>
    </rPh>
    <rPh sb="4" eb="6">
      <t>トリイ</t>
    </rPh>
    <rPh sb="6" eb="7">
      <t>チ</t>
    </rPh>
    <rPh sb="7" eb="9">
      <t>カヨ</t>
    </rPh>
    <phoneticPr fontId="1"/>
  </si>
  <si>
    <t>支援</t>
    <rPh sb="0" eb="2">
      <t>シエン</t>
    </rPh>
    <phoneticPr fontId="2"/>
  </si>
  <si>
    <t>家族</t>
    <rPh sb="0" eb="2">
      <t>カゾク</t>
    </rPh>
    <phoneticPr fontId="2"/>
  </si>
  <si>
    <t>善隆R8.2月(54)</t>
    <rPh sb="6" eb="7">
      <t>ガツ</t>
    </rPh>
    <phoneticPr fontId="1"/>
  </si>
  <si>
    <t>駒寄町内会　会員名簿　(2026年04月18日現在)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</si>
  <si>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濱野</t>
    <rPh sb="0" eb="2">
      <t>ハマノ</t>
    </rPh>
    <phoneticPr fontId="2"/>
  </si>
  <si>
    <t>R８年度評議員（2026.5月～2027.4月末まで）</t>
    <rPh sb="2" eb="4">
      <t>ネンド</t>
    </rPh>
    <rPh sb="4" eb="7">
      <t>ヒョウギイン</t>
    </rPh>
    <rPh sb="22" eb="23">
      <t>ガツ</t>
    </rPh>
    <rPh sb="23" eb="24">
      <t>マツ</t>
    </rPh>
    <phoneticPr fontId="1"/>
  </si>
  <si>
    <t>◎</t>
    <phoneticPr fontId="1"/>
  </si>
  <si>
    <t>●</t>
  </si>
  <si>
    <t>090-1779-5352</t>
    <phoneticPr fontId="2"/>
  </si>
  <si>
    <t>駒寄町内会　会員名簿　(2026年04月26日現在)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</si>
  <si>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板倉里美</t>
    <rPh sb="0" eb="2">
      <t>イタクラ</t>
    </rPh>
    <rPh sb="2" eb="4">
      <t>サトミ</t>
    </rPh>
    <phoneticPr fontId="1"/>
  </si>
  <si>
    <t>R8.入会</t>
    <rPh sb="3" eb="5">
      <t>ニュウカイ</t>
    </rPh>
    <phoneticPr fontId="1"/>
  </si>
  <si>
    <t>ホワイトステージ（佐藤）</t>
    <rPh sb="9" eb="11">
      <t>サトウ</t>
    </rPh>
    <phoneticPr fontId="1"/>
  </si>
  <si>
    <t>２世帯加入R8</t>
    <rPh sb="1" eb="3">
      <t>セタイ</t>
    </rPh>
    <rPh sb="3" eb="5">
      <t>カニュウ</t>
    </rPh>
    <phoneticPr fontId="1"/>
  </si>
  <si>
    <t>駒寄町内会　会員名簿　(2026年05月24日現在)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</si>
  <si>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駒寄町内会　会員名簿　(2026年06月02日現在)</t>
    <rPh sb="0" eb="2">
      <t>コマヨセ</t>
    </rPh>
    <rPh sb="2" eb="4">
      <t>チョウナイ</t>
    </rPh>
    <rPh sb="4" eb="5">
      <t>カイ</t>
    </rPh>
    <rPh sb="6" eb="8">
      <t>カイイン</t>
    </rPh>
    <rPh sb="8" eb="10">
      <t>メイボ</t>
    </rPh>
    <rPh sb="16" eb="17">
      <t>ネン</t>
    </rPh>
    <rPh sb="19" eb="20">
      <t>ツキ</t>
    </rPh>
    <rPh sb="22" eb="23">
      <t>ニチ</t>
    </rPh>
    <rPh sb="23" eb="25">
      <t>ゲンザイ</t>
    </rPh>
    <phoneticPr fontId="1"/>
  </si>
  <si>
    <t>080-5019-3854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</si>
</sst>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color theme="1"/>
      <name val="ＭＳ Ｐゴシック"/>
      <family val="3"/>
      <charset val="128"/>
      <scheme val="minor"/>
    </font>
    <font>
      <sz val="11"/>
      <name val="ＭＳ Ｐゴシック"/>
      <family val="3"/>
      <charset val="128"/>
      <scheme val="minor"/>
    </font>
    <font>
      <sz val="11"/>
      <name val="ＭＳ Ｐゴシック"/>
      <family val="2"/>
      <charset val="128"/>
      <scheme val="minor"/>
    </font>
    <font>
      <sz val="11"/>
      <name val="ＭＳ Ｐゴシック (本文)"/>
      <family val="3"/>
      <charset val="128"/>
    </font>
    <font>
      <sz val="16"/>
      <color theme="1"/>
      <name val="ＭＳ Ｐゴシック"/>
      <family val="2"/>
      <charset val="128"/>
      <scheme val="minor"/>
    </font>
    <font>
      <sz val="16"/>
      <color theme="1"/>
      <name val="ＭＳ Ｐゴシック"/>
      <family val="3"/>
      <charset val="128"/>
      <scheme val="minor"/>
    </font>
    <font>
      <sz val="11"/>
      <color rgb="FFFF0000"/>
      <name val="ＭＳ Ｐゴシック"/>
      <family val="3"/>
      <charset val="128"/>
      <scheme val="minor"/>
    </font>
    <font>
      <sz val="11"/>
      <color theme="1"/>
      <name val="BIZ UDゴシック"/>
      <family val="3"/>
      <charset val="128"/>
    </font>
    <font>
      <sz val="11"/>
      <color rgb="FFFF0000"/>
      <name val="BIZ UDゴシック"/>
      <family val="3"/>
      <charset val="128"/>
    </font>
    <font>
      <sz val="11"/>
      <name val="BIZ UDゴシック"/>
      <family val="3"/>
      <charset val="128"/>
    </font>
    <font>
      <sz val="11"/>
      <color rgb="FFFF0000"/>
      <name val="ＭＳ Ｐゴシック"/>
      <family val="2"/>
      <charset val="128"/>
      <scheme val="minor"/>
    </font>
    <font>
      <strike/>
      <sz val="11"/>
      <color rgb="FFFF0000"/>
      <name val="BIZ UDゴシック"/>
      <family val="3"/>
      <charset val="128"/>
    </font>
    <font>
      <b/>
      <sz val="11"/>
      <color theme="1"/>
      <name val="BIZ UDゴシック"/>
      <family val="3"/>
      <charset val="128"/>
    </font>
    <font>
      <sz val="11"/>
      <color rgb="FF0070C0"/>
      <name val="BIZ UDゴシック"/>
      <family val="3"/>
      <charset val="128"/>
    </font>
    <font>
      <b/>
      <sz val="11"/>
      <name val="BIZ UDゴシック"/>
      <family val="3"/>
      <charset val="128"/>
    </font>
    <font>
      <b/>
      <sz val="11"/>
      <color rgb="FFFF0000"/>
      <name val="ＭＳ Ｐゴシック"/>
      <family val="3"/>
      <charset val="128"/>
      <scheme val="minor"/>
    </font>
    <font>
      <b/>
      <sz val="11"/>
      <color theme="1"/>
      <name val="ＭＳ Ｐゴシック"/>
      <family val="3"/>
      <charset val="128"/>
      <scheme val="minor"/>
    </font>
    <font>
      <b/>
      <sz val="11"/>
      <name val="ＭＳ Ｐゴシック"/>
      <family val="3"/>
      <charset val="128"/>
      <scheme val="minor"/>
    </font>
    <font>
      <sz val="48"/>
      <color theme="1"/>
      <name val="HG正楷書体-PRO"/>
      <family val="4"/>
      <charset val="128"/>
    </font>
    <font>
      <sz val="48"/>
      <color theme="1"/>
      <name val="ＭＳ Ｐゴシック"/>
      <family val="2"/>
      <charset val="128"/>
      <scheme val="minor"/>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99FFCC"/>
        <bgColor indexed="64"/>
      </patternFill>
    </fill>
    <fill>
      <patternFill patternType="solid">
        <fgColor rgb="FFCCCCFF"/>
        <bgColor indexed="64"/>
      </patternFill>
    </fill>
    <fill>
      <patternFill patternType="solid">
        <fgColor rgb="FFFFCC00"/>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rgb="FFFF0000"/>
      </top>
      <bottom style="thin">
        <color rgb="FFFF0000"/>
      </bottom>
      <diagonal/>
    </border>
    <border>
      <left style="thin">
        <color indexed="64"/>
      </left>
      <right style="thin">
        <color indexed="64"/>
      </right>
      <top style="thick">
        <color indexed="64"/>
      </top>
      <bottom/>
      <diagonal/>
    </border>
  </borders>
  <cellStyleXfs count="1">
    <xf numFmtId="0" fontId="0" fillId="0" borderId="0">
      <alignment vertical="center"/>
    </xf>
  </cellStyleXfs>
  <cellXfs count="159">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0" fillId="0" borderId="0" xfId="0" applyAlignment="1">
      <alignment horizontal="left" vertical="center"/>
    </xf>
    <xf numFmtId="0" fontId="6" fillId="0" borderId="0" xfId="0" applyFont="1">
      <alignment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10" fillId="0" borderId="1" xfId="0" applyFont="1" applyBorder="1">
      <alignment vertical="center"/>
    </xf>
    <xf numFmtId="0" fontId="10" fillId="0" borderId="1" xfId="0" applyFont="1" applyBorder="1" applyAlignment="1">
      <alignment horizontal="distributed" vertical="center"/>
    </xf>
    <xf numFmtId="56" fontId="10" fillId="0" borderId="1" xfId="0" quotePrefix="1" applyNumberFormat="1" applyFont="1" applyBorder="1" applyAlignment="1">
      <alignment horizontal="left" vertical="center"/>
    </xf>
    <xf numFmtId="0" fontId="10" fillId="0" borderId="1" xfId="0" applyFont="1" applyBorder="1" applyAlignment="1">
      <alignment horizontal="left" vertical="center"/>
    </xf>
    <xf numFmtId="0" fontId="10" fillId="0" borderId="0" xfId="0" applyFont="1">
      <alignment vertical="center"/>
    </xf>
    <xf numFmtId="0" fontId="10" fillId="0" borderId="1" xfId="0" quotePrefix="1"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distributed" vertical="center"/>
    </xf>
    <xf numFmtId="0" fontId="12" fillId="0" borderId="1" xfId="0" applyFont="1" applyBorder="1" applyAlignment="1">
      <alignment horizontal="left" vertical="center"/>
    </xf>
    <xf numFmtId="0" fontId="12" fillId="3" borderId="1" xfId="0" applyFont="1" applyFill="1" applyBorder="1" applyAlignment="1">
      <alignment horizontal="left" vertical="center"/>
    </xf>
    <xf numFmtId="0" fontId="10" fillId="0" borderId="3" xfId="0" applyFont="1" applyBorder="1" applyAlignment="1">
      <alignment horizontal="distributed" vertical="center"/>
    </xf>
    <xf numFmtId="0" fontId="12" fillId="0" borderId="1" xfId="0" applyFont="1" applyBorder="1" applyAlignment="1">
      <alignment horizontal="distributed" vertical="center" wrapText="1"/>
    </xf>
    <xf numFmtId="0" fontId="12" fillId="0" borderId="1" xfId="0" applyFont="1" applyBorder="1" applyAlignment="1">
      <alignment horizontal="left" vertical="center" wrapText="1"/>
    </xf>
    <xf numFmtId="0" fontId="12" fillId="0" borderId="0" xfId="0" applyFont="1">
      <alignment vertical="center"/>
    </xf>
    <xf numFmtId="0" fontId="10" fillId="2" borderId="1" xfId="0" applyFont="1" applyFill="1" applyBorder="1" applyAlignment="1">
      <alignment horizontal="distributed" vertical="center"/>
    </xf>
    <xf numFmtId="0" fontId="10" fillId="3" borderId="1" xfId="0" applyFont="1" applyFill="1" applyBorder="1" applyAlignment="1">
      <alignment horizontal="left" vertical="center"/>
    </xf>
    <xf numFmtId="0" fontId="12" fillId="6" borderId="1" xfId="0" applyFont="1" applyFill="1" applyBorder="1" applyAlignment="1">
      <alignment horizontal="left" vertical="center"/>
    </xf>
    <xf numFmtId="17" fontId="10" fillId="0" borderId="1" xfId="0" quotePrefix="1" applyNumberFormat="1" applyFont="1" applyBorder="1" applyAlignment="1">
      <alignment horizontal="left" vertical="center"/>
    </xf>
    <xf numFmtId="0" fontId="12" fillId="0" borderId="1" xfId="0" quotePrefix="1" applyFont="1" applyBorder="1" applyAlignment="1">
      <alignment horizontal="left" vertical="center"/>
    </xf>
    <xf numFmtId="0" fontId="10" fillId="3" borderId="1" xfId="0" quotePrefix="1" applyFont="1" applyFill="1" applyBorder="1" applyAlignment="1">
      <alignment horizontal="left" vertical="center"/>
    </xf>
    <xf numFmtId="0" fontId="0" fillId="0" borderId="0" xfId="0" applyAlignment="1">
      <alignment horizontal="center" vertical="center"/>
    </xf>
    <xf numFmtId="0" fontId="10" fillId="7" borderId="1" xfId="0" applyFont="1" applyFill="1" applyBorder="1">
      <alignment vertical="center"/>
    </xf>
    <xf numFmtId="0" fontId="10" fillId="6" borderId="1" xfId="0" applyFont="1" applyFill="1" applyBorder="1" applyAlignment="1">
      <alignment horizontal="left" vertical="center"/>
    </xf>
    <xf numFmtId="0" fontId="13" fillId="0" borderId="0" xfId="0" applyFont="1" applyAlignment="1">
      <alignment horizontal="left" vertical="center"/>
    </xf>
    <xf numFmtId="0" fontId="12" fillId="7" borderId="1" xfId="0" applyFont="1" applyFill="1" applyBorder="1">
      <alignment vertical="center"/>
    </xf>
    <xf numFmtId="0" fontId="10" fillId="8" borderId="1" xfId="0" applyFont="1" applyFill="1" applyBorder="1">
      <alignment vertical="center"/>
    </xf>
    <xf numFmtId="0" fontId="12" fillId="8" borderId="1" xfId="0" applyFont="1" applyFill="1" applyBorder="1">
      <alignment vertical="center"/>
    </xf>
    <xf numFmtId="0" fontId="5" fillId="3" borderId="0" xfId="0" applyFont="1" applyFill="1" applyAlignment="1">
      <alignment horizontal="left" vertical="center"/>
    </xf>
    <xf numFmtId="0" fontId="10" fillId="3" borderId="1" xfId="0" applyFont="1" applyFill="1" applyBorder="1">
      <alignment vertical="center"/>
    </xf>
    <xf numFmtId="0" fontId="10" fillId="5" borderId="1" xfId="0" applyFont="1" applyFill="1" applyBorder="1" applyAlignment="1">
      <alignment horizontal="left" vertical="center"/>
    </xf>
    <xf numFmtId="0" fontId="10" fillId="5" borderId="1" xfId="0" quotePrefix="1" applyFont="1" applyFill="1" applyBorder="1" applyAlignment="1">
      <alignment horizontal="left" vertical="center"/>
    </xf>
    <xf numFmtId="0" fontId="12" fillId="2" borderId="1" xfId="0" applyFont="1" applyFill="1" applyBorder="1">
      <alignment vertical="center"/>
    </xf>
    <xf numFmtId="0" fontId="10" fillId="2" borderId="1" xfId="0" applyFont="1" applyFill="1" applyBorder="1">
      <alignment vertical="center"/>
    </xf>
    <xf numFmtId="0" fontId="10" fillId="9" borderId="1" xfId="0" applyFont="1" applyFill="1" applyBorder="1">
      <alignment vertical="center"/>
    </xf>
    <xf numFmtId="0" fontId="12" fillId="5" borderId="1" xfId="0" applyFont="1" applyFill="1" applyBorder="1" applyAlignment="1">
      <alignment horizontal="left" vertical="center"/>
    </xf>
    <xf numFmtId="0" fontId="0" fillId="5" borderId="0" xfId="0" applyFill="1">
      <alignment vertical="center"/>
    </xf>
    <xf numFmtId="0" fontId="10" fillId="10" borderId="1" xfId="0" applyFont="1" applyFill="1" applyBorder="1">
      <alignment vertical="center"/>
    </xf>
    <xf numFmtId="0" fontId="10" fillId="11" borderId="1" xfId="0" applyFont="1" applyFill="1" applyBorder="1">
      <alignment vertical="center"/>
    </xf>
    <xf numFmtId="0" fontId="10" fillId="12" borderId="1" xfId="0" applyFont="1" applyFill="1" applyBorder="1">
      <alignment vertical="center"/>
    </xf>
    <xf numFmtId="0" fontId="12" fillId="12" borderId="1" xfId="0" applyFont="1" applyFill="1" applyBorder="1">
      <alignment vertical="center"/>
    </xf>
    <xf numFmtId="0" fontId="11" fillId="3" borderId="1" xfId="0" applyFont="1" applyFill="1" applyBorder="1" applyAlignment="1">
      <alignment horizontal="center" vertical="center"/>
    </xf>
    <xf numFmtId="0" fontId="3" fillId="0" borderId="0" xfId="0" applyFont="1" applyAlignment="1">
      <alignment horizontal="left" vertical="center"/>
    </xf>
    <xf numFmtId="0" fontId="11" fillId="3" borderId="1" xfId="0" applyFont="1" applyFill="1" applyBorder="1" applyAlignment="1">
      <alignment horizontal="distributed" vertical="center"/>
    </xf>
    <xf numFmtId="0" fontId="11" fillId="3" borderId="1" xfId="0" applyFont="1" applyFill="1" applyBorder="1" applyAlignment="1">
      <alignment horizontal="left" vertical="center"/>
    </xf>
    <xf numFmtId="0" fontId="10" fillId="5" borderId="1" xfId="0" applyFont="1" applyFill="1" applyBorder="1" applyAlignment="1">
      <alignment horizontal="distributed" vertical="center"/>
    </xf>
    <xf numFmtId="0" fontId="14" fillId="3" borderId="1" xfId="0" applyFont="1" applyFill="1" applyBorder="1" applyAlignment="1">
      <alignment horizontal="center" vertical="center"/>
    </xf>
    <xf numFmtId="0" fontId="14" fillId="3" borderId="1" xfId="0" applyFont="1" applyFill="1" applyBorder="1" applyAlignment="1">
      <alignment horizontal="distributed" vertical="center"/>
    </xf>
    <xf numFmtId="0" fontId="14" fillId="3" borderId="1" xfId="0" applyFont="1" applyFill="1" applyBorder="1" applyAlignment="1">
      <alignment horizontal="left" vertical="center"/>
    </xf>
    <xf numFmtId="0" fontId="14" fillId="3" borderId="1" xfId="0" applyFont="1" applyFill="1" applyBorder="1">
      <alignment vertical="center"/>
    </xf>
    <xf numFmtId="0" fontId="11" fillId="3" borderId="1" xfId="0" quotePrefix="1" applyFont="1" applyFill="1" applyBorder="1" applyAlignment="1">
      <alignment horizontal="left" vertical="center"/>
    </xf>
    <xf numFmtId="0" fontId="4" fillId="0" borderId="0" xfId="0" applyFont="1">
      <alignment vertical="center"/>
    </xf>
    <xf numFmtId="0" fontId="12" fillId="5" borderId="1" xfId="0" applyFont="1" applyFill="1" applyBorder="1" applyAlignment="1">
      <alignment horizontal="distributed" vertical="center"/>
    </xf>
    <xf numFmtId="0" fontId="10" fillId="0" borderId="4" xfId="0" applyFont="1" applyBorder="1">
      <alignment vertical="center"/>
    </xf>
    <xf numFmtId="0" fontId="10" fillId="9" borderId="4" xfId="0" applyFont="1" applyFill="1" applyBorder="1">
      <alignment vertical="center"/>
    </xf>
    <xf numFmtId="0" fontId="10" fillId="0" borderId="4" xfId="0" applyFont="1" applyBorder="1" applyAlignment="1">
      <alignment horizontal="center" vertical="center"/>
    </xf>
    <xf numFmtId="0" fontId="11" fillId="0" borderId="4" xfId="0" applyFont="1" applyBorder="1" applyAlignment="1">
      <alignment horizontal="center" vertical="center"/>
    </xf>
    <xf numFmtId="0" fontId="10" fillId="0" borderId="4" xfId="0" applyFont="1" applyBorder="1" applyAlignment="1">
      <alignment horizontal="distributed" vertical="center"/>
    </xf>
    <xf numFmtId="0" fontId="10" fillId="0" borderId="4" xfId="0" applyFont="1" applyBorder="1" applyAlignment="1">
      <alignment horizontal="left" vertical="center"/>
    </xf>
    <xf numFmtId="0" fontId="12" fillId="0" borderId="4" xfId="0" applyFont="1" applyBorder="1" applyAlignment="1">
      <alignment horizontal="left" vertical="center"/>
    </xf>
    <xf numFmtId="0" fontId="10" fillId="0" borderId="5" xfId="0" applyFont="1" applyBorder="1">
      <alignment vertical="center"/>
    </xf>
    <xf numFmtId="0" fontId="10" fillId="10" borderId="5" xfId="0" applyFont="1" applyFill="1" applyBorder="1">
      <alignment vertical="center"/>
    </xf>
    <xf numFmtId="0" fontId="10" fillId="0" borderId="5" xfId="0" applyFont="1" applyBorder="1" applyAlignment="1">
      <alignment horizontal="center" vertical="center"/>
    </xf>
    <xf numFmtId="0" fontId="12" fillId="0" borderId="5" xfId="0" applyFont="1" applyBorder="1" applyAlignment="1">
      <alignment horizontal="distributed" vertical="center"/>
    </xf>
    <xf numFmtId="56" fontId="10" fillId="0" borderId="5" xfId="0" quotePrefix="1" applyNumberFormat="1" applyFont="1" applyBorder="1" applyAlignment="1">
      <alignment horizontal="left" vertical="center"/>
    </xf>
    <xf numFmtId="0" fontId="10" fillId="0" borderId="5" xfId="0" applyFont="1" applyBorder="1" applyAlignment="1">
      <alignment horizontal="left" vertical="center"/>
    </xf>
    <xf numFmtId="0" fontId="12" fillId="5" borderId="1" xfId="0" quotePrefix="1" applyFont="1" applyFill="1" applyBorder="1" applyAlignment="1">
      <alignment horizontal="left" vertical="center"/>
    </xf>
    <xf numFmtId="0" fontId="12" fillId="3" borderId="1" xfId="0" quotePrefix="1" applyFont="1" applyFill="1" applyBorder="1" applyAlignment="1">
      <alignment horizontal="left" vertical="center"/>
    </xf>
    <xf numFmtId="0" fontId="10" fillId="0" borderId="0" xfId="0" applyFont="1" applyAlignment="1">
      <alignment horizontal="center" vertical="center" wrapText="1"/>
    </xf>
    <xf numFmtId="0" fontId="4" fillId="0" borderId="0" xfId="0" applyFont="1" applyAlignment="1">
      <alignment horizontal="center" vertical="center"/>
    </xf>
    <xf numFmtId="0" fontId="10" fillId="4" borderId="0" xfId="0" applyFont="1" applyFill="1" applyAlignment="1">
      <alignment horizontal="center" vertical="center"/>
    </xf>
    <xf numFmtId="0" fontId="10" fillId="3" borderId="0" xfId="0" applyFont="1" applyFill="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3" fillId="3" borderId="0" xfId="0" applyFont="1" applyFill="1" applyAlignment="1">
      <alignment horizontal="center" vertical="center"/>
    </xf>
    <xf numFmtId="0" fontId="10" fillId="7" borderId="0" xfId="0" applyFont="1" applyFill="1" applyAlignment="1">
      <alignment horizontal="center" vertical="center"/>
    </xf>
    <xf numFmtId="0" fontId="3" fillId="7" borderId="0" xfId="0" applyFont="1" applyFill="1" applyAlignment="1">
      <alignment horizontal="center" vertical="center"/>
    </xf>
    <xf numFmtId="0" fontId="10" fillId="3" borderId="0" xfId="0" applyFont="1" applyFill="1" applyAlignment="1">
      <alignment horizontal="left" vertical="center"/>
    </xf>
    <xf numFmtId="0" fontId="12" fillId="4" borderId="0" xfId="0" applyFont="1" applyFill="1" applyAlignment="1">
      <alignment horizontal="center" vertical="center"/>
    </xf>
    <xf numFmtId="0" fontId="14" fillId="0" borderId="1" xfId="0" applyFont="1" applyBorder="1" applyAlignment="1">
      <alignment horizontal="center" vertical="center"/>
    </xf>
    <xf numFmtId="0" fontId="14" fillId="0" borderId="1" xfId="0" applyFont="1" applyBorder="1">
      <alignment vertical="center"/>
    </xf>
    <xf numFmtId="0" fontId="14" fillId="12" borderId="1" xfId="0" applyFont="1" applyFill="1" applyBorder="1">
      <alignment vertical="center"/>
    </xf>
    <xf numFmtId="0" fontId="14" fillId="0" borderId="1" xfId="0" applyFont="1" applyBorder="1" applyAlignment="1">
      <alignment horizontal="distributed" vertical="center"/>
    </xf>
    <xf numFmtId="0" fontId="14" fillId="0" borderId="1" xfId="0" quotePrefix="1" applyFont="1" applyBorder="1" applyAlignment="1">
      <alignment horizontal="left" vertical="center"/>
    </xf>
    <xf numFmtId="0" fontId="14" fillId="0" borderId="1" xfId="0" applyFont="1" applyBorder="1" applyAlignment="1">
      <alignment horizontal="left" vertical="center"/>
    </xf>
    <xf numFmtId="0" fontId="12" fillId="0" borderId="0" xfId="0" applyFont="1" applyAlignment="1">
      <alignment horizontal="center" vertical="center"/>
    </xf>
    <xf numFmtId="0" fontId="18" fillId="0" borderId="0" xfId="0" applyFont="1" applyAlignment="1">
      <alignment horizontal="center" vertical="center"/>
    </xf>
    <xf numFmtId="0" fontId="10" fillId="13" borderId="1" xfId="0" applyFont="1" applyFill="1" applyBorder="1" applyAlignment="1">
      <alignment horizontal="left" vertical="center"/>
    </xf>
    <xf numFmtId="0" fontId="10" fillId="0" borderId="6" xfId="0" applyFont="1" applyBorder="1" applyAlignment="1">
      <alignment horizontal="left" vertical="center"/>
    </xf>
    <xf numFmtId="0" fontId="10" fillId="0" borderId="3" xfId="0" applyFont="1" applyBorder="1" applyAlignment="1">
      <alignment horizontal="left" vertical="center"/>
    </xf>
    <xf numFmtId="0" fontId="12" fillId="0" borderId="7" xfId="0" applyFont="1" applyBorder="1" applyAlignment="1">
      <alignment horizontal="left" vertical="center"/>
    </xf>
    <xf numFmtId="0" fontId="12" fillId="6" borderId="0" xfId="0" applyFont="1" applyFill="1" applyAlignment="1">
      <alignment horizontal="left" vertical="center"/>
    </xf>
    <xf numFmtId="0" fontId="8" fillId="0" borderId="2" xfId="0" applyFont="1" applyBorder="1" applyAlignment="1">
      <alignment horizontal="centerContinuous" vertical="center"/>
    </xf>
    <xf numFmtId="0" fontId="8" fillId="0" borderId="0" xfId="0" applyFont="1" applyAlignment="1">
      <alignment horizontal="centerContinuous" vertical="center"/>
    </xf>
    <xf numFmtId="0" fontId="11" fillId="13" borderId="1" xfId="0" applyFont="1" applyFill="1" applyBorder="1" applyAlignment="1">
      <alignment horizontal="left" vertical="center"/>
    </xf>
    <xf numFmtId="0" fontId="10" fillId="0" borderId="8" xfId="0" applyFont="1" applyBorder="1" applyAlignment="1">
      <alignment horizontal="center" vertical="center"/>
    </xf>
    <xf numFmtId="0" fontId="10" fillId="0" borderId="8" xfId="0" applyFont="1" applyBorder="1" applyAlignment="1">
      <alignment horizontal="left" vertical="center"/>
    </xf>
    <xf numFmtId="0" fontId="12" fillId="0" borderId="8" xfId="0" applyFont="1" applyBorder="1" applyAlignment="1">
      <alignment horizontal="left" vertical="center"/>
    </xf>
    <xf numFmtId="0" fontId="10" fillId="0" borderId="9" xfId="0" applyFont="1" applyBorder="1" applyAlignment="1">
      <alignment horizontal="left" vertical="center"/>
    </xf>
    <xf numFmtId="0" fontId="10" fillId="13" borderId="10" xfId="0" applyFont="1" applyFill="1" applyBorder="1" applyAlignment="1">
      <alignment horizontal="left" vertical="center"/>
    </xf>
    <xf numFmtId="0" fontId="10" fillId="0" borderId="8" xfId="0" quotePrefix="1" applyFont="1" applyBorder="1" applyAlignment="1">
      <alignment horizontal="left" vertical="center"/>
    </xf>
    <xf numFmtId="0" fontId="7" fillId="0" borderId="0" xfId="0" applyFont="1" applyAlignment="1">
      <alignment horizontal="centerContinuous" vertical="center"/>
    </xf>
    <xf numFmtId="0" fontId="10" fillId="0" borderId="6" xfId="0" applyFont="1" applyBorder="1">
      <alignment vertical="center"/>
    </xf>
    <xf numFmtId="0" fontId="10" fillId="12" borderId="6" xfId="0" applyFont="1" applyFill="1" applyBorder="1">
      <alignment vertical="center"/>
    </xf>
    <xf numFmtId="0" fontId="12" fillId="0" borderId="6" xfId="0" applyFont="1" applyBorder="1" applyAlignment="1">
      <alignment horizontal="distributed" vertical="center"/>
    </xf>
    <xf numFmtId="0" fontId="10" fillId="0" borderId="6" xfId="0" applyFont="1" applyBorder="1" applyAlignment="1">
      <alignment horizontal="distributed" vertical="center"/>
    </xf>
    <xf numFmtId="0" fontId="12" fillId="0" borderId="6" xfId="0" applyFont="1" applyBorder="1" applyAlignment="1">
      <alignment horizontal="left" vertical="center"/>
    </xf>
    <xf numFmtId="0" fontId="10" fillId="10" borderId="6" xfId="0" applyFont="1" applyFill="1" applyBorder="1">
      <alignment vertical="center"/>
    </xf>
    <xf numFmtId="0" fontId="10" fillId="11" borderId="6" xfId="0" applyFont="1" applyFill="1" applyBorder="1">
      <alignment vertical="center"/>
    </xf>
    <xf numFmtId="0" fontId="12" fillId="12" borderId="6" xfId="0" applyFont="1" applyFill="1" applyBorder="1">
      <alignment vertical="center"/>
    </xf>
    <xf numFmtId="0" fontId="10" fillId="7" borderId="6" xfId="0" applyFont="1" applyFill="1" applyBorder="1">
      <alignment vertical="center"/>
    </xf>
    <xf numFmtId="0" fontId="10" fillId="8" borderId="6" xfId="0" applyFont="1" applyFill="1" applyBorder="1">
      <alignment vertical="center"/>
    </xf>
    <xf numFmtId="0" fontId="10" fillId="6" borderId="6" xfId="0" applyFont="1" applyFill="1" applyBorder="1" applyAlignment="1">
      <alignment horizontal="left" vertical="center"/>
    </xf>
    <xf numFmtId="0" fontId="10" fillId="5" borderId="6" xfId="0" applyFont="1" applyFill="1" applyBorder="1" applyAlignment="1">
      <alignment horizontal="left" vertical="center"/>
    </xf>
    <xf numFmtId="0" fontId="10" fillId="9" borderId="6" xfId="0" applyFont="1" applyFill="1" applyBorder="1">
      <alignment vertical="center"/>
    </xf>
    <xf numFmtId="0" fontId="10" fillId="0" borderId="11" xfId="0" applyFont="1" applyBorder="1">
      <alignment vertical="center"/>
    </xf>
    <xf numFmtId="0" fontId="10" fillId="10" borderId="11" xfId="0" applyFont="1" applyFill="1" applyBorder="1">
      <alignment vertical="center"/>
    </xf>
    <xf numFmtId="0" fontId="12" fillId="0" borderId="11" xfId="0" applyFont="1" applyBorder="1" applyAlignment="1">
      <alignment horizontal="distributed" vertical="center"/>
    </xf>
    <xf numFmtId="0" fontId="10" fillId="0" borderId="11" xfId="0" applyFont="1" applyBorder="1" applyAlignment="1">
      <alignment horizontal="left" vertical="center"/>
    </xf>
    <xf numFmtId="0" fontId="12" fillId="6" borderId="6" xfId="0" applyFont="1" applyFill="1" applyBorder="1" applyAlignment="1">
      <alignment horizontal="left" vertical="center"/>
    </xf>
    <xf numFmtId="0" fontId="10" fillId="5" borderId="6" xfId="0" applyFont="1" applyFill="1" applyBorder="1" applyAlignment="1">
      <alignment horizontal="distributed" vertical="center"/>
    </xf>
    <xf numFmtId="0" fontId="10" fillId="0" borderId="7" xfId="0" applyFont="1" applyBorder="1">
      <alignment vertical="center"/>
    </xf>
    <xf numFmtId="0" fontId="10" fillId="12" borderId="7" xfId="0" applyFont="1" applyFill="1" applyBorder="1">
      <alignment vertical="center"/>
    </xf>
    <xf numFmtId="0" fontId="10" fillId="0" borderId="7" xfId="0" applyFont="1" applyBorder="1" applyAlignment="1">
      <alignment horizontal="distributed" vertical="center"/>
    </xf>
    <xf numFmtId="0" fontId="10" fillId="0" borderId="7" xfId="0" applyFont="1" applyBorder="1" applyAlignment="1">
      <alignment horizontal="left" vertical="center"/>
    </xf>
    <xf numFmtId="0" fontId="12" fillId="0" borderId="7" xfId="0" applyFont="1" applyBorder="1" applyAlignment="1">
      <alignment horizontal="distributed" vertical="center"/>
    </xf>
    <xf numFmtId="0" fontId="12" fillId="0" borderId="7" xfId="0" quotePrefix="1" applyFont="1" applyBorder="1" applyAlignment="1">
      <alignment horizontal="left" vertical="center"/>
    </xf>
    <xf numFmtId="0" fontId="10" fillId="10" borderId="7" xfId="0" applyFont="1" applyFill="1" applyBorder="1">
      <alignment vertical="center"/>
    </xf>
    <xf numFmtId="0" fontId="10" fillId="11" borderId="7" xfId="0" applyFont="1" applyFill="1" applyBorder="1">
      <alignment vertical="center"/>
    </xf>
    <xf numFmtId="0" fontId="12" fillId="12" borderId="7" xfId="0" applyFont="1" applyFill="1" applyBorder="1">
      <alignment vertical="center"/>
    </xf>
    <xf numFmtId="0" fontId="10" fillId="0" borderId="3" xfId="0" applyFont="1" applyBorder="1">
      <alignment vertical="center"/>
    </xf>
    <xf numFmtId="0" fontId="10" fillId="11" borderId="3" xfId="0" applyFont="1" applyFill="1" applyBorder="1">
      <alignment vertical="center"/>
    </xf>
    <xf numFmtId="0" fontId="12" fillId="0" borderId="3" xfId="0" applyFont="1" applyBorder="1" applyAlignment="1">
      <alignment horizontal="left" vertical="center"/>
    </xf>
    <xf numFmtId="0" fontId="10" fillId="7" borderId="7" xfId="0" applyFont="1" applyFill="1" applyBorder="1">
      <alignment vertical="center"/>
    </xf>
    <xf numFmtId="0" fontId="10" fillId="8" borderId="7" xfId="0" applyFont="1" applyFill="1" applyBorder="1">
      <alignment vertical="center"/>
    </xf>
    <xf numFmtId="0" fontId="10" fillId="2" borderId="7" xfId="0" applyFont="1" applyFill="1" applyBorder="1">
      <alignment vertical="center"/>
    </xf>
    <xf numFmtId="0" fontId="10" fillId="9" borderId="3" xfId="0" applyFont="1" applyFill="1" applyBorder="1">
      <alignment vertical="center"/>
    </xf>
    <xf numFmtId="0" fontId="10" fillId="9" borderId="7" xfId="0" applyFont="1" applyFill="1" applyBorder="1">
      <alignment vertical="center"/>
    </xf>
    <xf numFmtId="0" fontId="10" fillId="8" borderId="3" xfId="0" applyFont="1" applyFill="1" applyBorder="1">
      <alignment vertical="center"/>
    </xf>
    <xf numFmtId="0" fontId="12" fillId="0" borderId="3" xfId="0" applyFont="1" applyBorder="1" applyAlignment="1">
      <alignment horizontal="distributed" vertical="center"/>
    </xf>
    <xf numFmtId="0" fontId="10" fillId="7" borderId="3" xfId="0" applyFont="1" applyFill="1" applyBorder="1">
      <alignment vertical="center"/>
    </xf>
    <xf numFmtId="0" fontId="10"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9" fillId="0" borderId="1" xfId="0" applyFont="1" applyBorder="1" applyAlignment="1">
      <alignment horizontal="center" vertical="center"/>
    </xf>
    <xf numFmtId="0" fontId="19" fillId="3" borderId="1" xfId="0" applyFont="1" applyFill="1" applyBorder="1" applyAlignment="1">
      <alignment horizontal="center" vertical="center"/>
    </xf>
    <xf numFmtId="0" fontId="20" fillId="0" borderId="1" xfId="0" applyFont="1" applyBorder="1" applyAlignment="1">
      <alignment horizontal="center" vertical="center"/>
    </xf>
    <xf numFmtId="0" fontId="0" fillId="0" borderId="1" xfId="0" applyBorder="1" applyAlignment="1">
      <alignment horizontal="center" vertical="center"/>
    </xf>
    <xf numFmtId="0" fontId="12" fillId="0" borderId="1" xfId="0" quotePrefix="1" applyFont="1" applyFill="1" applyBorder="1" applyAlignment="1">
      <alignment horizontal="left"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21" fillId="0" borderId="0" xfId="0" applyFont="1">
      <alignment vertical="center"/>
    </xf>
    <xf numFmtId="0" fontId="22" fillId="0" borderId="0" xfId="0" applyFont="1">
      <alignment vertical="center"/>
    </xf>
  </cellXfs>
  <cellStyles count="1">
    <cellStyle name="標準" xfId="0" builtinId="0"/>
  </cellStyles>
  <dxfs count="0"/>
  <tableStyles count="0" defaultTableStyle="TableStyleMedium9" defaultPivotStyle="PivotStyleLight16"/>
  <colors>
    <mruColors>
      <color rgb="FFFFCCFF"/>
      <color rgb="FFFFCC00"/>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岳 橋本" id="{63BB79F5-3083-4E7A-9B10-C5FB534536F1}" userId="951bde4d8205714a"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05" dT="2025-09-14T11:08:52.83" personId="{63BB79F5-3083-4E7A-9B10-C5FB534536F1}" id="{CC9903EF-E7F9-4F09-800A-3A7B66D741E2}">
    <text>スカイライト田浦B</text>
  </threadedComment>
</ThreadedComments>
</file>

<file path=xl/threadedComments/threadedComment2.xml><?xml version="1.0" encoding="utf-8"?>
<ThreadedComments xmlns="http://schemas.microsoft.com/office/spreadsheetml/2018/threadedcomments" xmlns:x="http://schemas.openxmlformats.org/spreadsheetml/2006/main">
  <threadedComment ref="G105" dT="2025-09-14T11:08:52.83" personId="{63BB79F5-3083-4E7A-9B10-C5FB534536F1}" id="{AE4E8FA4-3292-4857-BDBB-D22D12C3B7A7}">
    <text>スカイライト田浦B</text>
  </threadedComment>
</ThreadedComments>
</file>

<file path=xl/threadedComments/threadedComment3.xml><?xml version="1.0" encoding="utf-8"?>
<ThreadedComments xmlns="http://schemas.microsoft.com/office/spreadsheetml/2018/threadedcomments" xmlns:x="http://schemas.openxmlformats.org/spreadsheetml/2006/main">
  <threadedComment ref="G105" dT="2025-09-14T11:08:52.83" personId="{63BB79F5-3083-4E7A-9B10-C5FB534536F1}" id="{638F9BA9-9C82-434F-ABFB-21B7DD5FD615}">
    <text>スカイライト田浦B</text>
  </threadedComment>
</ThreadedComments>
</file>

<file path=xl/threadedComments/threadedComment4.xml><?xml version="1.0" encoding="utf-8"?>
<ThreadedComments xmlns="http://schemas.microsoft.com/office/spreadsheetml/2018/threadedcomments" xmlns:x="http://schemas.openxmlformats.org/spreadsheetml/2006/main">
  <threadedComment ref="G105" dT="2025-09-14T11:08:52.83" personId="{63BB79F5-3083-4E7A-9B10-C5FB534536F1}" id="{5DC5F12E-4119-42E9-AB7D-587893B8C305}">
    <text>スカイライト田浦B</text>
  </threadedComment>
</ThreadedComments>
</file>

<file path=xl/threadedComments/threadedComment5.xml><?xml version="1.0" encoding="utf-8"?>
<ThreadedComments xmlns="http://schemas.microsoft.com/office/spreadsheetml/2018/threadedcomments" xmlns:x="http://schemas.openxmlformats.org/spreadsheetml/2006/main">
  <threadedComment ref="G105" dT="2025-09-14T11:08:52.83" personId="{63BB79F5-3083-4E7A-9B10-C5FB534536F1}" id="{9CC2CB2E-0906-4549-80B7-714B3D7DE4F1}">
    <text>スカイライト田浦B</text>
  </threadedComment>
</ThreadedComments>
</file>

<file path=xl/threadedComments/threadedComment6.xml><?xml version="1.0" encoding="utf-8"?>
<ThreadedComments xmlns="http://schemas.microsoft.com/office/spreadsheetml/2018/threadedcomments" xmlns:x="http://schemas.openxmlformats.org/spreadsheetml/2006/main">
  <threadedComment ref="G105" dT="2025-09-14T11:08:52.83" personId="{63BB79F5-3083-4E7A-9B10-C5FB534536F1}" id="{21E52C21-2345-4C70-862F-4FB706A44D76}">
    <text>スカイライト田浦B</text>
  </threadedComment>
</ThreadedComments>
</file>

<file path=xl/threadedComments/threadedComment7.xml><?xml version="1.0" encoding="utf-8"?>
<ThreadedComments xmlns="http://schemas.microsoft.com/office/spreadsheetml/2018/threadedcomments" xmlns:x="http://schemas.openxmlformats.org/spreadsheetml/2006/main">
  <threadedComment ref="G105" dT="2025-09-14T11:08:52.83" personId="{63BB79F5-3083-4E7A-9B10-C5FB534536F1}" id="{E537343C-6F92-49E9-AB30-B5CCC02D70D5}">
    <text>スカイライト田浦B</text>
  </threadedComment>
</ThreadedComments>
</file>

<file path=xl/threadedComments/threadedComment8.xml><?xml version="1.0" encoding="utf-8"?>
<ThreadedComments xmlns="http://schemas.microsoft.com/office/spreadsheetml/2018/threadedcomments" xmlns:x="http://schemas.openxmlformats.org/spreadsheetml/2006/main">
  <threadedComment ref="G104" dT="2025-09-14T11:08:52.83" personId="{63BB79F5-3083-4E7A-9B10-C5FB534536F1}" id="{52E81C5E-12A8-4425-8197-18FF1631241E}">
    <text>スカイライト田浦B</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5806-F4E1-4440-8C2E-CD7CB409720A}">
  <dimension ref="B2:B213"/>
  <sheetViews>
    <sheetView tabSelected="1" topLeftCell="A144" workbookViewId="0">
      <selection activeCell="B145" sqref="B145"/>
    </sheetView>
  </sheetViews>
  <sheetFormatPr defaultRowHeight="55.2"/>
  <cols>
    <col min="1" max="1" width="8.88671875" style="158"/>
    <col min="2" max="2" width="22.33203125" style="157" bestFit="1" customWidth="1"/>
    <col min="3" max="16384" width="8.88671875" style="158"/>
  </cols>
  <sheetData>
    <row r="2" spans="2:2">
      <c r="B2" s="157" t="str">
        <f>マスタ!F3</f>
        <v>中村芳朗</v>
      </c>
    </row>
    <row r="3" spans="2:2">
      <c r="B3" s="157" t="str">
        <f>マスタ!F4</f>
        <v>中村治子</v>
      </c>
    </row>
    <row r="4" spans="2:2">
      <c r="B4" s="157" t="str">
        <f>マスタ!F5</f>
        <v>松川正士</v>
      </c>
    </row>
    <row r="5" spans="2:2">
      <c r="B5" s="157" t="str">
        <f>マスタ!F6</f>
        <v>和田薪</v>
      </c>
    </row>
    <row r="6" spans="2:2">
      <c r="B6" s="157" t="str">
        <f>マスタ!F7</f>
        <v>平井進</v>
      </c>
    </row>
    <row r="7" spans="2:2">
      <c r="B7" s="157" t="str">
        <f>マスタ!F8</f>
        <v>長谷川聰</v>
      </c>
    </row>
    <row r="8" spans="2:2">
      <c r="B8" s="157" t="str">
        <f>マスタ!F9</f>
        <v>粟飯原功</v>
      </c>
    </row>
    <row r="9" spans="2:2">
      <c r="B9" s="157" t="str">
        <f>マスタ!F10</f>
        <v>高橋正</v>
      </c>
    </row>
    <row r="10" spans="2:2">
      <c r="B10" s="157" t="str">
        <f>マスタ!F11</f>
        <v>林信行</v>
      </c>
    </row>
    <row r="11" spans="2:2">
      <c r="B11" s="157" t="str">
        <f>マスタ!F12</f>
        <v>町田恵資</v>
      </c>
    </row>
    <row r="12" spans="2:2">
      <c r="B12" s="157" t="str">
        <f>マスタ!F13</f>
        <v>紺野建設</v>
      </c>
    </row>
    <row r="13" spans="2:2">
      <c r="B13" s="157" t="str">
        <f>マスタ!F14</f>
        <v>遠山悦子</v>
      </c>
    </row>
    <row r="14" spans="2:2">
      <c r="B14" s="157" t="str">
        <f>マスタ!F15</f>
        <v>高瀬一</v>
      </c>
    </row>
    <row r="15" spans="2:2">
      <c r="B15" s="157" t="str">
        <f>マスタ!F16</f>
        <v>齋藤勇</v>
      </c>
    </row>
    <row r="16" spans="2:2">
      <c r="B16" s="157" t="str">
        <f>マスタ!F17</f>
        <v>鍋田益男</v>
      </c>
    </row>
    <row r="17" spans="2:2">
      <c r="B17" s="157" t="str">
        <f>マスタ!F18</f>
        <v>マミークリーニング</v>
      </c>
    </row>
    <row r="18" spans="2:2">
      <c r="B18" s="157" t="str">
        <f>マスタ!F19</f>
        <v>佐藤清</v>
      </c>
    </row>
    <row r="19" spans="2:2">
      <c r="B19" s="157" t="str">
        <f>マスタ!F20</f>
        <v>戸村則登</v>
      </c>
    </row>
    <row r="20" spans="2:2">
      <c r="B20" s="157" t="str">
        <f>マスタ!F21</f>
        <v>渡邊秀一</v>
      </c>
    </row>
    <row r="21" spans="2:2">
      <c r="B21" s="157" t="str">
        <f>マスタ!F22</f>
        <v>佐久間明</v>
      </c>
    </row>
    <row r="22" spans="2:2">
      <c r="B22" s="157" t="str">
        <f>マスタ!F23</f>
        <v>鳥居スミヱ</v>
      </c>
    </row>
    <row r="23" spans="2:2">
      <c r="B23" s="157" t="str">
        <f>マスタ!F24</f>
        <v>渋江康弘</v>
      </c>
    </row>
    <row r="24" spans="2:2">
      <c r="B24" s="157" t="str">
        <f>マスタ!F25</f>
        <v>石岡明憲</v>
      </c>
    </row>
    <row r="25" spans="2:2">
      <c r="B25" s="157" t="str">
        <f>マスタ!F26</f>
        <v>中華料理成都</v>
      </c>
    </row>
    <row r="26" spans="2:2">
      <c r="B26" s="157" t="str">
        <f>マスタ!F27</f>
        <v>武藤親弘</v>
      </c>
    </row>
    <row r="27" spans="2:2">
      <c r="B27" s="157" t="str">
        <f>マスタ!F28</f>
        <v>串一</v>
      </c>
    </row>
    <row r="28" spans="2:2">
      <c r="B28" s="157" t="str">
        <f>マスタ!F29</f>
        <v>AJITO中村みどり</v>
      </c>
    </row>
    <row r="29" spans="2:2">
      <c r="B29" s="157" t="str">
        <f>マスタ!F30</f>
        <v>澤登武文</v>
      </c>
    </row>
    <row r="30" spans="2:2">
      <c r="B30" s="157" t="str">
        <f>マスタ!F31</f>
        <v>秋山芳美</v>
      </c>
    </row>
    <row r="31" spans="2:2">
      <c r="B31" s="157" t="str">
        <f>マスタ!F32</f>
        <v>櫻井治</v>
      </c>
    </row>
    <row r="32" spans="2:2">
      <c r="B32" s="157" t="str">
        <f>マスタ!F33</f>
        <v>松永彰</v>
      </c>
    </row>
    <row r="33" spans="2:2">
      <c r="B33" s="157" t="str">
        <f>マスタ!F34</f>
        <v>橋本勇</v>
      </c>
    </row>
    <row r="34" spans="2:2">
      <c r="B34" s="157" t="str">
        <f>マスタ!F35</f>
        <v>瀧下なつみ</v>
      </c>
    </row>
    <row r="35" spans="2:2">
      <c r="B35" s="157" t="str">
        <f>マスタ!F36</f>
        <v>鈴木洋一</v>
      </c>
    </row>
    <row r="36" spans="2:2">
      <c r="B36" s="157" t="str">
        <f>マスタ!F37</f>
        <v>首藤睦</v>
      </c>
    </row>
    <row r="37" spans="2:2">
      <c r="B37" s="157" t="str">
        <f>マスタ!F38</f>
        <v>大野誠治</v>
      </c>
    </row>
    <row r="38" spans="2:2">
      <c r="B38" s="157" t="str">
        <f>マスタ!F39</f>
        <v>青山啓二</v>
      </c>
    </row>
    <row r="39" spans="2:2">
      <c r="B39" s="157" t="str">
        <f>マスタ!F40</f>
        <v>西田善隆</v>
      </c>
    </row>
    <row r="40" spans="2:2">
      <c r="B40" s="157" t="str">
        <f>マスタ!F41</f>
        <v>渡戸正志</v>
      </c>
    </row>
    <row r="41" spans="2:2">
      <c r="B41" s="157" t="str">
        <f>マスタ!F42</f>
        <v>冨田剛</v>
      </c>
    </row>
    <row r="42" spans="2:2">
      <c r="B42" s="157" t="str">
        <f>マスタ!F43</f>
        <v>堀井広樹</v>
      </c>
    </row>
    <row r="43" spans="2:2">
      <c r="B43" s="157" t="str">
        <f>マスタ!F44</f>
        <v>菊池崇広</v>
      </c>
    </row>
    <row r="44" spans="2:2">
      <c r="B44" s="157" t="str">
        <f>マスタ!F45</f>
        <v>冨松良紀</v>
      </c>
    </row>
    <row r="45" spans="2:2">
      <c r="B45" s="157" t="str">
        <f>マスタ!F46</f>
        <v>山合行之</v>
      </c>
    </row>
    <row r="46" spans="2:2">
      <c r="B46" s="157" t="str">
        <f>マスタ!F47</f>
        <v>鈴木啓次</v>
      </c>
    </row>
    <row r="47" spans="2:2">
      <c r="B47" s="157" t="str">
        <f>マスタ!F48</f>
        <v>宮野弘明</v>
      </c>
    </row>
    <row r="48" spans="2:2">
      <c r="B48" s="157" t="str">
        <f>マスタ!F49</f>
        <v>小野怜子</v>
      </c>
    </row>
    <row r="49" spans="2:2">
      <c r="B49" s="157" t="str">
        <f>マスタ!F50</f>
        <v>中村未紀</v>
      </c>
    </row>
    <row r="50" spans="2:2">
      <c r="B50" s="157" t="str">
        <f>マスタ!F51</f>
        <v>齋藤智子</v>
      </c>
    </row>
    <row r="51" spans="2:2">
      <c r="B51" s="157" t="str">
        <f>マスタ!F52</f>
        <v>齋藤和枝</v>
      </c>
    </row>
    <row r="52" spans="2:2">
      <c r="B52" s="157" t="str">
        <f>マスタ!F53</f>
        <v>溝口美代子</v>
      </c>
    </row>
    <row r="53" spans="2:2">
      <c r="B53" s="157" t="str">
        <f>マスタ!F54</f>
        <v>宮川正子</v>
      </c>
    </row>
    <row r="54" spans="2:2">
      <c r="B54" s="157" t="str">
        <f>マスタ!F55</f>
        <v>佐々木由香里</v>
      </c>
    </row>
    <row r="55" spans="2:2">
      <c r="B55" s="157" t="str">
        <f>マスタ!F56</f>
        <v>橘鷹裕介</v>
      </c>
    </row>
    <row r="56" spans="2:2">
      <c r="B56" s="157" t="str">
        <f>マスタ!F57</f>
        <v>玉田義輝</v>
      </c>
    </row>
    <row r="57" spans="2:2">
      <c r="B57" s="157" t="str">
        <f>マスタ!F58</f>
        <v>金子勲</v>
      </c>
    </row>
    <row r="58" spans="2:2">
      <c r="B58" s="157" t="str">
        <f>マスタ!F59</f>
        <v>松本弘子</v>
      </c>
    </row>
    <row r="59" spans="2:2">
      <c r="B59" s="157" t="str">
        <f>マスタ!F60</f>
        <v>関口香奈</v>
      </c>
    </row>
    <row r="60" spans="2:2">
      <c r="B60" s="157" t="str">
        <f>マスタ!F61</f>
        <v>藤田範男</v>
      </c>
    </row>
    <row r="61" spans="2:2">
      <c r="B61" s="157" t="str">
        <f>マスタ!F62</f>
        <v>前田清孝</v>
      </c>
    </row>
    <row r="62" spans="2:2">
      <c r="B62" s="157" t="str">
        <f>マスタ!F63</f>
        <v>高島秀夫</v>
      </c>
    </row>
    <row r="63" spans="2:2">
      <c r="B63" s="157" t="str">
        <f>マスタ!F64</f>
        <v>桐生勝巳</v>
      </c>
    </row>
    <row r="64" spans="2:2">
      <c r="B64" s="157" t="str">
        <f>マスタ!F65</f>
        <v>前田拓也</v>
      </c>
    </row>
    <row r="65" spans="2:2">
      <c r="B65" s="157" t="str">
        <f>マスタ!F66</f>
        <v>竹本久子</v>
      </c>
    </row>
    <row r="66" spans="2:2">
      <c r="B66" s="157" t="str">
        <f>マスタ!F67</f>
        <v>須田昭</v>
      </c>
    </row>
    <row r="67" spans="2:2">
      <c r="B67" s="157" t="str">
        <f>マスタ!F68</f>
        <v>福寿早苗</v>
      </c>
    </row>
    <row r="68" spans="2:2">
      <c r="B68" s="157" t="str">
        <f>マスタ!F69</f>
        <v>小山米子</v>
      </c>
    </row>
    <row r="69" spans="2:2">
      <c r="B69" s="157" t="str">
        <f>マスタ!F70</f>
        <v>須田公子</v>
      </c>
    </row>
    <row r="70" spans="2:2">
      <c r="B70" s="157" t="str">
        <f>マスタ!F71</f>
        <v>牧野ビル</v>
      </c>
    </row>
    <row r="71" spans="2:2">
      <c r="B71" s="157" t="str">
        <f>マスタ!F72</f>
        <v>井岡拓也</v>
      </c>
    </row>
    <row r="72" spans="2:2">
      <c r="B72" s="157" t="str">
        <f>マスタ!F73</f>
        <v>渡邊幾子</v>
      </c>
    </row>
    <row r="73" spans="2:2">
      <c r="B73" s="157" t="str">
        <f>マスタ!F74</f>
        <v>乾タヅ子</v>
      </c>
    </row>
    <row r="74" spans="2:2">
      <c r="B74" s="157" t="str">
        <f>マスタ!F75</f>
        <v>矢部謙三</v>
      </c>
    </row>
    <row r="75" spans="2:2">
      <c r="B75" s="157" t="str">
        <f>マスタ!F76</f>
        <v>千葉幸代</v>
      </c>
    </row>
    <row r="76" spans="2:2">
      <c r="B76" s="157" t="str">
        <f>マスタ!F77</f>
        <v>杉澤知美</v>
      </c>
    </row>
    <row r="77" spans="2:2">
      <c r="B77" s="157" t="str">
        <f>マスタ!F78</f>
        <v>伊藤健二</v>
      </c>
    </row>
    <row r="78" spans="2:2">
      <c r="B78" s="157" t="str">
        <f>マスタ!F79</f>
        <v>荒井照男</v>
      </c>
    </row>
    <row r="79" spans="2:2">
      <c r="B79" s="157" t="str">
        <f>マスタ!F80</f>
        <v>佐々木宏子</v>
      </c>
    </row>
    <row r="80" spans="2:2">
      <c r="B80" s="157" t="str">
        <f>マスタ!F81</f>
        <v>佐々木雅浩</v>
      </c>
    </row>
    <row r="81" spans="2:2">
      <c r="B81" s="157" t="str">
        <f>マスタ!F82</f>
        <v>森良枝</v>
      </c>
    </row>
    <row r="82" spans="2:2">
      <c r="B82" s="157" t="str">
        <f>マスタ!F83</f>
        <v>千葉満</v>
      </c>
    </row>
    <row r="83" spans="2:2">
      <c r="B83" s="157" t="str">
        <f>マスタ!F84</f>
        <v>鎌田智士</v>
      </c>
    </row>
    <row r="84" spans="2:2">
      <c r="B84" s="157" t="str">
        <f>マスタ!F85</f>
        <v>古川孝一</v>
      </c>
    </row>
    <row r="85" spans="2:2">
      <c r="B85" s="157" t="str">
        <f>マスタ!F86</f>
        <v>杉森正博</v>
      </c>
    </row>
    <row r="86" spans="2:2">
      <c r="B86" s="157" t="str">
        <f>マスタ!F87</f>
        <v>山口明良</v>
      </c>
    </row>
    <row r="87" spans="2:2">
      <c r="B87" s="157" t="str">
        <f>マスタ!F88</f>
        <v>齋藤耕平</v>
      </c>
    </row>
    <row r="88" spans="2:2">
      <c r="B88" s="157" t="str">
        <f>マスタ!F89</f>
        <v>小田切幸男</v>
      </c>
    </row>
    <row r="89" spans="2:2">
      <c r="B89" s="157" t="str">
        <f>マスタ!F90</f>
        <v>矢畑進</v>
      </c>
    </row>
    <row r="90" spans="2:2">
      <c r="B90" s="157" t="str">
        <f>マスタ!F91</f>
        <v>杉山政臣</v>
      </c>
    </row>
    <row r="91" spans="2:2">
      <c r="B91" s="157" t="str">
        <f>マスタ!F92</f>
        <v>丸茂治彦</v>
      </c>
    </row>
    <row r="92" spans="2:2">
      <c r="B92" s="157" t="str">
        <f>マスタ!F93</f>
        <v>山岸靖子</v>
      </c>
    </row>
    <row r="93" spans="2:2">
      <c r="B93" s="157" t="str">
        <f>マスタ!F94</f>
        <v>渡邉健志</v>
      </c>
    </row>
    <row r="94" spans="2:2">
      <c r="B94" s="157" t="str">
        <f>マスタ!F95</f>
        <v>高橋昭仁</v>
      </c>
    </row>
    <row r="95" spans="2:2">
      <c r="B95" s="157" t="str">
        <f>マスタ!F96</f>
        <v>雨海正男</v>
      </c>
    </row>
    <row r="96" spans="2:2">
      <c r="B96" s="157" t="str">
        <f>マスタ!F97</f>
        <v>高橋博満</v>
      </c>
    </row>
    <row r="97" spans="2:2">
      <c r="B97" s="157" t="str">
        <f>マスタ!F98</f>
        <v>森田眞由美</v>
      </c>
    </row>
    <row r="98" spans="2:2">
      <c r="B98" s="157" t="str">
        <f>マスタ!F99</f>
        <v>森田章裕</v>
      </c>
    </row>
    <row r="99" spans="2:2">
      <c r="B99" s="157" t="str">
        <f>マスタ!F100</f>
        <v>小澤正行</v>
      </c>
    </row>
    <row r="100" spans="2:2">
      <c r="B100" s="157" t="str">
        <f>マスタ!F101</f>
        <v>福島紀一</v>
      </c>
    </row>
    <row r="101" spans="2:2">
      <c r="B101" s="157" t="str">
        <f>マスタ!F102</f>
        <v>鈴木美恵子</v>
      </c>
    </row>
    <row r="102" spans="2:2">
      <c r="B102" s="157" t="str">
        <f>マスタ!F103</f>
        <v>名取眞代</v>
      </c>
    </row>
    <row r="103" spans="2:2">
      <c r="B103" s="157" t="str">
        <f>マスタ!F104</f>
        <v>藤田将作</v>
      </c>
    </row>
    <row r="104" spans="2:2">
      <c r="B104" s="157" t="str">
        <f>マスタ!F105</f>
        <v>滝本春香</v>
      </c>
    </row>
    <row r="105" spans="2:2">
      <c r="B105" s="157" t="str">
        <f>マスタ!F106</f>
        <v>渡辺嘉久也</v>
      </c>
    </row>
    <row r="106" spans="2:2">
      <c r="B106" s="157" t="str">
        <f>マスタ!F107</f>
        <v>佐野和弘</v>
      </c>
    </row>
    <row r="107" spans="2:2">
      <c r="B107" s="157" t="str">
        <f>マスタ!F108</f>
        <v>橋本岳</v>
      </c>
    </row>
    <row r="108" spans="2:2">
      <c r="B108" s="157" t="str">
        <f>マスタ!F109</f>
        <v>御薗節子</v>
      </c>
    </row>
    <row r="109" spans="2:2">
      <c r="B109" s="157" t="str">
        <f>マスタ!F110</f>
        <v>小松誠</v>
      </c>
    </row>
    <row r="110" spans="2:2">
      <c r="B110" s="157" t="str">
        <f>マスタ!F111</f>
        <v>霜村紀子</v>
      </c>
    </row>
    <row r="111" spans="2:2">
      <c r="B111" s="157" t="str">
        <f>マスタ!F112</f>
        <v>吉田初枝</v>
      </c>
    </row>
    <row r="112" spans="2:2">
      <c r="B112" s="157" t="str">
        <f>マスタ!F113</f>
        <v>網倉潤子</v>
      </c>
    </row>
    <row r="113" spans="2:2">
      <c r="B113" s="157" t="str">
        <f>マスタ!F114</f>
        <v>上田隆</v>
      </c>
    </row>
    <row r="114" spans="2:2">
      <c r="B114" s="157" t="str">
        <f>マスタ!F115</f>
        <v>磯野真一</v>
      </c>
    </row>
    <row r="115" spans="2:2">
      <c r="B115" s="157" t="str">
        <f>マスタ!F116</f>
        <v>岩垂晴夫</v>
      </c>
    </row>
    <row r="116" spans="2:2">
      <c r="B116" s="157" t="str">
        <f>マスタ!F117</f>
        <v>斉田芳久</v>
      </c>
    </row>
    <row r="117" spans="2:2">
      <c r="B117" s="157" t="str">
        <f>マスタ!F118</f>
        <v>安藤豊美</v>
      </c>
    </row>
    <row r="118" spans="2:2">
      <c r="B118" s="157" t="str">
        <f>マスタ!F119</f>
        <v>濱名誠</v>
      </c>
    </row>
    <row r="119" spans="2:2">
      <c r="B119" s="157" t="str">
        <f>マスタ!F120</f>
        <v>佐藤シズエ</v>
      </c>
    </row>
    <row r="120" spans="2:2">
      <c r="B120" s="157" t="str">
        <f>マスタ!F121</f>
        <v>森原智</v>
      </c>
    </row>
    <row r="121" spans="2:2">
      <c r="B121" s="157" t="str">
        <f>マスタ!F122</f>
        <v>岡本三七子</v>
      </c>
    </row>
    <row r="122" spans="2:2">
      <c r="B122" s="157" t="str">
        <f>マスタ!F123</f>
        <v>佐々木誠</v>
      </c>
    </row>
    <row r="123" spans="2:2">
      <c r="B123" s="157" t="str">
        <f>マスタ!F124</f>
        <v>鹿野絵里子</v>
      </c>
    </row>
    <row r="124" spans="2:2">
      <c r="B124" s="157" t="str">
        <f>マスタ!F125</f>
        <v>田口英弼</v>
      </c>
    </row>
    <row r="125" spans="2:2">
      <c r="B125" s="157" t="str">
        <f>マスタ!F126</f>
        <v>倉邉雅光</v>
      </c>
    </row>
    <row r="126" spans="2:2">
      <c r="B126" s="157" t="str">
        <f>マスタ!F127</f>
        <v>三井雅子</v>
      </c>
    </row>
    <row r="127" spans="2:2">
      <c r="B127" s="157" t="str">
        <f>マスタ!F128</f>
        <v>勇士時生</v>
      </c>
    </row>
    <row r="128" spans="2:2">
      <c r="B128" s="157" t="str">
        <f>マスタ!F129</f>
        <v>㈲峯田工業</v>
      </c>
    </row>
    <row r="129" spans="2:2">
      <c r="B129" s="157" t="str">
        <f>マスタ!F130</f>
        <v>小林弘子</v>
      </c>
    </row>
    <row r="130" spans="2:2">
      <c r="B130" s="157" t="str">
        <f>マスタ!F131</f>
        <v>宮下忠夫</v>
      </c>
    </row>
    <row r="131" spans="2:2">
      <c r="B131" s="157" t="str">
        <f>マスタ!F132</f>
        <v>黒部隼斗</v>
      </c>
    </row>
    <row r="132" spans="2:2">
      <c r="B132" s="157" t="str">
        <f>マスタ!F133</f>
        <v>井波純一</v>
      </c>
    </row>
    <row r="133" spans="2:2">
      <c r="B133" s="157" t="str">
        <f>マスタ!F134</f>
        <v>菊池之裕</v>
      </c>
    </row>
    <row r="134" spans="2:2">
      <c r="B134" s="157" t="str">
        <f>マスタ!F135</f>
        <v>佐合駿</v>
      </c>
    </row>
    <row r="135" spans="2:2">
      <c r="B135" s="157" t="str">
        <f>マスタ!F136</f>
        <v>板倉里美</v>
      </c>
    </row>
    <row r="136" spans="2:2">
      <c r="B136" s="157" t="str">
        <f>マスタ!F137</f>
        <v>冨山厚</v>
      </c>
    </row>
    <row r="137" spans="2:2">
      <c r="B137" s="157" t="str">
        <f>マスタ!F138</f>
        <v>高橋則篤</v>
      </c>
    </row>
    <row r="138" spans="2:2">
      <c r="B138" s="157" t="str">
        <f>マスタ!F139</f>
        <v>宗像進</v>
      </c>
    </row>
    <row r="139" spans="2:2">
      <c r="B139" s="157" t="str">
        <f>マスタ!F140</f>
        <v>関根伸成</v>
      </c>
    </row>
    <row r="140" spans="2:2">
      <c r="B140" s="157" t="str">
        <f>マスタ!F141</f>
        <v>吉田千恵子</v>
      </c>
    </row>
    <row r="141" spans="2:2">
      <c r="B141" s="157" t="str">
        <f>マスタ!F142</f>
        <v>手塚文子</v>
      </c>
    </row>
    <row r="142" spans="2:2">
      <c r="B142" s="157" t="str">
        <f>マスタ!F143</f>
        <v>星川ツル</v>
      </c>
    </row>
    <row r="143" spans="2:2">
      <c r="B143" s="157" t="str">
        <f>マスタ!F144</f>
        <v>藤谷健太</v>
      </c>
    </row>
    <row r="144" spans="2:2">
      <c r="B144" s="157" t="str">
        <f>マスタ!F145</f>
        <v>オールウェイズ（水内）</v>
      </c>
    </row>
    <row r="145" spans="2:2">
      <c r="B145" s="157" t="str">
        <f>マスタ!F146</f>
        <v>佐藤元信</v>
      </c>
    </row>
    <row r="146" spans="2:2">
      <c r="B146" s="157" t="str">
        <f>マスタ!F147</f>
        <v>爲廣哲朗</v>
      </c>
    </row>
    <row r="147" spans="2:2">
      <c r="B147" s="157" t="str">
        <f>マスタ!F148</f>
        <v>中根佳江</v>
      </c>
    </row>
    <row r="148" spans="2:2">
      <c r="B148" s="157" t="str">
        <f>マスタ!F149</f>
        <v>大塚孝史</v>
      </c>
    </row>
    <row r="149" spans="2:2">
      <c r="B149" s="157" t="str">
        <f>マスタ!F150</f>
        <v>鴨崎昶美</v>
      </c>
    </row>
    <row r="150" spans="2:2">
      <c r="B150" s="157" t="str">
        <f>マスタ!F151</f>
        <v>杉本一久</v>
      </c>
    </row>
    <row r="151" spans="2:2">
      <c r="B151" s="157" t="str">
        <f>マスタ!F152</f>
        <v>ジュンハイム（小板橋）</v>
      </c>
    </row>
    <row r="152" spans="2:2">
      <c r="B152" s="157" t="str">
        <f>マスタ!F153</f>
        <v>ホワイトステージ（佐藤）</v>
      </c>
    </row>
    <row r="153" spans="2:2">
      <c r="B153" s="157" t="str">
        <f>マスタ!F154</f>
        <v>内山巧</v>
      </c>
    </row>
    <row r="154" spans="2:2">
      <c r="B154" s="157" t="str">
        <f>マスタ!F155</f>
        <v>稲橋義治</v>
      </c>
    </row>
    <row r="155" spans="2:2">
      <c r="B155" s="157" t="str">
        <f>マスタ!F156</f>
        <v>堀江善幸</v>
      </c>
    </row>
    <row r="156" spans="2:2">
      <c r="B156" s="157" t="str">
        <f>マスタ!F157</f>
        <v>水内房江</v>
      </c>
    </row>
    <row r="157" spans="2:2">
      <c r="B157" s="157" t="str">
        <f>マスタ!F158</f>
        <v>阿部治</v>
      </c>
    </row>
    <row r="158" spans="2:2">
      <c r="B158" s="157" t="str">
        <f>マスタ!F159</f>
        <v>八子スヱ子</v>
      </c>
    </row>
    <row r="159" spans="2:2">
      <c r="B159" s="157" t="str">
        <f>マスタ!F160</f>
        <v>小林晃</v>
      </c>
    </row>
    <row r="160" spans="2:2">
      <c r="B160" s="157" t="str">
        <f>マスタ!F161</f>
        <v>鈴木眞寿美</v>
      </c>
    </row>
    <row r="161" spans="2:2">
      <c r="B161" s="157" t="str">
        <f>マスタ!F162</f>
        <v>金井六平</v>
      </c>
    </row>
    <row r="162" spans="2:2">
      <c r="B162" s="157" t="str">
        <f>マスタ!F163</f>
        <v>小池弘</v>
      </c>
    </row>
    <row r="163" spans="2:2">
      <c r="B163" s="157" t="str">
        <f>マスタ!F164</f>
        <v>多和エイ子</v>
      </c>
    </row>
    <row r="164" spans="2:2">
      <c r="B164" s="157" t="str">
        <f>マスタ!F165</f>
        <v>橋本尚弥</v>
      </c>
    </row>
    <row r="165" spans="2:2">
      <c r="B165" s="157" t="str">
        <f>マスタ!F166</f>
        <v>藤巻明子</v>
      </c>
    </row>
    <row r="166" spans="2:2">
      <c r="B166" s="157" t="str">
        <f>マスタ!F167</f>
        <v>鈴木由美子</v>
      </c>
    </row>
    <row r="167" spans="2:2">
      <c r="B167" s="157" t="str">
        <f>マスタ!F168</f>
        <v>澤藤成穂</v>
      </c>
    </row>
    <row r="168" spans="2:2">
      <c r="B168" s="157" t="str">
        <f>マスタ!F169</f>
        <v>中島京子</v>
      </c>
    </row>
    <row r="169" spans="2:2">
      <c r="B169" s="157" t="str">
        <f>マスタ!F170</f>
        <v>軍司由利子</v>
      </c>
    </row>
    <row r="170" spans="2:2">
      <c r="B170" s="157" t="str">
        <f>マスタ!F171</f>
        <v>内田純久</v>
      </c>
    </row>
    <row r="171" spans="2:2">
      <c r="B171" s="157" t="str">
        <f>マスタ!F172</f>
        <v>稲葉政志</v>
      </c>
    </row>
    <row r="172" spans="2:2">
      <c r="B172" s="157" t="str">
        <f>マスタ!F173</f>
        <v>赤荻忠幸</v>
      </c>
    </row>
    <row r="173" spans="2:2">
      <c r="B173" s="157" t="str">
        <f>マスタ!F174</f>
        <v>山下信子</v>
      </c>
    </row>
    <row r="174" spans="2:2">
      <c r="B174" s="157" t="str">
        <f>マスタ!F175</f>
        <v>伊藤一樹</v>
      </c>
    </row>
    <row r="175" spans="2:2">
      <c r="B175" s="157" t="str">
        <f>マスタ!F176</f>
        <v>志田武</v>
      </c>
    </row>
    <row r="176" spans="2:2">
      <c r="B176" s="157" t="str">
        <f>マスタ!F177</f>
        <v>熊本義明</v>
      </c>
    </row>
    <row r="177" spans="2:2">
      <c r="B177" s="157" t="str">
        <f>マスタ!F178</f>
        <v>三橋眞弓</v>
      </c>
    </row>
    <row r="178" spans="2:2">
      <c r="B178" s="157" t="str">
        <f>マスタ!F179</f>
        <v>山田つるゑ</v>
      </c>
    </row>
    <row r="179" spans="2:2">
      <c r="B179" s="157" t="str">
        <f>マスタ!F180</f>
        <v>渡邊俊郎</v>
      </c>
    </row>
    <row r="180" spans="2:2">
      <c r="B180" s="157" t="str">
        <f>マスタ!F181</f>
        <v>松村和彦</v>
      </c>
    </row>
    <row r="181" spans="2:2">
      <c r="B181" s="157" t="str">
        <f>マスタ!F182</f>
        <v>Mr.Fesus &amp; Mrs.Claudia</v>
      </c>
    </row>
    <row r="182" spans="2:2">
      <c r="B182" s="157" t="str">
        <f>マスタ!F183</f>
        <v>宮川雅之</v>
      </c>
    </row>
    <row r="183" spans="2:2">
      <c r="B183" s="157" t="str">
        <f>マスタ!F184</f>
        <v>中島祐子</v>
      </c>
    </row>
    <row r="184" spans="2:2">
      <c r="B184" s="157" t="str">
        <f>マスタ!F185</f>
        <v>西田裕亮</v>
      </c>
    </row>
    <row r="185" spans="2:2">
      <c r="B185" s="157" t="str">
        <f>マスタ!F186</f>
        <v>菅原憲治</v>
      </c>
    </row>
    <row r="186" spans="2:2">
      <c r="B186" s="157" t="str">
        <f>マスタ!F187</f>
        <v>三浦寿代</v>
      </c>
    </row>
    <row r="187" spans="2:2">
      <c r="B187" s="157" t="str">
        <f>マスタ!F188</f>
        <v>水内美治</v>
      </c>
    </row>
    <row r="188" spans="2:2">
      <c r="B188" s="157" t="str">
        <f>マスタ!F189</f>
        <v>長沼千賀子</v>
      </c>
    </row>
    <row r="189" spans="2:2">
      <c r="B189" s="157" t="str">
        <f>マスタ!F190</f>
        <v>中原真一</v>
      </c>
    </row>
    <row r="190" spans="2:2">
      <c r="B190" s="157" t="str">
        <f>マスタ!F191</f>
        <v>利根川剛士</v>
      </c>
    </row>
    <row r="191" spans="2:2">
      <c r="B191" s="157" t="str">
        <f>マスタ!F192</f>
        <v>濱野</v>
      </c>
    </row>
    <row r="192" spans="2:2">
      <c r="B192" s="157">
        <f>マスタ!F193</f>
        <v>0</v>
      </c>
    </row>
    <row r="193" spans="2:2">
      <c r="B193" s="157">
        <f>マスタ!F194</f>
        <v>0</v>
      </c>
    </row>
    <row r="194" spans="2:2">
      <c r="B194" s="157">
        <f>マスタ!F195</f>
        <v>0</v>
      </c>
    </row>
    <row r="195" spans="2:2">
      <c r="B195" s="157">
        <f>マスタ!F196</f>
        <v>0</v>
      </c>
    </row>
    <row r="196" spans="2:2">
      <c r="B196" s="157">
        <f>マスタ!F197</f>
        <v>0</v>
      </c>
    </row>
    <row r="197" spans="2:2">
      <c r="B197" s="157">
        <f>マスタ!F198</f>
        <v>0</v>
      </c>
    </row>
    <row r="198" spans="2:2">
      <c r="B198" s="157">
        <f>マスタ!F199</f>
        <v>0</v>
      </c>
    </row>
    <row r="199" spans="2:2">
      <c r="B199" s="157">
        <f>マスタ!F200</f>
        <v>0</v>
      </c>
    </row>
    <row r="200" spans="2:2">
      <c r="B200" s="157">
        <f>マスタ!F201</f>
        <v>0</v>
      </c>
    </row>
    <row r="201" spans="2:2">
      <c r="B201" s="157">
        <f>マスタ!F202</f>
        <v>0</v>
      </c>
    </row>
    <row r="202" spans="2:2">
      <c r="B202" s="157">
        <f>マスタ!F203</f>
        <v>0</v>
      </c>
    </row>
    <row r="203" spans="2:2">
      <c r="B203" s="157">
        <f>マスタ!F204</f>
        <v>0</v>
      </c>
    </row>
    <row r="204" spans="2:2">
      <c r="B204" s="157">
        <f>マスタ!F205</f>
        <v>0</v>
      </c>
    </row>
    <row r="205" spans="2:2">
      <c r="B205" s="157">
        <f>マスタ!F206</f>
        <v>0</v>
      </c>
    </row>
    <row r="206" spans="2:2">
      <c r="B206" s="157">
        <f>マスタ!F207</f>
        <v>0</v>
      </c>
    </row>
    <row r="207" spans="2:2">
      <c r="B207" s="157">
        <f>マスタ!F208</f>
        <v>0</v>
      </c>
    </row>
    <row r="208" spans="2:2">
      <c r="B208" s="157">
        <f>マスタ!F209</f>
        <v>0</v>
      </c>
    </row>
    <row r="209" spans="2:2">
      <c r="B209" s="157">
        <f>マスタ!F210</f>
        <v>0</v>
      </c>
    </row>
    <row r="210" spans="2:2">
      <c r="B210" s="157">
        <f>マスタ!F211</f>
        <v>0</v>
      </c>
    </row>
    <row r="211" spans="2:2">
      <c r="B211" s="157">
        <f>マスタ!F212</f>
        <v>0</v>
      </c>
    </row>
    <row r="212" spans="2:2">
      <c r="B212" s="157">
        <f>マスタ!F213</f>
        <v>0</v>
      </c>
    </row>
    <row r="213" spans="2:2">
      <c r="B213" s="157">
        <f>マスタ!F214</f>
        <v>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3D0F6-346F-4EE4-91A7-F5AE55C14F8C}">
  <sheetPr>
    <pageSetUpPr fitToPage="1"/>
  </sheetPr>
  <dimension ref="A1:L197"/>
  <sheetViews>
    <sheetView view="pageBreakPreview" zoomScaleNormal="120" zoomScaleSheetLayoutView="100" workbookViewId="0">
      <pane xSplit="6" ySplit="2" topLeftCell="G3" activePane="bottomRight" state="frozen"/>
      <selection pane="topRight" activeCell="G1" sqref="G1"/>
      <selection pane="bottomLeft" activeCell="A3" sqref="A3"/>
      <selection pane="bottomRight" activeCell="H136" sqref="G136:H136"/>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 min="10" max="10" width="5.33203125" style="28" customWidth="1"/>
    <col min="11" max="11" width="5.21875" style="28" bestFit="1" customWidth="1"/>
  </cols>
  <sheetData>
    <row r="1" spans="1:12" ht="40.5" customHeight="1">
      <c r="A1" s="155" t="s">
        <v>871</v>
      </c>
      <c r="B1" s="156"/>
      <c r="C1" s="156"/>
      <c r="D1" s="156"/>
      <c r="E1" s="156"/>
      <c r="F1" s="156"/>
      <c r="G1" s="156"/>
      <c r="H1" s="156"/>
      <c r="I1" s="156"/>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1"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154"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ref="D132:D190" si="4">IF(AND(B131=B132,C131=C132),D131+1,1)</f>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si="4"/>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2"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ref="D136" si="6">IF(AND(B135=B136,C135=C136),D135+1,1)</f>
        <v>7</v>
      </c>
      <c r="E136" s="13"/>
      <c r="F136" s="8" t="s">
        <v>866</v>
      </c>
      <c r="G136" s="27" t="s">
        <v>296</v>
      </c>
      <c r="H136" s="23" t="s">
        <v>872</v>
      </c>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6">
        <v>2</v>
      </c>
      <c r="C153" s="46">
        <v>8</v>
      </c>
      <c r="D153" s="5">
        <f t="shared" ref="D153" si="7">IF(AND(B152=B153,C152=C153),D152+1,1)</f>
        <v>8</v>
      </c>
      <c r="E153" s="13"/>
      <c r="F153" s="8" t="s">
        <v>868</v>
      </c>
      <c r="G153" s="38"/>
      <c r="H153" s="37"/>
      <c r="I153" s="10" t="s">
        <v>869</v>
      </c>
      <c r="J153" s="78"/>
      <c r="K153" s="81"/>
    </row>
    <row r="154" spans="1:12" s="1" customFormat="1" ht="15" customHeight="1">
      <c r="A154" s="7">
        <f t="shared" si="5"/>
        <v>152</v>
      </c>
      <c r="B154" s="45">
        <v>2</v>
      </c>
      <c r="C154" s="45">
        <v>9</v>
      </c>
      <c r="D154" s="5">
        <f>IF(AND(B151=B154,C151=C154),D151+1,1)</f>
        <v>1</v>
      </c>
      <c r="E154" s="13"/>
      <c r="F154" s="8" t="s">
        <v>334</v>
      </c>
      <c r="G154" s="12" t="s">
        <v>324</v>
      </c>
      <c r="H154" s="10" t="s">
        <v>335</v>
      </c>
      <c r="I154" s="16" t="s">
        <v>755</v>
      </c>
      <c r="J154" s="6" t="s">
        <v>643</v>
      </c>
      <c r="K154" s="2">
        <v>2</v>
      </c>
    </row>
    <row r="155" spans="1:12" s="1" customFormat="1" ht="15" customHeight="1">
      <c r="A155" s="7">
        <f t="shared" si="5"/>
        <v>153</v>
      </c>
      <c r="B155" s="45">
        <v>2</v>
      </c>
      <c r="C155" s="45">
        <v>9</v>
      </c>
      <c r="D155" s="5">
        <f t="shared" si="4"/>
        <v>2</v>
      </c>
      <c r="E155" s="14"/>
      <c r="F155" s="8" t="s">
        <v>336</v>
      </c>
      <c r="G155" s="12" t="s">
        <v>324</v>
      </c>
      <c r="H155" s="10" t="s">
        <v>337</v>
      </c>
      <c r="I155" s="16" t="s">
        <v>757</v>
      </c>
      <c r="J155" s="6" t="s">
        <v>643</v>
      </c>
      <c r="K155" s="2">
        <v>2</v>
      </c>
    </row>
    <row r="156" spans="1:12" s="1" customFormat="1" ht="15" customHeight="1">
      <c r="A156" s="7">
        <f t="shared" si="5"/>
        <v>154</v>
      </c>
      <c r="B156" s="45">
        <v>2</v>
      </c>
      <c r="C156" s="45">
        <v>9</v>
      </c>
      <c r="D156" s="5">
        <f t="shared" si="4"/>
        <v>3</v>
      </c>
      <c r="E156" s="28"/>
      <c r="F156" s="8" t="s">
        <v>338</v>
      </c>
      <c r="G156" s="12" t="s">
        <v>324</v>
      </c>
      <c r="H156" s="10" t="s">
        <v>339</v>
      </c>
      <c r="I156" s="16" t="s">
        <v>502</v>
      </c>
      <c r="J156" s="6" t="s">
        <v>643</v>
      </c>
      <c r="K156" s="2">
        <v>2</v>
      </c>
    </row>
    <row r="157" spans="1:12" s="1" customFormat="1" ht="15" customHeight="1">
      <c r="A157" s="7">
        <f t="shared" si="5"/>
        <v>155</v>
      </c>
      <c r="B157" s="45">
        <v>2</v>
      </c>
      <c r="C157" s="45">
        <v>9</v>
      </c>
      <c r="D157" s="5">
        <f t="shared" si="4"/>
        <v>4</v>
      </c>
      <c r="E157" s="5"/>
      <c r="F157" s="8" t="s">
        <v>753</v>
      </c>
      <c r="G157" s="12" t="s">
        <v>324</v>
      </c>
      <c r="H157" s="10" t="s">
        <v>341</v>
      </c>
      <c r="I157" s="16" t="s">
        <v>754</v>
      </c>
      <c r="J157" s="77" t="s">
        <v>642</v>
      </c>
      <c r="K157" s="2">
        <v>0</v>
      </c>
    </row>
    <row r="158" spans="1:12" s="1" customFormat="1" ht="15" customHeight="1">
      <c r="A158" s="7">
        <f t="shared" si="5"/>
        <v>156</v>
      </c>
      <c r="B158" s="45">
        <v>2</v>
      </c>
      <c r="C158" s="45">
        <v>9</v>
      </c>
      <c r="D158" s="5">
        <f t="shared" si="4"/>
        <v>5</v>
      </c>
      <c r="E158" s="5" t="s">
        <v>863</v>
      </c>
      <c r="F158" s="8" t="s">
        <v>342</v>
      </c>
      <c r="G158" s="12" t="s">
        <v>324</v>
      </c>
      <c r="H158" s="10" t="s">
        <v>343</v>
      </c>
      <c r="I158" s="16" t="s">
        <v>756</v>
      </c>
      <c r="J158" s="6" t="s">
        <v>643</v>
      </c>
      <c r="K158" s="2">
        <v>1</v>
      </c>
    </row>
    <row r="159" spans="1:12" s="1" customFormat="1" ht="15" customHeight="1">
      <c r="A159" s="7">
        <f t="shared" si="5"/>
        <v>157</v>
      </c>
      <c r="B159" s="45">
        <v>2</v>
      </c>
      <c r="C159" s="45">
        <v>9</v>
      </c>
      <c r="D159" s="5">
        <f t="shared" si="4"/>
        <v>6</v>
      </c>
      <c r="E159" s="11"/>
      <c r="F159" s="8" t="s">
        <v>505</v>
      </c>
      <c r="G159" s="12" t="s">
        <v>324</v>
      </c>
      <c r="H159" s="10" t="s">
        <v>344</v>
      </c>
      <c r="I159" s="16" t="s">
        <v>758</v>
      </c>
      <c r="J159" s="77" t="s">
        <v>642</v>
      </c>
      <c r="K159" s="2">
        <v>0</v>
      </c>
      <c r="L159" s="1" t="s">
        <v>759</v>
      </c>
    </row>
    <row r="160" spans="1:12" s="1" customFormat="1" ht="15" customHeight="1">
      <c r="A160" s="7">
        <f t="shared" si="5"/>
        <v>158</v>
      </c>
      <c r="B160" s="45">
        <v>2</v>
      </c>
      <c r="C160" s="45">
        <v>9</v>
      </c>
      <c r="D160" s="5">
        <f t="shared" si="4"/>
        <v>7</v>
      </c>
      <c r="E160" s="5"/>
      <c r="F160" s="8" t="s">
        <v>345</v>
      </c>
      <c r="G160" s="12" t="s">
        <v>346</v>
      </c>
      <c r="H160" s="10" t="s">
        <v>347</v>
      </c>
      <c r="I160" s="16" t="s">
        <v>751</v>
      </c>
      <c r="J160" s="6" t="s">
        <v>643</v>
      </c>
      <c r="K160" s="2">
        <v>1</v>
      </c>
    </row>
    <row r="161" spans="1:12" s="1" customFormat="1" ht="15" customHeight="1">
      <c r="A161" s="7">
        <f t="shared" si="5"/>
        <v>159</v>
      </c>
      <c r="B161" s="45">
        <v>2</v>
      </c>
      <c r="C161" s="45">
        <v>9</v>
      </c>
      <c r="D161" s="5">
        <f t="shared" si="4"/>
        <v>8</v>
      </c>
      <c r="E161" s="13"/>
      <c r="F161" s="8" t="s">
        <v>457</v>
      </c>
      <c r="G161" s="12" t="s">
        <v>348</v>
      </c>
      <c r="H161" s="10" t="s">
        <v>349</v>
      </c>
      <c r="I161" s="16" t="s">
        <v>752</v>
      </c>
      <c r="J161" s="6" t="s">
        <v>643</v>
      </c>
      <c r="K161" s="2">
        <v>0</v>
      </c>
    </row>
    <row r="162" spans="1:12" s="1" customFormat="1" ht="15" customHeight="1">
      <c r="A162" s="7">
        <f t="shared" si="5"/>
        <v>160</v>
      </c>
      <c r="B162" s="33">
        <v>2</v>
      </c>
      <c r="C162" s="33">
        <v>10</v>
      </c>
      <c r="D162" s="5">
        <f t="shared" si="4"/>
        <v>1</v>
      </c>
      <c r="E162" s="13"/>
      <c r="F162" s="8" t="s">
        <v>357</v>
      </c>
      <c r="G162" s="10" t="s">
        <v>358</v>
      </c>
      <c r="H162" s="10" t="s">
        <v>359</v>
      </c>
      <c r="I162" s="16" t="s">
        <v>769</v>
      </c>
      <c r="J162" s="6" t="s">
        <v>643</v>
      </c>
      <c r="K162" s="2">
        <v>1</v>
      </c>
    </row>
    <row r="163" spans="1:12" s="1" customFormat="1" ht="15" customHeight="1">
      <c r="A163" s="7">
        <f t="shared" si="5"/>
        <v>161</v>
      </c>
      <c r="B163" s="33">
        <v>2</v>
      </c>
      <c r="C163" s="33">
        <v>10</v>
      </c>
      <c r="D163" s="5">
        <f t="shared" si="4"/>
        <v>2</v>
      </c>
      <c r="E163" s="5"/>
      <c r="F163" s="15" t="s">
        <v>369</v>
      </c>
      <c r="G163" s="10" t="s">
        <v>370</v>
      </c>
      <c r="H163" s="10" t="s">
        <v>371</v>
      </c>
      <c r="I163" s="16" t="s">
        <v>770</v>
      </c>
      <c r="J163" s="6" t="s">
        <v>643</v>
      </c>
      <c r="K163" s="2">
        <v>1</v>
      </c>
    </row>
    <row r="164" spans="1:12" s="1" customFormat="1" ht="15" customHeight="1">
      <c r="A164" s="7">
        <f t="shared" si="5"/>
        <v>162</v>
      </c>
      <c r="B164" s="33">
        <v>2</v>
      </c>
      <c r="C164" s="33">
        <v>10</v>
      </c>
      <c r="D164" s="5">
        <f t="shared" si="4"/>
        <v>3</v>
      </c>
      <c r="E164" s="13"/>
      <c r="F164" s="8" t="s">
        <v>375</v>
      </c>
      <c r="G164" s="10" t="s">
        <v>376</v>
      </c>
      <c r="H164" s="10" t="s">
        <v>377</v>
      </c>
      <c r="I164" s="16" t="s">
        <v>762</v>
      </c>
      <c r="J164" s="77" t="s">
        <v>642</v>
      </c>
      <c r="K164" s="2">
        <v>0</v>
      </c>
    </row>
    <row r="165" spans="1:12" s="1" customFormat="1" ht="15" customHeight="1">
      <c r="A165" s="7">
        <f t="shared" si="5"/>
        <v>163</v>
      </c>
      <c r="B165" s="33">
        <v>2</v>
      </c>
      <c r="C165" s="33">
        <v>10</v>
      </c>
      <c r="D165" s="5">
        <f t="shared" si="4"/>
        <v>4</v>
      </c>
      <c r="E165" s="5"/>
      <c r="F165" s="8" t="s">
        <v>381</v>
      </c>
      <c r="G165" s="9" t="s">
        <v>382</v>
      </c>
      <c r="H165" s="10" t="s">
        <v>383</v>
      </c>
      <c r="I165" s="16" t="s">
        <v>763</v>
      </c>
      <c r="J165" s="77" t="s">
        <v>642</v>
      </c>
      <c r="K165" s="2">
        <v>4</v>
      </c>
      <c r="L165" s="1" t="s">
        <v>764</v>
      </c>
    </row>
    <row r="166" spans="1:12" s="1" customFormat="1" ht="15" customHeight="1">
      <c r="A166" s="7">
        <f t="shared" si="5"/>
        <v>164</v>
      </c>
      <c r="B166" s="33">
        <v>2</v>
      </c>
      <c r="C166" s="33">
        <v>10</v>
      </c>
      <c r="D166" s="5">
        <f t="shared" si="4"/>
        <v>5</v>
      </c>
      <c r="E166" s="14"/>
      <c r="F166" s="8" t="s">
        <v>363</v>
      </c>
      <c r="G166" s="12" t="s">
        <v>364</v>
      </c>
      <c r="H166" s="10" t="s">
        <v>365</v>
      </c>
      <c r="I166" s="16" t="s">
        <v>765</v>
      </c>
      <c r="J166" s="6" t="s">
        <v>643</v>
      </c>
      <c r="K166" s="2">
        <v>0</v>
      </c>
    </row>
    <row r="167" spans="1:12" s="1" customFormat="1" ht="15" customHeight="1">
      <c r="A167" s="7">
        <f t="shared" si="5"/>
        <v>165</v>
      </c>
      <c r="B167" s="33">
        <v>2</v>
      </c>
      <c r="C167" s="33">
        <v>10</v>
      </c>
      <c r="D167" s="5">
        <f t="shared" si="4"/>
        <v>6</v>
      </c>
      <c r="E167" s="5"/>
      <c r="F167" s="8" t="s">
        <v>360</v>
      </c>
      <c r="G167" s="10" t="s">
        <v>361</v>
      </c>
      <c r="H167" s="10" t="s">
        <v>362</v>
      </c>
      <c r="I167" s="16" t="s">
        <v>766</v>
      </c>
      <c r="J167" s="6" t="s">
        <v>643</v>
      </c>
      <c r="K167" s="2">
        <v>3</v>
      </c>
    </row>
    <row r="168" spans="1:12" s="1" customFormat="1" ht="15" customHeight="1">
      <c r="A168" s="7">
        <f t="shared" si="5"/>
        <v>166</v>
      </c>
      <c r="B168" s="33">
        <v>2</v>
      </c>
      <c r="C168" s="33">
        <v>10</v>
      </c>
      <c r="D168" s="5">
        <f t="shared" si="4"/>
        <v>7</v>
      </c>
      <c r="E168" s="5"/>
      <c r="F168" s="8" t="s">
        <v>372</v>
      </c>
      <c r="G168" s="10" t="s">
        <v>373</v>
      </c>
      <c r="H168" s="10" t="s">
        <v>374</v>
      </c>
      <c r="I168" s="16" t="s">
        <v>767</v>
      </c>
      <c r="J168" s="6" t="s">
        <v>643</v>
      </c>
      <c r="K168" s="2">
        <v>1</v>
      </c>
    </row>
    <row r="169" spans="1:12" s="1" customFormat="1" ht="15" customHeight="1">
      <c r="A169" s="7">
        <f t="shared" si="5"/>
        <v>167</v>
      </c>
      <c r="B169" s="33">
        <v>2</v>
      </c>
      <c r="C169" s="33">
        <v>10</v>
      </c>
      <c r="D169" s="5">
        <f t="shared" si="4"/>
        <v>8</v>
      </c>
      <c r="E169" s="14"/>
      <c r="F169" s="8" t="s">
        <v>378</v>
      </c>
      <c r="G169" s="10" t="s">
        <v>379</v>
      </c>
      <c r="H169" s="10" t="s">
        <v>380</v>
      </c>
      <c r="I169" s="16" t="s">
        <v>761</v>
      </c>
      <c r="J169" s="77" t="s">
        <v>642</v>
      </c>
      <c r="K169" s="2">
        <v>1</v>
      </c>
    </row>
    <row r="170" spans="1:12" s="1" customFormat="1" ht="15" customHeight="1">
      <c r="A170" s="7">
        <f t="shared" si="5"/>
        <v>168</v>
      </c>
      <c r="B170" s="33">
        <v>2</v>
      </c>
      <c r="C170" s="33">
        <v>10</v>
      </c>
      <c r="D170" s="5">
        <f t="shared" si="4"/>
        <v>9</v>
      </c>
      <c r="E170" s="28"/>
      <c r="F170" s="8" t="s">
        <v>366</v>
      </c>
      <c r="G170" s="10" t="s">
        <v>367</v>
      </c>
      <c r="H170" s="10" t="s">
        <v>368</v>
      </c>
      <c r="I170" s="16" t="s">
        <v>760</v>
      </c>
      <c r="J170" s="77" t="s">
        <v>642</v>
      </c>
      <c r="K170" s="2">
        <v>0</v>
      </c>
    </row>
    <row r="171" spans="1:12" s="1" customFormat="1" ht="15" customHeight="1">
      <c r="A171" s="7">
        <f t="shared" si="5"/>
        <v>169</v>
      </c>
      <c r="B171" s="33">
        <v>2</v>
      </c>
      <c r="C171" s="33">
        <v>10</v>
      </c>
      <c r="D171" s="5">
        <f t="shared" si="4"/>
        <v>10</v>
      </c>
      <c r="E171" s="5" t="s">
        <v>863</v>
      </c>
      <c r="F171" s="8" t="s">
        <v>354</v>
      </c>
      <c r="G171" s="12" t="s">
        <v>355</v>
      </c>
      <c r="H171" s="10" t="s">
        <v>356</v>
      </c>
      <c r="I171" s="16" t="s">
        <v>768</v>
      </c>
      <c r="J171" s="6" t="s">
        <v>643</v>
      </c>
      <c r="K171" s="2">
        <v>2</v>
      </c>
    </row>
    <row r="172" spans="1:12" s="1" customFormat="1" ht="15" customHeight="1">
      <c r="A172" s="7">
        <f t="shared" si="5"/>
        <v>170</v>
      </c>
      <c r="B172" s="33">
        <v>2</v>
      </c>
      <c r="C172" s="33">
        <v>10</v>
      </c>
      <c r="D172" s="5">
        <f t="shared" si="4"/>
        <v>11</v>
      </c>
      <c r="E172" s="5"/>
      <c r="F172" s="8" t="s">
        <v>351</v>
      </c>
      <c r="G172" s="12" t="s">
        <v>352</v>
      </c>
      <c r="H172" s="10" t="s">
        <v>353</v>
      </c>
      <c r="I172" s="16"/>
      <c r="J172" s="78"/>
      <c r="K172" s="81"/>
    </row>
    <row r="173" spans="1:12" s="58" customFormat="1" ht="15" customHeight="1">
      <c r="A173" s="7">
        <f t="shared" si="5"/>
        <v>171</v>
      </c>
      <c r="B173" s="29">
        <v>2</v>
      </c>
      <c r="C173" s="29">
        <v>11</v>
      </c>
      <c r="D173" s="5">
        <f t="shared" si="4"/>
        <v>1</v>
      </c>
      <c r="E173" s="14"/>
      <c r="F173" s="15" t="s">
        <v>467</v>
      </c>
      <c r="G173" s="26" t="s">
        <v>385</v>
      </c>
      <c r="H173" s="16" t="s">
        <v>460</v>
      </c>
      <c r="I173" s="16" t="s">
        <v>775</v>
      </c>
      <c r="J173" s="6" t="s">
        <v>643</v>
      </c>
      <c r="K173" s="2">
        <v>1</v>
      </c>
    </row>
    <row r="174" spans="1:12" s="1" customFormat="1" ht="15" customHeight="1">
      <c r="A174" s="7">
        <f t="shared" si="5"/>
        <v>172</v>
      </c>
      <c r="B174" s="29">
        <v>2</v>
      </c>
      <c r="C174" s="29">
        <v>11</v>
      </c>
      <c r="D174" s="5">
        <f t="shared" si="4"/>
        <v>2</v>
      </c>
      <c r="E174" s="5"/>
      <c r="F174" s="8" t="s">
        <v>386</v>
      </c>
      <c r="G174" s="12" t="s">
        <v>385</v>
      </c>
      <c r="H174" s="10" t="s">
        <v>387</v>
      </c>
      <c r="I174" s="16" t="s">
        <v>771</v>
      </c>
      <c r="J174" s="6" t="s">
        <v>643</v>
      </c>
      <c r="K174" s="2">
        <v>1</v>
      </c>
    </row>
    <row r="175" spans="1:12" s="1" customFormat="1" ht="15" customHeight="1">
      <c r="A175" s="7">
        <f t="shared" si="5"/>
        <v>173</v>
      </c>
      <c r="B175" s="29">
        <v>2</v>
      </c>
      <c r="C175" s="29">
        <v>11</v>
      </c>
      <c r="D175" s="5">
        <f t="shared" si="4"/>
        <v>3</v>
      </c>
      <c r="E175" s="28"/>
      <c r="F175" s="8" t="s">
        <v>388</v>
      </c>
      <c r="G175" s="12" t="s">
        <v>385</v>
      </c>
      <c r="H175" s="10" t="s">
        <v>447</v>
      </c>
      <c r="I175" s="16" t="s">
        <v>773</v>
      </c>
      <c r="J175" s="6" t="s">
        <v>643</v>
      </c>
      <c r="K175" s="2">
        <v>3</v>
      </c>
    </row>
    <row r="176" spans="1:12" s="1" customFormat="1" ht="15" customHeight="1">
      <c r="A176" s="7">
        <f t="shared" si="5"/>
        <v>174</v>
      </c>
      <c r="B176" s="29">
        <v>2</v>
      </c>
      <c r="C176" s="29">
        <v>11</v>
      </c>
      <c r="D176" s="5">
        <f t="shared" si="4"/>
        <v>4</v>
      </c>
      <c r="E176" s="5" t="s">
        <v>863</v>
      </c>
      <c r="F176" s="8" t="s">
        <v>389</v>
      </c>
      <c r="G176" s="12" t="s">
        <v>385</v>
      </c>
      <c r="H176" s="10" t="s">
        <v>390</v>
      </c>
      <c r="I176" s="16" t="s">
        <v>779</v>
      </c>
      <c r="J176" s="77" t="s">
        <v>642</v>
      </c>
      <c r="K176" s="2">
        <v>2</v>
      </c>
    </row>
    <row r="177" spans="1:12" s="1" customFormat="1" ht="15" customHeight="1">
      <c r="A177" s="7">
        <f t="shared" si="5"/>
        <v>175</v>
      </c>
      <c r="B177" s="29">
        <v>2</v>
      </c>
      <c r="C177" s="29">
        <v>11</v>
      </c>
      <c r="D177" s="5">
        <f t="shared" si="4"/>
        <v>5</v>
      </c>
      <c r="E177" s="5"/>
      <c r="F177" s="8" t="s">
        <v>391</v>
      </c>
      <c r="G177" s="12" t="s">
        <v>324</v>
      </c>
      <c r="H177" s="10" t="s">
        <v>392</v>
      </c>
      <c r="I177" s="16" t="s">
        <v>774</v>
      </c>
      <c r="J177" s="6" t="s">
        <v>643</v>
      </c>
      <c r="K177" s="2">
        <v>5</v>
      </c>
    </row>
    <row r="178" spans="1:12" s="1" customFormat="1" ht="15" customHeight="1">
      <c r="A178" s="7">
        <f t="shared" si="5"/>
        <v>176</v>
      </c>
      <c r="B178" s="29">
        <v>2</v>
      </c>
      <c r="C178" s="29">
        <v>11</v>
      </c>
      <c r="D178" s="5">
        <f t="shared" si="4"/>
        <v>6</v>
      </c>
      <c r="E178" s="5"/>
      <c r="F178" s="8" t="s">
        <v>393</v>
      </c>
      <c r="G178" s="12" t="s">
        <v>324</v>
      </c>
      <c r="H178" s="10" t="s">
        <v>394</v>
      </c>
      <c r="I178" s="16" t="s">
        <v>777</v>
      </c>
      <c r="J178" s="77" t="s">
        <v>642</v>
      </c>
      <c r="K178" s="2">
        <v>1</v>
      </c>
      <c r="L178" s="1" t="s">
        <v>778</v>
      </c>
    </row>
    <row r="179" spans="1:12" s="1" customFormat="1" ht="15" customHeight="1">
      <c r="A179" s="7">
        <f t="shared" si="5"/>
        <v>177</v>
      </c>
      <c r="B179" s="29">
        <v>2</v>
      </c>
      <c r="C179" s="29">
        <v>11</v>
      </c>
      <c r="D179" s="5">
        <f t="shared" si="4"/>
        <v>7</v>
      </c>
      <c r="E179" s="13"/>
      <c r="F179" s="8" t="s">
        <v>396</v>
      </c>
      <c r="G179" s="12" t="s">
        <v>397</v>
      </c>
      <c r="H179" s="10" t="s">
        <v>398</v>
      </c>
      <c r="I179" s="16" t="s">
        <v>776</v>
      </c>
      <c r="J179" s="77" t="s">
        <v>642</v>
      </c>
      <c r="K179" s="2">
        <v>2</v>
      </c>
    </row>
    <row r="180" spans="1:12" s="1" customFormat="1" ht="15" customHeight="1">
      <c r="A180" s="7">
        <f t="shared" si="5"/>
        <v>178</v>
      </c>
      <c r="B180" s="29">
        <v>2</v>
      </c>
      <c r="C180" s="29">
        <v>11</v>
      </c>
      <c r="D180" s="5">
        <f t="shared" si="4"/>
        <v>8</v>
      </c>
      <c r="E180" s="14"/>
      <c r="F180" s="8" t="s">
        <v>399</v>
      </c>
      <c r="G180" s="12" t="s">
        <v>397</v>
      </c>
      <c r="H180" s="10" t="s">
        <v>400</v>
      </c>
      <c r="I180" s="16" t="s">
        <v>772</v>
      </c>
      <c r="J180" s="6" t="s">
        <v>643</v>
      </c>
      <c r="K180" s="2">
        <v>2</v>
      </c>
    </row>
    <row r="181" spans="1:12" s="1" customFormat="1" ht="15" customHeight="1">
      <c r="A181" s="7">
        <f t="shared" si="5"/>
        <v>179</v>
      </c>
      <c r="B181" s="29">
        <v>2</v>
      </c>
      <c r="C181" s="29">
        <v>11</v>
      </c>
      <c r="D181" s="5">
        <f t="shared" si="4"/>
        <v>9</v>
      </c>
      <c r="E181" s="13"/>
      <c r="F181" s="8" t="s">
        <v>401</v>
      </c>
      <c r="G181" s="26" t="s">
        <v>571</v>
      </c>
      <c r="H181" s="10" t="s">
        <v>402</v>
      </c>
      <c r="I181" s="16" t="s">
        <v>579</v>
      </c>
      <c r="J181" s="6" t="s">
        <v>643</v>
      </c>
      <c r="K181" s="2">
        <v>3</v>
      </c>
    </row>
    <row r="182" spans="1:12" s="1" customFormat="1" ht="15" customHeight="1">
      <c r="A182" s="7">
        <f t="shared" si="5"/>
        <v>180</v>
      </c>
      <c r="B182" s="29">
        <v>2</v>
      </c>
      <c r="C182" s="29">
        <v>11</v>
      </c>
      <c r="D182" s="5">
        <f t="shared" si="4"/>
        <v>10</v>
      </c>
      <c r="E182" s="5"/>
      <c r="F182" s="10" t="s">
        <v>405</v>
      </c>
      <c r="G182" s="26" t="s">
        <v>397</v>
      </c>
      <c r="H182" s="52" t="s">
        <v>403</v>
      </c>
      <c r="I182" s="24" t="s">
        <v>404</v>
      </c>
      <c r="J182" s="84" t="s">
        <v>458</v>
      </c>
      <c r="K182" s="81"/>
    </row>
    <row r="183" spans="1:12" s="1" customFormat="1" ht="15" customHeight="1">
      <c r="A183" s="7">
        <f t="shared" si="5"/>
        <v>181</v>
      </c>
      <c r="B183" s="33">
        <v>2</v>
      </c>
      <c r="C183" s="33">
        <v>12</v>
      </c>
      <c r="D183" s="5">
        <f t="shared" si="4"/>
        <v>1</v>
      </c>
      <c r="E183" s="5"/>
      <c r="F183" s="8" t="s">
        <v>406</v>
      </c>
      <c r="G183" s="10" t="s">
        <v>407</v>
      </c>
      <c r="H183" s="16" t="s">
        <v>408</v>
      </c>
      <c r="I183" s="16" t="s">
        <v>781</v>
      </c>
      <c r="J183" s="77" t="s">
        <v>642</v>
      </c>
      <c r="K183" s="2">
        <v>1</v>
      </c>
    </row>
    <row r="184" spans="1:12" s="1" customFormat="1" ht="15" customHeight="1">
      <c r="A184" s="7">
        <f t="shared" si="5"/>
        <v>182</v>
      </c>
      <c r="B184" s="33">
        <v>2</v>
      </c>
      <c r="C184" s="33">
        <v>12</v>
      </c>
      <c r="D184" s="5">
        <f t="shared" si="4"/>
        <v>2</v>
      </c>
      <c r="E184" s="13"/>
      <c r="F184" s="8" t="s">
        <v>409</v>
      </c>
      <c r="G184" s="10" t="s">
        <v>606</v>
      </c>
      <c r="H184" s="10" t="s">
        <v>410</v>
      </c>
      <c r="I184" s="16" t="s">
        <v>784</v>
      </c>
      <c r="J184" s="6" t="s">
        <v>643</v>
      </c>
      <c r="K184" s="2">
        <v>2</v>
      </c>
    </row>
    <row r="185" spans="1:12" s="1" customFormat="1" ht="15" customHeight="1">
      <c r="A185" s="7">
        <f t="shared" si="5"/>
        <v>183</v>
      </c>
      <c r="B185" s="33">
        <v>2</v>
      </c>
      <c r="C185" s="33">
        <v>12</v>
      </c>
      <c r="D185" s="5">
        <f t="shared" si="4"/>
        <v>3</v>
      </c>
      <c r="E185" s="13"/>
      <c r="F185" s="8" t="s">
        <v>411</v>
      </c>
      <c r="G185" s="10" t="s">
        <v>412</v>
      </c>
      <c r="H185" s="10" t="s">
        <v>413</v>
      </c>
      <c r="I185" s="16" t="s">
        <v>586</v>
      </c>
      <c r="J185" s="6" t="s">
        <v>643</v>
      </c>
      <c r="K185" s="2">
        <v>5</v>
      </c>
    </row>
    <row r="186" spans="1:12" s="1" customFormat="1" ht="15" customHeight="1">
      <c r="A186" s="7">
        <f t="shared" si="5"/>
        <v>184</v>
      </c>
      <c r="B186" s="33">
        <v>2</v>
      </c>
      <c r="C186" s="33">
        <v>12</v>
      </c>
      <c r="D186" s="5">
        <f t="shared" si="4"/>
        <v>4</v>
      </c>
      <c r="E186" s="5"/>
      <c r="F186" s="8" t="s">
        <v>414</v>
      </c>
      <c r="G186" s="10" t="s">
        <v>415</v>
      </c>
      <c r="H186" s="10" t="s">
        <v>416</v>
      </c>
      <c r="I186" s="16" t="s">
        <v>780</v>
      </c>
      <c r="J186" s="6" t="s">
        <v>643</v>
      </c>
      <c r="K186" s="2">
        <v>1</v>
      </c>
    </row>
    <row r="187" spans="1:12" s="1" customFormat="1" ht="15" customHeight="1">
      <c r="A187" s="7">
        <f t="shared" si="5"/>
        <v>185</v>
      </c>
      <c r="B187" s="33">
        <v>2</v>
      </c>
      <c r="C187" s="33">
        <v>12</v>
      </c>
      <c r="D187" s="5">
        <f t="shared" si="4"/>
        <v>5</v>
      </c>
      <c r="E187" s="5"/>
      <c r="F187" s="8" t="s">
        <v>786</v>
      </c>
      <c r="G187" s="10" t="s">
        <v>418</v>
      </c>
      <c r="H187" s="10" t="s">
        <v>419</v>
      </c>
      <c r="I187" s="16" t="s">
        <v>787</v>
      </c>
      <c r="J187" s="6" t="s">
        <v>643</v>
      </c>
      <c r="K187" s="2">
        <v>0</v>
      </c>
    </row>
    <row r="188" spans="1:12" s="1" customFormat="1" ht="15" customHeight="1">
      <c r="A188" s="7">
        <f t="shared" si="5"/>
        <v>186</v>
      </c>
      <c r="B188" s="33">
        <v>2</v>
      </c>
      <c r="C188" s="33">
        <v>12</v>
      </c>
      <c r="D188" s="5">
        <f t="shared" si="4"/>
        <v>6</v>
      </c>
      <c r="E188" s="5"/>
      <c r="F188" s="8" t="s">
        <v>420</v>
      </c>
      <c r="G188" s="37" t="s">
        <v>418</v>
      </c>
      <c r="H188" s="37"/>
      <c r="I188" s="42" t="s">
        <v>788</v>
      </c>
      <c r="J188" s="77" t="s">
        <v>642</v>
      </c>
      <c r="K188" s="2">
        <v>0</v>
      </c>
    </row>
    <row r="189" spans="1:12" s="58" customFormat="1" ht="15" customHeight="1">
      <c r="A189" s="7">
        <f t="shared" si="5"/>
        <v>187</v>
      </c>
      <c r="B189" s="33">
        <v>2</v>
      </c>
      <c r="C189" s="33">
        <v>12</v>
      </c>
      <c r="D189" s="14">
        <f t="shared" si="4"/>
        <v>7</v>
      </c>
      <c r="E189" s="5" t="s">
        <v>863</v>
      </c>
      <c r="F189" s="15" t="s">
        <v>422</v>
      </c>
      <c r="G189" s="16" t="s">
        <v>423</v>
      </c>
      <c r="H189" s="16" t="s">
        <v>424</v>
      </c>
      <c r="I189" s="16" t="s">
        <v>782</v>
      </c>
      <c r="J189" s="6" t="s">
        <v>643</v>
      </c>
      <c r="K189" s="2">
        <v>4</v>
      </c>
    </row>
    <row r="190" spans="1:12" s="1" customFormat="1" ht="15" customHeight="1">
      <c r="A190" s="7">
        <f t="shared" si="5"/>
        <v>188</v>
      </c>
      <c r="B190" s="33">
        <v>2</v>
      </c>
      <c r="C190" s="33">
        <v>12</v>
      </c>
      <c r="D190" s="5">
        <f t="shared" si="4"/>
        <v>8</v>
      </c>
      <c r="E190" s="28"/>
      <c r="F190" s="8" t="s">
        <v>425</v>
      </c>
      <c r="G190" s="10" t="s">
        <v>426</v>
      </c>
      <c r="H190" s="10" t="s">
        <v>446</v>
      </c>
      <c r="I190" s="16" t="s">
        <v>783</v>
      </c>
      <c r="J190" s="6" t="s">
        <v>643</v>
      </c>
      <c r="K190" s="2">
        <v>4</v>
      </c>
    </row>
    <row r="191" spans="1:12" s="1" customFormat="1" ht="15" customHeight="1">
      <c r="A191" s="7">
        <f t="shared" si="5"/>
        <v>189</v>
      </c>
      <c r="B191" s="33">
        <v>2</v>
      </c>
      <c r="C191" s="33">
        <v>12</v>
      </c>
      <c r="D191" s="14">
        <f>IF(AND(B190=B191,C190=C191),D190+1,1)</f>
        <v>9</v>
      </c>
      <c r="E191" s="14"/>
      <c r="F191" s="15" t="s">
        <v>478</v>
      </c>
      <c r="G191" s="16" t="s">
        <v>479</v>
      </c>
      <c r="H191" s="16" t="s">
        <v>480</v>
      </c>
      <c r="I191" s="16" t="s">
        <v>785</v>
      </c>
      <c r="J191" s="6" t="s">
        <v>643</v>
      </c>
      <c r="K191" s="2">
        <v>1</v>
      </c>
    </row>
    <row r="192" spans="1:12" s="1" customFormat="1" ht="15" customHeight="1">
      <c r="A192" s="7">
        <f t="shared" si="5"/>
        <v>190</v>
      </c>
      <c r="B192" s="33">
        <v>2</v>
      </c>
      <c r="C192" s="33">
        <v>12</v>
      </c>
      <c r="D192" s="14">
        <f>IF(AND(B191=B192,C191=C192),D191+1,1)</f>
        <v>10</v>
      </c>
      <c r="E192" s="14"/>
      <c r="F192" s="59" t="s">
        <v>860</v>
      </c>
      <c r="G192" s="42"/>
      <c r="H192" s="42"/>
      <c r="I192" s="42"/>
      <c r="J192" s="6" t="s">
        <v>643</v>
      </c>
      <c r="K192" s="2">
        <v>1</v>
      </c>
    </row>
    <row r="194" spans="1:11" s="3" customFormat="1">
      <c r="A194" t="s">
        <v>431</v>
      </c>
      <c r="B194"/>
      <c r="C194"/>
      <c r="D194" s="28" t="s">
        <v>21</v>
      </c>
      <c r="E194" t="s">
        <v>861</v>
      </c>
      <c r="H194" s="49"/>
      <c r="I194"/>
      <c r="J194" s="28"/>
      <c r="K194" s="28"/>
    </row>
    <row r="195" spans="1:11" s="3" customFormat="1">
      <c r="A195"/>
      <c r="B195"/>
      <c r="C195"/>
      <c r="D195" s="28" t="s">
        <v>862</v>
      </c>
      <c r="E195" t="s">
        <v>450</v>
      </c>
      <c r="H195" s="49"/>
      <c r="I195"/>
      <c r="J195" s="28"/>
      <c r="K195" s="28"/>
    </row>
    <row r="196" spans="1:11" s="3" customFormat="1">
      <c r="A196"/>
      <c r="B196"/>
      <c r="C196"/>
      <c r="D196" s="35"/>
      <c r="E196" s="31" t="s">
        <v>432</v>
      </c>
      <c r="H196" s="24"/>
      <c r="I196" t="s">
        <v>572</v>
      </c>
      <c r="J196" s="28"/>
      <c r="K196" s="28"/>
    </row>
    <row r="197" spans="1:11" s="3" customFormat="1">
      <c r="A197"/>
      <c r="B197"/>
      <c r="C197"/>
      <c r="D197" s="43"/>
      <c r="E197" t="s">
        <v>441</v>
      </c>
      <c r="I197"/>
      <c r="J197" s="28"/>
      <c r="K197"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3" max="8"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034A-AC63-4E0C-AE8A-B4172420F923}">
  <sheetPr>
    <pageSetUpPr fitToPage="1"/>
  </sheetPr>
  <dimension ref="A1:L197"/>
  <sheetViews>
    <sheetView view="pageBreakPreview" zoomScaleNormal="120" zoomScaleSheetLayoutView="100" workbookViewId="0">
      <pane xSplit="6" ySplit="2" topLeftCell="G3" activePane="bottomRight" state="frozen"/>
      <selection pane="topRight" activeCell="G1" sqref="G1"/>
      <selection pane="bottomLeft" activeCell="A3" sqref="A3"/>
      <selection pane="bottomRight" activeCell="G136" sqref="G136:H136"/>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 min="10" max="10" width="5.33203125" style="28" customWidth="1"/>
    <col min="11" max="11" width="5.21875" style="28" bestFit="1" customWidth="1"/>
  </cols>
  <sheetData>
    <row r="1" spans="1:12" ht="40.5" customHeight="1">
      <c r="A1" s="155" t="s">
        <v>871</v>
      </c>
      <c r="B1" s="156"/>
      <c r="C1" s="156"/>
      <c r="D1" s="156"/>
      <c r="E1" s="156"/>
      <c r="F1" s="156"/>
      <c r="G1" s="156"/>
      <c r="H1" s="156"/>
      <c r="I1" s="156"/>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154"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si="2"/>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ref="D133:D190" si="4">IF(AND(B132=B133,C132=C133),D132+1,1)</f>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2"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si="4"/>
        <v>7</v>
      </c>
      <c r="E136" s="13"/>
      <c r="F136" s="8" t="s">
        <v>866</v>
      </c>
      <c r="G136" s="27" t="s">
        <v>296</v>
      </c>
      <c r="H136" s="23" t="s">
        <v>872</v>
      </c>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6">
        <v>2</v>
      </c>
      <c r="C153" s="46">
        <v>8</v>
      </c>
      <c r="D153" s="5">
        <f t="shared" si="4"/>
        <v>8</v>
      </c>
      <c r="E153" s="13"/>
      <c r="F153" s="8" t="s">
        <v>868</v>
      </c>
      <c r="G153" s="38"/>
      <c r="H153" s="37"/>
      <c r="I153" s="10" t="s">
        <v>869</v>
      </c>
      <c r="J153" s="78"/>
      <c r="K153" s="81"/>
    </row>
    <row r="154" spans="1:12" s="1" customFormat="1" ht="15" customHeight="1">
      <c r="A154" s="7">
        <f t="shared" si="5"/>
        <v>152</v>
      </c>
      <c r="B154" s="45">
        <v>2</v>
      </c>
      <c r="C154" s="45">
        <v>9</v>
      </c>
      <c r="D154" s="5">
        <f>IF(AND(B151=B154,C151=C154),D151+1,1)</f>
        <v>1</v>
      </c>
      <c r="E154" s="13"/>
      <c r="F154" s="8" t="s">
        <v>334</v>
      </c>
      <c r="G154" s="12" t="s">
        <v>324</v>
      </c>
      <c r="H154" s="10" t="s">
        <v>335</v>
      </c>
      <c r="I154" s="16" t="s">
        <v>755</v>
      </c>
      <c r="J154" s="6" t="s">
        <v>643</v>
      </c>
      <c r="K154" s="2">
        <v>2</v>
      </c>
    </row>
    <row r="155" spans="1:12" s="1" customFormat="1" ht="15" customHeight="1">
      <c r="A155" s="7">
        <f t="shared" si="5"/>
        <v>153</v>
      </c>
      <c r="B155" s="45">
        <v>2</v>
      </c>
      <c r="C155" s="45">
        <v>9</v>
      </c>
      <c r="D155" s="5">
        <f t="shared" si="4"/>
        <v>2</v>
      </c>
      <c r="E155" s="14"/>
      <c r="F155" s="8" t="s">
        <v>336</v>
      </c>
      <c r="G155" s="12" t="s">
        <v>324</v>
      </c>
      <c r="H155" s="10" t="s">
        <v>337</v>
      </c>
      <c r="I155" s="16" t="s">
        <v>757</v>
      </c>
      <c r="J155" s="6" t="s">
        <v>643</v>
      </c>
      <c r="K155" s="2">
        <v>2</v>
      </c>
    </row>
    <row r="156" spans="1:12" s="1" customFormat="1" ht="15" customHeight="1">
      <c r="A156" s="7">
        <f t="shared" si="5"/>
        <v>154</v>
      </c>
      <c r="B156" s="45">
        <v>2</v>
      </c>
      <c r="C156" s="45">
        <v>9</v>
      </c>
      <c r="D156" s="5">
        <f t="shared" si="4"/>
        <v>3</v>
      </c>
      <c r="E156" s="28"/>
      <c r="F156" s="8" t="s">
        <v>338</v>
      </c>
      <c r="G156" s="12" t="s">
        <v>324</v>
      </c>
      <c r="H156" s="10" t="s">
        <v>339</v>
      </c>
      <c r="I156" s="16" t="s">
        <v>502</v>
      </c>
      <c r="J156" s="6" t="s">
        <v>643</v>
      </c>
      <c r="K156" s="2">
        <v>2</v>
      </c>
    </row>
    <row r="157" spans="1:12" s="1" customFormat="1" ht="15" customHeight="1">
      <c r="A157" s="7">
        <f t="shared" si="5"/>
        <v>155</v>
      </c>
      <c r="B157" s="45">
        <v>2</v>
      </c>
      <c r="C157" s="45">
        <v>9</v>
      </c>
      <c r="D157" s="5">
        <f t="shared" si="4"/>
        <v>4</v>
      </c>
      <c r="E157" s="5"/>
      <c r="F157" s="8" t="s">
        <v>753</v>
      </c>
      <c r="G157" s="12" t="s">
        <v>324</v>
      </c>
      <c r="H157" s="10" t="s">
        <v>341</v>
      </c>
      <c r="I157" s="16" t="s">
        <v>754</v>
      </c>
      <c r="J157" s="77" t="s">
        <v>642</v>
      </c>
      <c r="K157" s="2">
        <v>0</v>
      </c>
    </row>
    <row r="158" spans="1:12" s="1" customFormat="1" ht="15" customHeight="1">
      <c r="A158" s="7">
        <f t="shared" si="5"/>
        <v>156</v>
      </c>
      <c r="B158" s="45">
        <v>2</v>
      </c>
      <c r="C158" s="45">
        <v>9</v>
      </c>
      <c r="D158" s="5">
        <f t="shared" si="4"/>
        <v>5</v>
      </c>
      <c r="E158" s="5" t="s">
        <v>863</v>
      </c>
      <c r="F158" s="8" t="s">
        <v>342</v>
      </c>
      <c r="G158" s="12" t="s">
        <v>324</v>
      </c>
      <c r="H158" s="10" t="s">
        <v>343</v>
      </c>
      <c r="I158" s="16" t="s">
        <v>756</v>
      </c>
      <c r="J158" s="6" t="s">
        <v>643</v>
      </c>
      <c r="K158" s="2">
        <v>1</v>
      </c>
    </row>
    <row r="159" spans="1:12" s="1" customFormat="1" ht="15" customHeight="1">
      <c r="A159" s="7">
        <f t="shared" si="5"/>
        <v>157</v>
      </c>
      <c r="B159" s="45">
        <v>2</v>
      </c>
      <c r="C159" s="45">
        <v>9</v>
      </c>
      <c r="D159" s="5">
        <f t="shared" si="4"/>
        <v>6</v>
      </c>
      <c r="E159" s="11"/>
      <c r="F159" s="8" t="s">
        <v>505</v>
      </c>
      <c r="G159" s="12" t="s">
        <v>324</v>
      </c>
      <c r="H159" s="10" t="s">
        <v>344</v>
      </c>
      <c r="I159" s="16" t="s">
        <v>758</v>
      </c>
      <c r="J159" s="77" t="s">
        <v>642</v>
      </c>
      <c r="K159" s="2">
        <v>0</v>
      </c>
      <c r="L159" s="1" t="s">
        <v>759</v>
      </c>
    </row>
    <row r="160" spans="1:12" s="1" customFormat="1" ht="15" customHeight="1">
      <c r="A160" s="7">
        <f t="shared" si="5"/>
        <v>158</v>
      </c>
      <c r="B160" s="45">
        <v>2</v>
      </c>
      <c r="C160" s="45">
        <v>9</v>
      </c>
      <c r="D160" s="5">
        <f t="shared" si="4"/>
        <v>7</v>
      </c>
      <c r="E160" s="5"/>
      <c r="F160" s="8" t="s">
        <v>345</v>
      </c>
      <c r="G160" s="12" t="s">
        <v>346</v>
      </c>
      <c r="H160" s="10" t="s">
        <v>347</v>
      </c>
      <c r="I160" s="16" t="s">
        <v>751</v>
      </c>
      <c r="J160" s="6" t="s">
        <v>643</v>
      </c>
      <c r="K160" s="2">
        <v>1</v>
      </c>
    </row>
    <row r="161" spans="1:12" s="1" customFormat="1" ht="15" customHeight="1">
      <c r="A161" s="7">
        <f t="shared" si="5"/>
        <v>159</v>
      </c>
      <c r="B161" s="45">
        <v>2</v>
      </c>
      <c r="C161" s="45">
        <v>9</v>
      </c>
      <c r="D161" s="5">
        <f t="shared" si="4"/>
        <v>8</v>
      </c>
      <c r="E161" s="13"/>
      <c r="F161" s="8" t="s">
        <v>457</v>
      </c>
      <c r="G161" s="12" t="s">
        <v>348</v>
      </c>
      <c r="H161" s="10" t="s">
        <v>349</v>
      </c>
      <c r="I161" s="16" t="s">
        <v>752</v>
      </c>
      <c r="J161" s="6" t="s">
        <v>643</v>
      </c>
      <c r="K161" s="2">
        <v>0</v>
      </c>
    </row>
    <row r="162" spans="1:12" s="1" customFormat="1" ht="15" customHeight="1">
      <c r="A162" s="7">
        <f t="shared" si="5"/>
        <v>160</v>
      </c>
      <c r="B162" s="33">
        <v>2</v>
      </c>
      <c r="C162" s="33">
        <v>10</v>
      </c>
      <c r="D162" s="5">
        <f t="shared" si="4"/>
        <v>1</v>
      </c>
      <c r="E162" s="13"/>
      <c r="F162" s="8" t="s">
        <v>357</v>
      </c>
      <c r="G162" s="10" t="s">
        <v>358</v>
      </c>
      <c r="H162" s="10" t="s">
        <v>359</v>
      </c>
      <c r="I162" s="16" t="s">
        <v>769</v>
      </c>
      <c r="J162" s="6" t="s">
        <v>643</v>
      </c>
      <c r="K162" s="2">
        <v>1</v>
      </c>
    </row>
    <row r="163" spans="1:12" s="1" customFormat="1" ht="15" customHeight="1">
      <c r="A163" s="7">
        <f t="shared" si="5"/>
        <v>161</v>
      </c>
      <c r="B163" s="33">
        <v>2</v>
      </c>
      <c r="C163" s="33">
        <v>10</v>
      </c>
      <c r="D163" s="5">
        <f t="shared" si="4"/>
        <v>2</v>
      </c>
      <c r="E163" s="5"/>
      <c r="F163" s="15" t="s">
        <v>369</v>
      </c>
      <c r="G163" s="10" t="s">
        <v>370</v>
      </c>
      <c r="H163" s="10" t="s">
        <v>371</v>
      </c>
      <c r="I163" s="16" t="s">
        <v>770</v>
      </c>
      <c r="J163" s="6" t="s">
        <v>643</v>
      </c>
      <c r="K163" s="2">
        <v>1</v>
      </c>
    </row>
    <row r="164" spans="1:12" s="1" customFormat="1" ht="15" customHeight="1">
      <c r="A164" s="7">
        <f t="shared" si="5"/>
        <v>162</v>
      </c>
      <c r="B164" s="33">
        <v>2</v>
      </c>
      <c r="C164" s="33">
        <v>10</v>
      </c>
      <c r="D164" s="5">
        <f t="shared" si="4"/>
        <v>3</v>
      </c>
      <c r="E164" s="13"/>
      <c r="F164" s="8" t="s">
        <v>375</v>
      </c>
      <c r="G164" s="10" t="s">
        <v>376</v>
      </c>
      <c r="H164" s="10" t="s">
        <v>377</v>
      </c>
      <c r="I164" s="16" t="s">
        <v>762</v>
      </c>
      <c r="J164" s="77" t="s">
        <v>642</v>
      </c>
      <c r="K164" s="2">
        <v>0</v>
      </c>
    </row>
    <row r="165" spans="1:12" s="1" customFormat="1" ht="15" customHeight="1">
      <c r="A165" s="7">
        <f t="shared" si="5"/>
        <v>163</v>
      </c>
      <c r="B165" s="33">
        <v>2</v>
      </c>
      <c r="C165" s="33">
        <v>10</v>
      </c>
      <c r="D165" s="5">
        <f t="shared" si="4"/>
        <v>4</v>
      </c>
      <c r="E165" s="5"/>
      <c r="F165" s="8" t="s">
        <v>381</v>
      </c>
      <c r="G165" s="9" t="s">
        <v>382</v>
      </c>
      <c r="H165" s="10" t="s">
        <v>383</v>
      </c>
      <c r="I165" s="16" t="s">
        <v>763</v>
      </c>
      <c r="J165" s="77" t="s">
        <v>642</v>
      </c>
      <c r="K165" s="2">
        <v>4</v>
      </c>
      <c r="L165" s="1" t="s">
        <v>764</v>
      </c>
    </row>
    <row r="166" spans="1:12" s="1" customFormat="1" ht="15" customHeight="1">
      <c r="A166" s="7">
        <f t="shared" si="5"/>
        <v>164</v>
      </c>
      <c r="B166" s="33">
        <v>2</v>
      </c>
      <c r="C166" s="33">
        <v>10</v>
      </c>
      <c r="D166" s="5">
        <f t="shared" si="4"/>
        <v>5</v>
      </c>
      <c r="E166" s="14"/>
      <c r="F166" s="8" t="s">
        <v>363</v>
      </c>
      <c r="G166" s="12" t="s">
        <v>364</v>
      </c>
      <c r="H166" s="10" t="s">
        <v>365</v>
      </c>
      <c r="I166" s="16" t="s">
        <v>765</v>
      </c>
      <c r="J166" s="6" t="s">
        <v>643</v>
      </c>
      <c r="K166" s="2">
        <v>0</v>
      </c>
    </row>
    <row r="167" spans="1:12" s="1" customFormat="1" ht="15" customHeight="1">
      <c r="A167" s="7">
        <f t="shared" si="5"/>
        <v>165</v>
      </c>
      <c r="B167" s="33">
        <v>2</v>
      </c>
      <c r="C167" s="33">
        <v>10</v>
      </c>
      <c r="D167" s="5">
        <f t="shared" si="4"/>
        <v>6</v>
      </c>
      <c r="E167" s="5"/>
      <c r="F167" s="8" t="s">
        <v>360</v>
      </c>
      <c r="G167" s="10" t="s">
        <v>361</v>
      </c>
      <c r="H167" s="10" t="s">
        <v>362</v>
      </c>
      <c r="I167" s="16" t="s">
        <v>766</v>
      </c>
      <c r="J167" s="6" t="s">
        <v>643</v>
      </c>
      <c r="K167" s="2">
        <v>3</v>
      </c>
    </row>
    <row r="168" spans="1:12" s="1" customFormat="1" ht="15" customHeight="1">
      <c r="A168" s="7">
        <f t="shared" si="5"/>
        <v>166</v>
      </c>
      <c r="B168" s="33">
        <v>2</v>
      </c>
      <c r="C168" s="33">
        <v>10</v>
      </c>
      <c r="D168" s="5">
        <f t="shared" si="4"/>
        <v>7</v>
      </c>
      <c r="E168" s="5"/>
      <c r="F168" s="8" t="s">
        <v>372</v>
      </c>
      <c r="G168" s="10" t="s">
        <v>373</v>
      </c>
      <c r="H168" s="10" t="s">
        <v>374</v>
      </c>
      <c r="I168" s="16" t="s">
        <v>767</v>
      </c>
      <c r="J168" s="6" t="s">
        <v>643</v>
      </c>
      <c r="K168" s="2">
        <v>1</v>
      </c>
    </row>
    <row r="169" spans="1:12" s="1" customFormat="1" ht="15" customHeight="1">
      <c r="A169" s="7">
        <f t="shared" si="5"/>
        <v>167</v>
      </c>
      <c r="B169" s="33">
        <v>2</v>
      </c>
      <c r="C169" s="33">
        <v>10</v>
      </c>
      <c r="D169" s="5">
        <f t="shared" si="4"/>
        <v>8</v>
      </c>
      <c r="E169" s="14"/>
      <c r="F169" s="8" t="s">
        <v>378</v>
      </c>
      <c r="G169" s="10" t="s">
        <v>379</v>
      </c>
      <c r="H169" s="10" t="s">
        <v>380</v>
      </c>
      <c r="I169" s="16" t="s">
        <v>761</v>
      </c>
      <c r="J169" s="77" t="s">
        <v>642</v>
      </c>
      <c r="K169" s="2">
        <v>1</v>
      </c>
    </row>
    <row r="170" spans="1:12" s="1" customFormat="1" ht="15" customHeight="1">
      <c r="A170" s="7">
        <f t="shared" si="5"/>
        <v>168</v>
      </c>
      <c r="B170" s="33">
        <v>2</v>
      </c>
      <c r="C170" s="33">
        <v>10</v>
      </c>
      <c r="D170" s="5">
        <f t="shared" si="4"/>
        <v>9</v>
      </c>
      <c r="E170" s="28"/>
      <c r="F170" s="8" t="s">
        <v>366</v>
      </c>
      <c r="G170" s="10" t="s">
        <v>367</v>
      </c>
      <c r="H170" s="10" t="s">
        <v>368</v>
      </c>
      <c r="I170" s="16" t="s">
        <v>760</v>
      </c>
      <c r="J170" s="77" t="s">
        <v>642</v>
      </c>
      <c r="K170" s="2">
        <v>0</v>
      </c>
    </row>
    <row r="171" spans="1:12" s="1" customFormat="1" ht="15" customHeight="1">
      <c r="A171" s="7">
        <f t="shared" si="5"/>
        <v>169</v>
      </c>
      <c r="B171" s="33">
        <v>2</v>
      </c>
      <c r="C171" s="33">
        <v>10</v>
      </c>
      <c r="D171" s="5">
        <f t="shared" si="4"/>
        <v>10</v>
      </c>
      <c r="E171" s="5" t="s">
        <v>863</v>
      </c>
      <c r="F171" s="8" t="s">
        <v>354</v>
      </c>
      <c r="G171" s="12" t="s">
        <v>355</v>
      </c>
      <c r="H171" s="10" t="s">
        <v>356</v>
      </c>
      <c r="I171" s="16" t="s">
        <v>768</v>
      </c>
      <c r="J171" s="6" t="s">
        <v>643</v>
      </c>
      <c r="K171" s="2">
        <v>2</v>
      </c>
    </row>
    <row r="172" spans="1:12" s="1" customFormat="1" ht="15" customHeight="1">
      <c r="A172" s="7">
        <f t="shared" si="5"/>
        <v>170</v>
      </c>
      <c r="B172" s="33">
        <v>2</v>
      </c>
      <c r="C172" s="33">
        <v>10</v>
      </c>
      <c r="D172" s="5">
        <f t="shared" si="4"/>
        <v>11</v>
      </c>
      <c r="E172" s="5"/>
      <c r="F172" s="8" t="s">
        <v>351</v>
      </c>
      <c r="G172" s="12" t="s">
        <v>352</v>
      </c>
      <c r="H172" s="10" t="s">
        <v>353</v>
      </c>
      <c r="I172" s="16"/>
      <c r="J172" s="78"/>
      <c r="K172" s="81"/>
    </row>
    <row r="173" spans="1:12" s="58" customFormat="1" ht="15" customHeight="1">
      <c r="A173" s="7">
        <f t="shared" si="5"/>
        <v>171</v>
      </c>
      <c r="B173" s="29">
        <v>2</v>
      </c>
      <c r="C173" s="29">
        <v>11</v>
      </c>
      <c r="D173" s="5">
        <f t="shared" si="4"/>
        <v>1</v>
      </c>
      <c r="E173" s="14"/>
      <c r="F173" s="15" t="s">
        <v>467</v>
      </c>
      <c r="G173" s="26" t="s">
        <v>385</v>
      </c>
      <c r="H173" s="16" t="s">
        <v>460</v>
      </c>
      <c r="I173" s="16" t="s">
        <v>775</v>
      </c>
      <c r="J173" s="6" t="s">
        <v>643</v>
      </c>
      <c r="K173" s="2">
        <v>1</v>
      </c>
    </row>
    <row r="174" spans="1:12" s="1" customFormat="1" ht="15" customHeight="1">
      <c r="A174" s="7">
        <f t="shared" si="5"/>
        <v>172</v>
      </c>
      <c r="B174" s="29">
        <v>2</v>
      </c>
      <c r="C174" s="29">
        <v>11</v>
      </c>
      <c r="D174" s="5">
        <f t="shared" si="4"/>
        <v>2</v>
      </c>
      <c r="E174" s="5"/>
      <c r="F174" s="8" t="s">
        <v>386</v>
      </c>
      <c r="G174" s="12" t="s">
        <v>385</v>
      </c>
      <c r="H174" s="10" t="s">
        <v>387</v>
      </c>
      <c r="I174" s="16" t="s">
        <v>771</v>
      </c>
      <c r="J174" s="6" t="s">
        <v>643</v>
      </c>
      <c r="K174" s="2">
        <v>1</v>
      </c>
    </row>
    <row r="175" spans="1:12" s="1" customFormat="1" ht="15" customHeight="1">
      <c r="A175" s="7">
        <f t="shared" si="5"/>
        <v>173</v>
      </c>
      <c r="B175" s="29">
        <v>2</v>
      </c>
      <c r="C175" s="29">
        <v>11</v>
      </c>
      <c r="D175" s="5">
        <f t="shared" si="4"/>
        <v>3</v>
      </c>
      <c r="E175" s="28"/>
      <c r="F175" s="8" t="s">
        <v>388</v>
      </c>
      <c r="G175" s="12" t="s">
        <v>385</v>
      </c>
      <c r="H175" s="10" t="s">
        <v>447</v>
      </c>
      <c r="I175" s="16" t="s">
        <v>773</v>
      </c>
      <c r="J175" s="6" t="s">
        <v>643</v>
      </c>
      <c r="K175" s="2">
        <v>3</v>
      </c>
    </row>
    <row r="176" spans="1:12" s="1" customFormat="1" ht="15" customHeight="1">
      <c r="A176" s="7">
        <f t="shared" si="5"/>
        <v>174</v>
      </c>
      <c r="B176" s="29">
        <v>2</v>
      </c>
      <c r="C176" s="29">
        <v>11</v>
      </c>
      <c r="D176" s="5">
        <f t="shared" si="4"/>
        <v>4</v>
      </c>
      <c r="E176" s="5" t="s">
        <v>863</v>
      </c>
      <c r="F176" s="8" t="s">
        <v>389</v>
      </c>
      <c r="G176" s="12" t="s">
        <v>385</v>
      </c>
      <c r="H176" s="10" t="s">
        <v>390</v>
      </c>
      <c r="I176" s="16" t="s">
        <v>779</v>
      </c>
      <c r="J176" s="77" t="s">
        <v>642</v>
      </c>
      <c r="K176" s="2">
        <v>2</v>
      </c>
    </row>
    <row r="177" spans="1:12" s="1" customFormat="1" ht="15" customHeight="1">
      <c r="A177" s="7">
        <f t="shared" si="5"/>
        <v>175</v>
      </c>
      <c r="B177" s="29">
        <v>2</v>
      </c>
      <c r="C177" s="29">
        <v>11</v>
      </c>
      <c r="D177" s="5">
        <f t="shared" si="4"/>
        <v>5</v>
      </c>
      <c r="E177" s="5"/>
      <c r="F177" s="8" t="s">
        <v>391</v>
      </c>
      <c r="G177" s="12" t="s">
        <v>324</v>
      </c>
      <c r="H177" s="10" t="s">
        <v>392</v>
      </c>
      <c r="I177" s="16" t="s">
        <v>774</v>
      </c>
      <c r="J177" s="6" t="s">
        <v>643</v>
      </c>
      <c r="K177" s="2">
        <v>5</v>
      </c>
    </row>
    <row r="178" spans="1:12" s="1" customFormat="1" ht="15" customHeight="1">
      <c r="A178" s="7">
        <f t="shared" si="5"/>
        <v>176</v>
      </c>
      <c r="B178" s="29">
        <v>2</v>
      </c>
      <c r="C178" s="29">
        <v>11</v>
      </c>
      <c r="D178" s="5">
        <f t="shared" si="4"/>
        <v>6</v>
      </c>
      <c r="E178" s="5"/>
      <c r="F178" s="8" t="s">
        <v>393</v>
      </c>
      <c r="G178" s="12" t="s">
        <v>324</v>
      </c>
      <c r="H178" s="10" t="s">
        <v>394</v>
      </c>
      <c r="I178" s="16" t="s">
        <v>777</v>
      </c>
      <c r="J178" s="77" t="s">
        <v>642</v>
      </c>
      <c r="K178" s="2">
        <v>1</v>
      </c>
      <c r="L178" s="1" t="s">
        <v>778</v>
      </c>
    </row>
    <row r="179" spans="1:12" s="1" customFormat="1" ht="15" customHeight="1">
      <c r="A179" s="7">
        <f t="shared" si="5"/>
        <v>177</v>
      </c>
      <c r="B179" s="29">
        <v>2</v>
      </c>
      <c r="C179" s="29">
        <v>11</v>
      </c>
      <c r="D179" s="5">
        <f t="shared" si="4"/>
        <v>7</v>
      </c>
      <c r="E179" s="13"/>
      <c r="F179" s="8" t="s">
        <v>396</v>
      </c>
      <c r="G179" s="12" t="s">
        <v>397</v>
      </c>
      <c r="H179" s="10" t="s">
        <v>398</v>
      </c>
      <c r="I179" s="16" t="s">
        <v>776</v>
      </c>
      <c r="J179" s="77" t="s">
        <v>642</v>
      </c>
      <c r="K179" s="2">
        <v>2</v>
      </c>
    </row>
    <row r="180" spans="1:12" s="1" customFormat="1" ht="15" customHeight="1">
      <c r="A180" s="7">
        <f t="shared" si="5"/>
        <v>178</v>
      </c>
      <c r="B180" s="29">
        <v>2</v>
      </c>
      <c r="C180" s="29">
        <v>11</v>
      </c>
      <c r="D180" s="5">
        <f t="shared" si="4"/>
        <v>8</v>
      </c>
      <c r="E180" s="14"/>
      <c r="F180" s="8" t="s">
        <v>399</v>
      </c>
      <c r="G180" s="12" t="s">
        <v>397</v>
      </c>
      <c r="H180" s="10" t="s">
        <v>400</v>
      </c>
      <c r="I180" s="16" t="s">
        <v>772</v>
      </c>
      <c r="J180" s="6" t="s">
        <v>643</v>
      </c>
      <c r="K180" s="2">
        <v>2</v>
      </c>
    </row>
    <row r="181" spans="1:12" s="1" customFormat="1" ht="15" customHeight="1">
      <c r="A181" s="7">
        <f t="shared" si="5"/>
        <v>179</v>
      </c>
      <c r="B181" s="29">
        <v>2</v>
      </c>
      <c r="C181" s="29">
        <v>11</v>
      </c>
      <c r="D181" s="5">
        <f t="shared" si="4"/>
        <v>9</v>
      </c>
      <c r="E181" s="13"/>
      <c r="F181" s="8" t="s">
        <v>401</v>
      </c>
      <c r="G181" s="26" t="s">
        <v>571</v>
      </c>
      <c r="H181" s="10" t="s">
        <v>402</v>
      </c>
      <c r="I181" s="16" t="s">
        <v>579</v>
      </c>
      <c r="J181" s="6" t="s">
        <v>643</v>
      </c>
      <c r="K181" s="2">
        <v>3</v>
      </c>
    </row>
    <row r="182" spans="1:12" s="1" customFormat="1" ht="15" customHeight="1">
      <c r="A182" s="7">
        <f t="shared" si="5"/>
        <v>180</v>
      </c>
      <c r="B182" s="29">
        <v>2</v>
      </c>
      <c r="C182" s="29">
        <v>11</v>
      </c>
      <c r="D182" s="5">
        <f t="shared" si="4"/>
        <v>10</v>
      </c>
      <c r="E182" s="5"/>
      <c r="F182" s="10" t="s">
        <v>405</v>
      </c>
      <c r="G182" s="26" t="s">
        <v>397</v>
      </c>
      <c r="H182" s="52" t="s">
        <v>403</v>
      </c>
      <c r="I182" s="24" t="s">
        <v>404</v>
      </c>
      <c r="J182" s="84" t="s">
        <v>458</v>
      </c>
      <c r="K182" s="81"/>
    </row>
    <row r="183" spans="1:12" s="1" customFormat="1" ht="15" customHeight="1">
      <c r="A183" s="7">
        <f t="shared" si="5"/>
        <v>181</v>
      </c>
      <c r="B183" s="33">
        <v>2</v>
      </c>
      <c r="C183" s="33">
        <v>12</v>
      </c>
      <c r="D183" s="5">
        <f t="shared" si="4"/>
        <v>1</v>
      </c>
      <c r="E183" s="5"/>
      <c r="F183" s="8" t="s">
        <v>406</v>
      </c>
      <c r="G183" s="10" t="s">
        <v>407</v>
      </c>
      <c r="H183" s="16" t="s">
        <v>408</v>
      </c>
      <c r="I183" s="16" t="s">
        <v>781</v>
      </c>
      <c r="J183" s="77" t="s">
        <v>642</v>
      </c>
      <c r="K183" s="2">
        <v>1</v>
      </c>
    </row>
    <row r="184" spans="1:12" s="1" customFormat="1" ht="15" customHeight="1">
      <c r="A184" s="7">
        <f t="shared" si="5"/>
        <v>182</v>
      </c>
      <c r="B184" s="33">
        <v>2</v>
      </c>
      <c r="C184" s="33">
        <v>12</v>
      </c>
      <c r="D184" s="5">
        <f t="shared" si="4"/>
        <v>2</v>
      </c>
      <c r="E184" s="13"/>
      <c r="F184" s="8" t="s">
        <v>409</v>
      </c>
      <c r="G184" s="10" t="s">
        <v>606</v>
      </c>
      <c r="H184" s="10" t="s">
        <v>410</v>
      </c>
      <c r="I184" s="16" t="s">
        <v>784</v>
      </c>
      <c r="J184" s="6" t="s">
        <v>643</v>
      </c>
      <c r="K184" s="2">
        <v>2</v>
      </c>
    </row>
    <row r="185" spans="1:12" s="1" customFormat="1" ht="15" customHeight="1">
      <c r="A185" s="7">
        <f t="shared" si="5"/>
        <v>183</v>
      </c>
      <c r="B185" s="33">
        <v>2</v>
      </c>
      <c r="C185" s="33">
        <v>12</v>
      </c>
      <c r="D185" s="5">
        <f t="shared" si="4"/>
        <v>3</v>
      </c>
      <c r="E185" s="13"/>
      <c r="F185" s="8" t="s">
        <v>411</v>
      </c>
      <c r="G185" s="10" t="s">
        <v>412</v>
      </c>
      <c r="H185" s="10" t="s">
        <v>413</v>
      </c>
      <c r="I185" s="16" t="s">
        <v>586</v>
      </c>
      <c r="J185" s="6" t="s">
        <v>643</v>
      </c>
      <c r="K185" s="2">
        <v>5</v>
      </c>
    </row>
    <row r="186" spans="1:12" s="1" customFormat="1" ht="15" customHeight="1">
      <c r="A186" s="7">
        <f t="shared" si="5"/>
        <v>184</v>
      </c>
      <c r="B186" s="33">
        <v>2</v>
      </c>
      <c r="C186" s="33">
        <v>12</v>
      </c>
      <c r="D186" s="5">
        <f t="shared" si="4"/>
        <v>4</v>
      </c>
      <c r="E186" s="5"/>
      <c r="F186" s="8" t="s">
        <v>414</v>
      </c>
      <c r="G186" s="10" t="s">
        <v>415</v>
      </c>
      <c r="H186" s="10" t="s">
        <v>416</v>
      </c>
      <c r="I186" s="16" t="s">
        <v>780</v>
      </c>
      <c r="J186" s="6" t="s">
        <v>643</v>
      </c>
      <c r="K186" s="2">
        <v>1</v>
      </c>
    </row>
    <row r="187" spans="1:12" s="1" customFormat="1" ht="15" customHeight="1">
      <c r="A187" s="7">
        <f t="shared" si="5"/>
        <v>185</v>
      </c>
      <c r="B187" s="33">
        <v>2</v>
      </c>
      <c r="C187" s="33">
        <v>12</v>
      </c>
      <c r="D187" s="5">
        <f t="shared" si="4"/>
        <v>5</v>
      </c>
      <c r="E187" s="5"/>
      <c r="F187" s="8" t="s">
        <v>786</v>
      </c>
      <c r="G187" s="10" t="s">
        <v>418</v>
      </c>
      <c r="H187" s="10" t="s">
        <v>419</v>
      </c>
      <c r="I187" s="16" t="s">
        <v>787</v>
      </c>
      <c r="J187" s="6" t="s">
        <v>643</v>
      </c>
      <c r="K187" s="2">
        <v>0</v>
      </c>
    </row>
    <row r="188" spans="1:12" s="1" customFormat="1" ht="15" customHeight="1">
      <c r="A188" s="7">
        <f t="shared" si="5"/>
        <v>186</v>
      </c>
      <c r="B188" s="33">
        <v>2</v>
      </c>
      <c r="C188" s="33">
        <v>12</v>
      </c>
      <c r="D188" s="5">
        <f t="shared" si="4"/>
        <v>6</v>
      </c>
      <c r="E188" s="5"/>
      <c r="F188" s="8" t="s">
        <v>420</v>
      </c>
      <c r="G188" s="37" t="s">
        <v>418</v>
      </c>
      <c r="H188" s="37"/>
      <c r="I188" s="42" t="s">
        <v>788</v>
      </c>
      <c r="J188" s="77" t="s">
        <v>642</v>
      </c>
      <c r="K188" s="2">
        <v>0</v>
      </c>
    </row>
    <row r="189" spans="1:12" s="58" customFormat="1" ht="15" customHeight="1">
      <c r="A189" s="7">
        <f t="shared" si="5"/>
        <v>187</v>
      </c>
      <c r="B189" s="33">
        <v>2</v>
      </c>
      <c r="C189" s="33">
        <v>12</v>
      </c>
      <c r="D189" s="14">
        <f t="shared" si="4"/>
        <v>7</v>
      </c>
      <c r="E189" s="5" t="s">
        <v>863</v>
      </c>
      <c r="F189" s="15" t="s">
        <v>422</v>
      </c>
      <c r="G189" s="16" t="s">
        <v>423</v>
      </c>
      <c r="H189" s="16" t="s">
        <v>424</v>
      </c>
      <c r="I189" s="16" t="s">
        <v>782</v>
      </c>
      <c r="J189" s="6" t="s">
        <v>643</v>
      </c>
      <c r="K189" s="2">
        <v>4</v>
      </c>
    </row>
    <row r="190" spans="1:12" s="1" customFormat="1" ht="15" customHeight="1">
      <c r="A190" s="7">
        <f t="shared" si="5"/>
        <v>188</v>
      </c>
      <c r="B190" s="33">
        <v>2</v>
      </c>
      <c r="C190" s="33">
        <v>12</v>
      </c>
      <c r="D190" s="5">
        <f t="shared" si="4"/>
        <v>8</v>
      </c>
      <c r="E190" s="28"/>
      <c r="F190" s="8" t="s">
        <v>425</v>
      </c>
      <c r="G190" s="10" t="s">
        <v>426</v>
      </c>
      <c r="H190" s="10" t="s">
        <v>446</v>
      </c>
      <c r="I190" s="16" t="s">
        <v>783</v>
      </c>
      <c r="J190" s="6" t="s">
        <v>643</v>
      </c>
      <c r="K190" s="2">
        <v>4</v>
      </c>
    </row>
    <row r="191" spans="1:12" s="1" customFormat="1" ht="15" customHeight="1">
      <c r="A191" s="7">
        <f t="shared" si="5"/>
        <v>189</v>
      </c>
      <c r="B191" s="33">
        <v>2</v>
      </c>
      <c r="C191" s="33">
        <v>12</v>
      </c>
      <c r="D191" s="14">
        <f>IF(AND(B190=B191,C190=C191),D190+1,1)</f>
        <v>9</v>
      </c>
      <c r="E191" s="14"/>
      <c r="F191" s="15" t="s">
        <v>478</v>
      </c>
      <c r="G191" s="16" t="s">
        <v>479</v>
      </c>
      <c r="H191" s="16" t="s">
        <v>480</v>
      </c>
      <c r="I191" s="16" t="s">
        <v>785</v>
      </c>
      <c r="J191" s="6" t="s">
        <v>643</v>
      </c>
      <c r="K191" s="2">
        <v>1</v>
      </c>
    </row>
    <row r="192" spans="1:12" s="1" customFormat="1" ht="15" customHeight="1">
      <c r="A192" s="7">
        <f t="shared" si="5"/>
        <v>190</v>
      </c>
      <c r="B192" s="33">
        <v>2</v>
      </c>
      <c r="C192" s="33">
        <v>12</v>
      </c>
      <c r="D192" s="14">
        <f>IF(AND(B191=B192,C191=C192),D191+1,1)</f>
        <v>10</v>
      </c>
      <c r="E192" s="14"/>
      <c r="F192" s="59" t="s">
        <v>860</v>
      </c>
      <c r="G192" s="42"/>
      <c r="H192" s="42"/>
      <c r="I192" s="42"/>
      <c r="J192" s="6" t="s">
        <v>643</v>
      </c>
      <c r="K192" s="2">
        <v>1</v>
      </c>
    </row>
    <row r="194" spans="1:11" s="3" customFormat="1">
      <c r="A194" t="s">
        <v>431</v>
      </c>
      <c r="B194"/>
      <c r="C194"/>
      <c r="D194" s="28" t="s">
        <v>21</v>
      </c>
      <c r="E194" t="s">
        <v>861</v>
      </c>
      <c r="H194" s="49"/>
      <c r="I194"/>
      <c r="J194" s="28"/>
      <c r="K194" s="28"/>
    </row>
    <row r="195" spans="1:11" s="3" customFormat="1">
      <c r="A195"/>
      <c r="B195"/>
      <c r="C195"/>
      <c r="D195" s="28" t="s">
        <v>862</v>
      </c>
      <c r="E195" t="s">
        <v>450</v>
      </c>
      <c r="H195" s="49"/>
      <c r="I195"/>
      <c r="J195" s="28"/>
      <c r="K195" s="28"/>
    </row>
    <row r="196" spans="1:11" s="3" customFormat="1">
      <c r="A196"/>
      <c r="B196"/>
      <c r="C196"/>
      <c r="D196" s="35"/>
      <c r="E196" s="31" t="s">
        <v>432</v>
      </c>
      <c r="H196" s="24"/>
      <c r="I196" t="s">
        <v>572</v>
      </c>
      <c r="J196" s="28"/>
      <c r="K196" s="28"/>
    </row>
    <row r="197" spans="1:11" s="3" customFormat="1">
      <c r="A197"/>
      <c r="B197"/>
      <c r="C197"/>
      <c r="D197" s="43"/>
      <c r="E197" t="s">
        <v>441</v>
      </c>
      <c r="I197"/>
      <c r="J197" s="28"/>
      <c r="K197"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3" max="8"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88DE-5489-495D-B384-443467C55D57}">
  <sheetPr>
    <pageSetUpPr fitToPage="1"/>
  </sheetPr>
  <dimension ref="A1:L197"/>
  <sheetViews>
    <sheetView view="pageBreakPreview" zoomScaleNormal="120" zoomScaleSheetLayoutView="100" workbookViewId="0">
      <pane xSplit="6" ySplit="2" topLeftCell="G102" activePane="bottomRight" state="frozen"/>
      <selection pane="topRight" activeCell="G1" sqref="G1"/>
      <selection pane="bottomLeft" activeCell="A3" sqref="A3"/>
      <selection pane="bottomRight" activeCell="A2" sqref="A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 min="10" max="10" width="5.33203125" style="28" customWidth="1"/>
    <col min="11" max="11" width="5.21875" style="28" bestFit="1" customWidth="1"/>
  </cols>
  <sheetData>
    <row r="1" spans="1:12" ht="40.5" customHeight="1">
      <c r="A1" s="155" t="s">
        <v>870</v>
      </c>
      <c r="B1" s="156"/>
      <c r="C1" s="156"/>
      <c r="D1" s="156"/>
      <c r="E1" s="156"/>
      <c r="F1" s="156"/>
      <c r="G1" s="156"/>
      <c r="H1" s="156"/>
      <c r="I1" s="156"/>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10"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4" si="3">ROW()-2</f>
        <v>68</v>
      </c>
      <c r="B70" s="33">
        <v>1</v>
      </c>
      <c r="C70" s="33">
        <v>10</v>
      </c>
      <c r="D70" s="5">
        <f t="shared" si="2"/>
        <v>4</v>
      </c>
      <c r="E70" s="28"/>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7">
        <f t="shared" si="3"/>
        <v>110</v>
      </c>
      <c r="B112" s="46">
        <v>2</v>
      </c>
      <c r="C112" s="46">
        <v>3</v>
      </c>
      <c r="D112" s="5">
        <f t="shared" si="2"/>
        <v>2</v>
      </c>
      <c r="E112" s="14"/>
      <c r="F112" s="15" t="s">
        <v>246</v>
      </c>
      <c r="G112" s="12" t="s">
        <v>242</v>
      </c>
      <c r="H112" s="10" t="s">
        <v>247</v>
      </c>
      <c r="I112" s="16" t="s">
        <v>716</v>
      </c>
      <c r="J112" s="6" t="s">
        <v>643</v>
      </c>
      <c r="K112" s="2">
        <v>1</v>
      </c>
    </row>
    <row r="113" spans="1:12" s="1" customFormat="1" ht="15" customHeight="1">
      <c r="A113" s="7">
        <f t="shared" si="3"/>
        <v>111</v>
      </c>
      <c r="B113" s="46">
        <v>2</v>
      </c>
      <c r="C113" s="46">
        <v>3</v>
      </c>
      <c r="D113" s="5">
        <f t="shared" si="2"/>
        <v>3</v>
      </c>
      <c r="E113" s="28"/>
      <c r="F113" s="15" t="s">
        <v>248</v>
      </c>
      <c r="G113" s="26" t="s">
        <v>249</v>
      </c>
      <c r="H113" s="16" t="s">
        <v>250</v>
      </c>
      <c r="I113" s="16" t="s">
        <v>717</v>
      </c>
      <c r="J113" s="6" t="s">
        <v>643</v>
      </c>
      <c r="K113" s="2">
        <v>2</v>
      </c>
    </row>
    <row r="114" spans="1:12" s="1" customFormat="1" ht="15" customHeight="1">
      <c r="A114" s="7">
        <f t="shared" si="3"/>
        <v>112</v>
      </c>
      <c r="B114" s="46">
        <v>2</v>
      </c>
      <c r="C114" s="46">
        <v>3</v>
      </c>
      <c r="D114" s="5">
        <f t="shared" si="2"/>
        <v>4</v>
      </c>
      <c r="E114" s="13"/>
      <c r="F114" s="15" t="s">
        <v>714</v>
      </c>
      <c r="G114" s="26" t="s">
        <v>249</v>
      </c>
      <c r="H114" s="16" t="s">
        <v>252</v>
      </c>
      <c r="I114" s="16" t="s">
        <v>715</v>
      </c>
      <c r="J114" s="6" t="s">
        <v>643</v>
      </c>
      <c r="K114" s="2">
        <v>0</v>
      </c>
    </row>
    <row r="115" spans="1:12" s="1" customFormat="1" ht="15" customHeight="1">
      <c r="A115" s="7">
        <f t="shared" si="3"/>
        <v>113</v>
      </c>
      <c r="B115" s="46">
        <v>2</v>
      </c>
      <c r="C115" s="46">
        <v>3</v>
      </c>
      <c r="D115" s="5">
        <f t="shared" si="2"/>
        <v>5</v>
      </c>
      <c r="E115" s="13"/>
      <c r="F115" s="15" t="s">
        <v>463</v>
      </c>
      <c r="G115" s="26" t="s">
        <v>242</v>
      </c>
      <c r="H115" s="16"/>
      <c r="I115" s="24" t="s">
        <v>461</v>
      </c>
      <c r="J115" s="78"/>
      <c r="K115" s="81"/>
    </row>
    <row r="116" spans="1:12" s="1" customFormat="1" ht="15" customHeight="1">
      <c r="A116" s="7">
        <f t="shared" si="3"/>
        <v>114</v>
      </c>
      <c r="B116" s="33">
        <v>2</v>
      </c>
      <c r="C116" s="33">
        <v>4</v>
      </c>
      <c r="D116" s="5">
        <f>IF(AND(B114=B116,C114=C116),D114+1,1)</f>
        <v>1</v>
      </c>
      <c r="E116" s="5" t="s">
        <v>863</v>
      </c>
      <c r="F116" s="8" t="s">
        <v>253</v>
      </c>
      <c r="G116" s="12" t="s">
        <v>254</v>
      </c>
      <c r="H116" s="10" t="s">
        <v>255</v>
      </c>
      <c r="I116" s="16" t="s">
        <v>719</v>
      </c>
      <c r="J116" s="6" t="s">
        <v>643</v>
      </c>
      <c r="K116" s="2">
        <v>3</v>
      </c>
    </row>
    <row r="117" spans="1:12" s="1" customFormat="1" ht="15" customHeight="1">
      <c r="A117" s="7">
        <f t="shared" si="3"/>
        <v>115</v>
      </c>
      <c r="B117" s="33">
        <v>2</v>
      </c>
      <c r="C117" s="33">
        <v>4</v>
      </c>
      <c r="D117" s="5">
        <f t="shared" si="2"/>
        <v>2</v>
      </c>
      <c r="E117" s="5"/>
      <c r="F117" s="8" t="s">
        <v>256</v>
      </c>
      <c r="G117" s="12" t="s">
        <v>257</v>
      </c>
      <c r="H117" s="10" t="s">
        <v>258</v>
      </c>
      <c r="I117" s="16" t="s">
        <v>566</v>
      </c>
      <c r="J117" s="77" t="s">
        <v>642</v>
      </c>
      <c r="K117" s="2">
        <v>0</v>
      </c>
      <c r="L117" s="1" t="s">
        <v>720</v>
      </c>
    </row>
    <row r="118" spans="1:12" s="1" customFormat="1" ht="15" customHeight="1">
      <c r="A118" s="7">
        <f t="shared" si="3"/>
        <v>116</v>
      </c>
      <c r="B118" s="33">
        <v>2</v>
      </c>
      <c r="C118" s="33">
        <v>4</v>
      </c>
      <c r="D118" s="5">
        <f t="shared" si="2"/>
        <v>3</v>
      </c>
      <c r="E118" s="13"/>
      <c r="F118" s="15" t="s">
        <v>259</v>
      </c>
      <c r="G118" s="74" t="s">
        <v>257</v>
      </c>
      <c r="H118" s="16" t="s">
        <v>260</v>
      </c>
      <c r="I118" s="16" t="s">
        <v>722</v>
      </c>
      <c r="J118" s="77" t="s">
        <v>642</v>
      </c>
      <c r="K118" s="2">
        <v>1</v>
      </c>
    </row>
    <row r="119" spans="1:12" s="1" customFormat="1" ht="15" customHeight="1">
      <c r="A119" s="7">
        <f t="shared" si="3"/>
        <v>117</v>
      </c>
      <c r="B119" s="33">
        <v>2</v>
      </c>
      <c r="C119" s="33">
        <v>4</v>
      </c>
      <c r="D119" s="5">
        <f t="shared" si="2"/>
        <v>4</v>
      </c>
      <c r="E119" s="28"/>
      <c r="F119" s="15" t="s">
        <v>261</v>
      </c>
      <c r="G119" s="10" t="s">
        <v>262</v>
      </c>
      <c r="H119" s="10" t="s">
        <v>263</v>
      </c>
      <c r="I119" s="16" t="s">
        <v>721</v>
      </c>
      <c r="J119" s="6" t="s">
        <v>643</v>
      </c>
      <c r="K119" s="2">
        <v>5</v>
      </c>
    </row>
    <row r="120" spans="1:12" s="1" customFormat="1" ht="15" customHeight="1">
      <c r="A120" s="7">
        <f t="shared" si="3"/>
        <v>118</v>
      </c>
      <c r="B120" s="33">
        <v>2</v>
      </c>
      <c r="C120" s="33">
        <v>4</v>
      </c>
      <c r="D120" s="5">
        <f t="shared" si="2"/>
        <v>5</v>
      </c>
      <c r="E120" s="14"/>
      <c r="F120" s="8" t="s">
        <v>264</v>
      </c>
      <c r="G120" s="26" t="s">
        <v>257</v>
      </c>
      <c r="H120" s="10" t="s">
        <v>265</v>
      </c>
      <c r="I120" s="16" t="s">
        <v>718</v>
      </c>
      <c r="J120" s="77" t="s">
        <v>642</v>
      </c>
      <c r="K120" s="2">
        <v>1</v>
      </c>
    </row>
    <row r="121" spans="1:12" s="1" customFormat="1" ht="15" customHeight="1">
      <c r="A121" s="7">
        <f t="shared" si="3"/>
        <v>119</v>
      </c>
      <c r="B121" s="44">
        <v>2</v>
      </c>
      <c r="C121" s="44">
        <v>5</v>
      </c>
      <c r="D121" s="5">
        <f t="shared" si="2"/>
        <v>1</v>
      </c>
      <c r="E121" s="5"/>
      <c r="F121" s="8" t="s">
        <v>435</v>
      </c>
      <c r="G121" s="26" t="s">
        <v>266</v>
      </c>
      <c r="H121" s="10" t="s">
        <v>267</v>
      </c>
      <c r="I121" s="16" t="s">
        <v>723</v>
      </c>
      <c r="J121" s="6" t="s">
        <v>643</v>
      </c>
      <c r="K121" s="2">
        <v>2</v>
      </c>
    </row>
    <row r="122" spans="1:12" s="1" customFormat="1" ht="15" customHeight="1">
      <c r="A122" s="7">
        <f t="shared" si="3"/>
        <v>120</v>
      </c>
      <c r="B122" s="44">
        <v>2</v>
      </c>
      <c r="C122" s="44">
        <v>5</v>
      </c>
      <c r="D122" s="5">
        <f t="shared" si="2"/>
        <v>2</v>
      </c>
      <c r="E122" s="28"/>
      <c r="F122" s="8" t="s">
        <v>268</v>
      </c>
      <c r="G122" s="26" t="s">
        <v>266</v>
      </c>
      <c r="H122" s="10" t="s">
        <v>269</v>
      </c>
      <c r="I122" s="16" t="s">
        <v>727</v>
      </c>
      <c r="J122" s="6" t="s">
        <v>643</v>
      </c>
      <c r="K122" s="2">
        <v>2</v>
      </c>
    </row>
    <row r="123" spans="1:12" s="1" customFormat="1" ht="15" customHeight="1">
      <c r="A123" s="7">
        <f t="shared" si="3"/>
        <v>121</v>
      </c>
      <c r="B123" s="44">
        <v>2</v>
      </c>
      <c r="C123" s="44">
        <v>5</v>
      </c>
      <c r="D123" s="5">
        <f t="shared" si="2"/>
        <v>3</v>
      </c>
      <c r="E123" s="5"/>
      <c r="F123" s="8" t="s">
        <v>271</v>
      </c>
      <c r="G123" s="26" t="s">
        <v>254</v>
      </c>
      <c r="H123" s="10" t="s">
        <v>272</v>
      </c>
      <c r="I123" s="16" t="s">
        <v>725</v>
      </c>
      <c r="J123" s="6" t="s">
        <v>643</v>
      </c>
      <c r="K123" s="2">
        <v>1</v>
      </c>
    </row>
    <row r="124" spans="1:12" s="1" customFormat="1" ht="15" customHeight="1">
      <c r="A124" s="7">
        <f t="shared" si="3"/>
        <v>122</v>
      </c>
      <c r="B124" s="44">
        <v>2</v>
      </c>
      <c r="C124" s="44">
        <v>5</v>
      </c>
      <c r="D124" s="5">
        <f t="shared" si="2"/>
        <v>4</v>
      </c>
      <c r="E124" s="5" t="s">
        <v>863</v>
      </c>
      <c r="F124" s="8" t="s">
        <v>273</v>
      </c>
      <c r="G124" s="26" t="s">
        <v>266</v>
      </c>
      <c r="H124" s="10" t="s">
        <v>274</v>
      </c>
      <c r="I124" s="16" t="s">
        <v>729</v>
      </c>
      <c r="J124" s="77" t="s">
        <v>642</v>
      </c>
      <c r="K124" s="2">
        <v>1</v>
      </c>
    </row>
    <row r="125" spans="1:12" s="1" customFormat="1" ht="15" customHeight="1">
      <c r="A125" s="7">
        <f t="shared" si="3"/>
        <v>123</v>
      </c>
      <c r="B125" s="44">
        <v>2</v>
      </c>
      <c r="C125" s="44">
        <v>5</v>
      </c>
      <c r="D125" s="5">
        <f t="shared" si="2"/>
        <v>5</v>
      </c>
      <c r="E125" s="13"/>
      <c r="F125" s="8" t="s">
        <v>275</v>
      </c>
      <c r="G125" s="26" t="s">
        <v>254</v>
      </c>
      <c r="H125" s="10" t="s">
        <v>276</v>
      </c>
      <c r="I125" s="16" t="s">
        <v>726</v>
      </c>
      <c r="J125" s="6" t="s">
        <v>643</v>
      </c>
      <c r="K125" s="2">
        <v>3</v>
      </c>
    </row>
    <row r="126" spans="1:12" s="1" customFormat="1" ht="15" customHeight="1">
      <c r="A126" s="7">
        <f t="shared" si="3"/>
        <v>124</v>
      </c>
      <c r="B126" s="44">
        <v>2</v>
      </c>
      <c r="C126" s="44">
        <v>5</v>
      </c>
      <c r="D126" s="5">
        <f t="shared" si="2"/>
        <v>6</v>
      </c>
      <c r="E126" s="14"/>
      <c r="F126" s="8" t="s">
        <v>277</v>
      </c>
      <c r="G126" s="26" t="s">
        <v>266</v>
      </c>
      <c r="H126" s="10" t="s">
        <v>278</v>
      </c>
      <c r="I126" s="16" t="s">
        <v>728</v>
      </c>
      <c r="J126" s="6" t="s">
        <v>643</v>
      </c>
      <c r="K126" s="2">
        <v>1</v>
      </c>
    </row>
    <row r="127" spans="1:12" s="1" customFormat="1" ht="15" customHeight="1">
      <c r="A127" s="7">
        <f t="shared" si="3"/>
        <v>125</v>
      </c>
      <c r="B127" s="44">
        <v>2</v>
      </c>
      <c r="C127" s="44">
        <v>5</v>
      </c>
      <c r="D127" s="5">
        <f t="shared" si="2"/>
        <v>7</v>
      </c>
      <c r="E127" s="5"/>
      <c r="F127" s="8" t="s">
        <v>279</v>
      </c>
      <c r="G127" s="26" t="s">
        <v>266</v>
      </c>
      <c r="H127" s="10" t="s">
        <v>280</v>
      </c>
      <c r="I127" s="16" t="s">
        <v>724</v>
      </c>
      <c r="J127" s="6" t="s">
        <v>643</v>
      </c>
      <c r="K127" s="2">
        <v>1</v>
      </c>
    </row>
    <row r="128" spans="1:12" s="1" customFormat="1" ht="15" customHeight="1">
      <c r="A128" s="7">
        <f t="shared" si="3"/>
        <v>126</v>
      </c>
      <c r="B128" s="44">
        <v>2</v>
      </c>
      <c r="C128" s="44">
        <v>5</v>
      </c>
      <c r="D128" s="5">
        <f t="shared" si="2"/>
        <v>8</v>
      </c>
      <c r="E128" s="13"/>
      <c r="F128" s="8" t="s">
        <v>281</v>
      </c>
      <c r="G128" s="26" t="s">
        <v>254</v>
      </c>
      <c r="H128" s="10" t="s">
        <v>282</v>
      </c>
      <c r="I128" s="16"/>
      <c r="J128" s="78"/>
      <c r="K128" s="81"/>
    </row>
    <row r="129" spans="1:12" s="1" customFormat="1" ht="15" customHeight="1">
      <c r="A129" s="7">
        <f t="shared" si="3"/>
        <v>127</v>
      </c>
      <c r="B129" s="44">
        <v>2</v>
      </c>
      <c r="C129" s="44">
        <v>5</v>
      </c>
      <c r="D129" s="5">
        <f t="shared" si="2"/>
        <v>9</v>
      </c>
      <c r="E129" s="14"/>
      <c r="F129" s="8" t="s">
        <v>283</v>
      </c>
      <c r="G129" s="38"/>
      <c r="H129" s="37"/>
      <c r="I129" s="24" t="s">
        <v>284</v>
      </c>
      <c r="J129" s="84" t="s">
        <v>285</v>
      </c>
      <c r="K129" s="81"/>
    </row>
    <row r="130" spans="1:12" s="1" customFormat="1" ht="15" customHeight="1">
      <c r="A130" s="7">
        <f t="shared" si="3"/>
        <v>128</v>
      </c>
      <c r="B130" s="46">
        <v>2</v>
      </c>
      <c r="C130" s="46">
        <v>6</v>
      </c>
      <c r="D130" s="5">
        <f>IF(AND(B128=B130,C128=C130),D128+1,1)</f>
        <v>1</v>
      </c>
      <c r="E130" s="153"/>
      <c r="F130" s="8" t="s">
        <v>286</v>
      </c>
      <c r="G130" s="12" t="s">
        <v>287</v>
      </c>
      <c r="H130" s="10" t="s">
        <v>288</v>
      </c>
      <c r="I130" s="16" t="s">
        <v>735</v>
      </c>
      <c r="J130" s="6" t="s">
        <v>643</v>
      </c>
      <c r="K130" s="2">
        <v>3</v>
      </c>
    </row>
    <row r="131" spans="1:12" s="1" customFormat="1" ht="15" customHeight="1">
      <c r="A131" s="7">
        <f t="shared" si="3"/>
        <v>129</v>
      </c>
      <c r="B131" s="46">
        <v>2</v>
      </c>
      <c r="C131" s="46">
        <v>6</v>
      </c>
      <c r="D131" s="5">
        <f t="shared" si="2"/>
        <v>2</v>
      </c>
      <c r="E131" s="11"/>
      <c r="F131" s="8" t="s">
        <v>289</v>
      </c>
      <c r="G131" s="12" t="s">
        <v>287</v>
      </c>
      <c r="H131" s="10" t="s">
        <v>290</v>
      </c>
      <c r="I131" s="16" t="s">
        <v>732</v>
      </c>
      <c r="J131" s="6" t="s">
        <v>643</v>
      </c>
      <c r="K131" s="2">
        <v>2</v>
      </c>
    </row>
    <row r="132" spans="1:12" s="1" customFormat="1" ht="15" customHeight="1">
      <c r="A132" s="7">
        <f t="shared" si="3"/>
        <v>130</v>
      </c>
      <c r="B132" s="46">
        <v>2</v>
      </c>
      <c r="C132" s="46">
        <v>6</v>
      </c>
      <c r="D132" s="5">
        <f t="shared" si="2"/>
        <v>3</v>
      </c>
      <c r="E132" s="14"/>
      <c r="F132" s="8" t="s">
        <v>730</v>
      </c>
      <c r="G132" s="12" t="s">
        <v>287</v>
      </c>
      <c r="H132" s="10" t="s">
        <v>292</v>
      </c>
      <c r="I132" s="16" t="s">
        <v>731</v>
      </c>
      <c r="J132" s="6" t="s">
        <v>643</v>
      </c>
      <c r="K132" s="2">
        <v>3</v>
      </c>
    </row>
    <row r="133" spans="1:12" s="1" customFormat="1" ht="15" customHeight="1">
      <c r="A133" s="7">
        <f t="shared" si="3"/>
        <v>131</v>
      </c>
      <c r="B133" s="46">
        <v>2</v>
      </c>
      <c r="C133" s="46">
        <v>6</v>
      </c>
      <c r="D133" s="5">
        <f t="shared" ref="D133:D190" si="4">IF(AND(B132=B133,C132=C133),D132+1,1)</f>
        <v>4</v>
      </c>
      <c r="E133" s="5"/>
      <c r="F133" s="8" t="s">
        <v>293</v>
      </c>
      <c r="G133" s="12" t="s">
        <v>287</v>
      </c>
      <c r="H133" s="10" t="s">
        <v>294</v>
      </c>
      <c r="I133" s="16" t="s">
        <v>733</v>
      </c>
      <c r="J133" s="6" t="s">
        <v>643</v>
      </c>
      <c r="K133" s="2">
        <v>2</v>
      </c>
    </row>
    <row r="134" spans="1:12" s="1" customFormat="1" ht="15" customHeight="1">
      <c r="A134" s="7">
        <f t="shared" si="3"/>
        <v>132</v>
      </c>
      <c r="B134" s="46">
        <v>2</v>
      </c>
      <c r="C134" s="46">
        <v>6</v>
      </c>
      <c r="D134" s="5">
        <f t="shared" si="4"/>
        <v>5</v>
      </c>
      <c r="E134" s="5" t="s">
        <v>863</v>
      </c>
      <c r="F134" s="8" t="s">
        <v>295</v>
      </c>
      <c r="G134" s="12" t="s">
        <v>296</v>
      </c>
      <c r="H134" s="10" t="s">
        <v>297</v>
      </c>
      <c r="I134" s="16" t="s">
        <v>734</v>
      </c>
      <c r="J134" s="6" t="s">
        <v>643</v>
      </c>
      <c r="K134" s="2">
        <v>0</v>
      </c>
    </row>
    <row r="135" spans="1:12" s="1" customFormat="1" ht="15" customHeight="1">
      <c r="A135" s="7">
        <f t="shared" ref="A135:A192" si="5">ROW()-2</f>
        <v>133</v>
      </c>
      <c r="B135" s="46">
        <v>2</v>
      </c>
      <c r="C135" s="46">
        <v>6</v>
      </c>
      <c r="D135" s="5">
        <f t="shared" si="4"/>
        <v>6</v>
      </c>
      <c r="E135" s="13"/>
      <c r="F135" s="8" t="s">
        <v>299</v>
      </c>
      <c r="G135" s="12" t="s">
        <v>296</v>
      </c>
      <c r="H135" s="10" t="s">
        <v>300</v>
      </c>
      <c r="I135" s="16"/>
      <c r="J135" s="78"/>
      <c r="K135" s="81"/>
    </row>
    <row r="136" spans="1:12" s="1" customFormat="1" ht="15" customHeight="1">
      <c r="A136" s="7">
        <f t="shared" si="5"/>
        <v>134</v>
      </c>
      <c r="B136" s="46">
        <v>2</v>
      </c>
      <c r="C136" s="46">
        <v>6</v>
      </c>
      <c r="D136" s="5">
        <f t="shared" si="4"/>
        <v>7</v>
      </c>
      <c r="E136" s="13"/>
      <c r="F136" s="8" t="s">
        <v>866</v>
      </c>
      <c r="G136" s="38"/>
      <c r="H136" s="37"/>
      <c r="I136" s="16" t="s">
        <v>867</v>
      </c>
      <c r="J136" s="78"/>
      <c r="K136" s="81"/>
    </row>
    <row r="137" spans="1:12" s="1" customFormat="1" ht="15" customHeight="1">
      <c r="A137" s="7">
        <f t="shared" si="5"/>
        <v>135</v>
      </c>
      <c r="B137" s="29">
        <v>2</v>
      </c>
      <c r="C137" s="29">
        <v>7</v>
      </c>
      <c r="D137" s="5">
        <f>IF(AND(B135=B137,C135=C137),D135+1,1)</f>
        <v>1</v>
      </c>
      <c r="E137" s="28"/>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6">
        <v>2</v>
      </c>
      <c r="C153" s="46">
        <v>8</v>
      </c>
      <c r="D153" s="5">
        <f t="shared" si="4"/>
        <v>8</v>
      </c>
      <c r="E153" s="13"/>
      <c r="F153" s="8" t="s">
        <v>868</v>
      </c>
      <c r="G153" s="38"/>
      <c r="H153" s="37"/>
      <c r="I153" s="10" t="s">
        <v>869</v>
      </c>
      <c r="J153" s="78"/>
      <c r="K153" s="81"/>
    </row>
    <row r="154" spans="1:12" s="1" customFormat="1" ht="15" customHeight="1">
      <c r="A154" s="7">
        <f t="shared" si="5"/>
        <v>152</v>
      </c>
      <c r="B154" s="45">
        <v>2</v>
      </c>
      <c r="C154" s="45">
        <v>9</v>
      </c>
      <c r="D154" s="5">
        <f>IF(AND(B151=B154,C151=C154),D151+1,1)</f>
        <v>1</v>
      </c>
      <c r="E154" s="13"/>
      <c r="F154" s="8" t="s">
        <v>334</v>
      </c>
      <c r="G154" s="12" t="s">
        <v>324</v>
      </c>
      <c r="H154" s="10" t="s">
        <v>335</v>
      </c>
      <c r="I154" s="16" t="s">
        <v>755</v>
      </c>
      <c r="J154" s="6" t="s">
        <v>643</v>
      </c>
      <c r="K154" s="2">
        <v>2</v>
      </c>
    </row>
    <row r="155" spans="1:12" s="1" customFormat="1" ht="15" customHeight="1">
      <c r="A155" s="7">
        <f t="shared" si="5"/>
        <v>153</v>
      </c>
      <c r="B155" s="45">
        <v>2</v>
      </c>
      <c r="C155" s="45">
        <v>9</v>
      </c>
      <c r="D155" s="5">
        <f t="shared" si="4"/>
        <v>2</v>
      </c>
      <c r="E155" s="14"/>
      <c r="F155" s="8" t="s">
        <v>336</v>
      </c>
      <c r="G155" s="12" t="s">
        <v>324</v>
      </c>
      <c r="H155" s="10" t="s">
        <v>337</v>
      </c>
      <c r="I155" s="16" t="s">
        <v>757</v>
      </c>
      <c r="J155" s="6" t="s">
        <v>643</v>
      </c>
      <c r="K155" s="2">
        <v>2</v>
      </c>
    </row>
    <row r="156" spans="1:12" s="1" customFormat="1" ht="15" customHeight="1">
      <c r="A156" s="7">
        <f t="shared" si="5"/>
        <v>154</v>
      </c>
      <c r="B156" s="45">
        <v>2</v>
      </c>
      <c r="C156" s="45">
        <v>9</v>
      </c>
      <c r="D156" s="5">
        <f t="shared" si="4"/>
        <v>3</v>
      </c>
      <c r="E156" s="28"/>
      <c r="F156" s="8" t="s">
        <v>338</v>
      </c>
      <c r="G156" s="12" t="s">
        <v>324</v>
      </c>
      <c r="H156" s="10" t="s">
        <v>339</v>
      </c>
      <c r="I156" s="16" t="s">
        <v>502</v>
      </c>
      <c r="J156" s="6" t="s">
        <v>643</v>
      </c>
      <c r="K156" s="2">
        <v>2</v>
      </c>
    </row>
    <row r="157" spans="1:12" s="1" customFormat="1" ht="15" customHeight="1">
      <c r="A157" s="7">
        <f t="shared" si="5"/>
        <v>155</v>
      </c>
      <c r="B157" s="45">
        <v>2</v>
      </c>
      <c r="C157" s="45">
        <v>9</v>
      </c>
      <c r="D157" s="5">
        <f t="shared" si="4"/>
        <v>4</v>
      </c>
      <c r="E157" s="5"/>
      <c r="F157" s="8" t="s">
        <v>753</v>
      </c>
      <c r="G157" s="12" t="s">
        <v>324</v>
      </c>
      <c r="H157" s="10" t="s">
        <v>341</v>
      </c>
      <c r="I157" s="16" t="s">
        <v>754</v>
      </c>
      <c r="J157" s="77" t="s">
        <v>642</v>
      </c>
      <c r="K157" s="2">
        <v>0</v>
      </c>
    </row>
    <row r="158" spans="1:12" s="1" customFormat="1" ht="15" customHeight="1">
      <c r="A158" s="7">
        <f t="shared" si="5"/>
        <v>156</v>
      </c>
      <c r="B158" s="45">
        <v>2</v>
      </c>
      <c r="C158" s="45">
        <v>9</v>
      </c>
      <c r="D158" s="5">
        <f t="shared" si="4"/>
        <v>5</v>
      </c>
      <c r="E158" s="5" t="s">
        <v>863</v>
      </c>
      <c r="F158" s="8" t="s">
        <v>342</v>
      </c>
      <c r="G158" s="12" t="s">
        <v>324</v>
      </c>
      <c r="H158" s="10" t="s">
        <v>343</v>
      </c>
      <c r="I158" s="16" t="s">
        <v>756</v>
      </c>
      <c r="J158" s="6" t="s">
        <v>643</v>
      </c>
      <c r="K158" s="2">
        <v>1</v>
      </c>
    </row>
    <row r="159" spans="1:12" s="1" customFormat="1" ht="15" customHeight="1">
      <c r="A159" s="7">
        <f t="shared" si="5"/>
        <v>157</v>
      </c>
      <c r="B159" s="45">
        <v>2</v>
      </c>
      <c r="C159" s="45">
        <v>9</v>
      </c>
      <c r="D159" s="5">
        <f t="shared" si="4"/>
        <v>6</v>
      </c>
      <c r="E159" s="11"/>
      <c r="F159" s="8" t="s">
        <v>505</v>
      </c>
      <c r="G159" s="12" t="s">
        <v>324</v>
      </c>
      <c r="H159" s="10" t="s">
        <v>344</v>
      </c>
      <c r="I159" s="16" t="s">
        <v>758</v>
      </c>
      <c r="J159" s="77" t="s">
        <v>642</v>
      </c>
      <c r="K159" s="2">
        <v>0</v>
      </c>
      <c r="L159" s="1" t="s">
        <v>759</v>
      </c>
    </row>
    <row r="160" spans="1:12" s="1" customFormat="1" ht="15" customHeight="1">
      <c r="A160" s="7">
        <f t="shared" si="5"/>
        <v>158</v>
      </c>
      <c r="B160" s="45">
        <v>2</v>
      </c>
      <c r="C160" s="45">
        <v>9</v>
      </c>
      <c r="D160" s="5">
        <f t="shared" si="4"/>
        <v>7</v>
      </c>
      <c r="E160" s="5"/>
      <c r="F160" s="8" t="s">
        <v>345</v>
      </c>
      <c r="G160" s="12" t="s">
        <v>346</v>
      </c>
      <c r="H160" s="10" t="s">
        <v>347</v>
      </c>
      <c r="I160" s="16" t="s">
        <v>751</v>
      </c>
      <c r="J160" s="6" t="s">
        <v>643</v>
      </c>
      <c r="K160" s="2">
        <v>1</v>
      </c>
    </row>
    <row r="161" spans="1:12" s="1" customFormat="1" ht="15" customHeight="1">
      <c r="A161" s="7">
        <f t="shared" si="5"/>
        <v>159</v>
      </c>
      <c r="B161" s="45">
        <v>2</v>
      </c>
      <c r="C161" s="45">
        <v>9</v>
      </c>
      <c r="D161" s="5">
        <f t="shared" si="4"/>
        <v>8</v>
      </c>
      <c r="E161" s="13"/>
      <c r="F161" s="8" t="s">
        <v>457</v>
      </c>
      <c r="G161" s="12" t="s">
        <v>348</v>
      </c>
      <c r="H161" s="10" t="s">
        <v>349</v>
      </c>
      <c r="I161" s="16" t="s">
        <v>752</v>
      </c>
      <c r="J161" s="6" t="s">
        <v>643</v>
      </c>
      <c r="K161" s="2">
        <v>0</v>
      </c>
    </row>
    <row r="162" spans="1:12" s="1" customFormat="1" ht="15" customHeight="1">
      <c r="A162" s="7">
        <f t="shared" si="5"/>
        <v>160</v>
      </c>
      <c r="B162" s="33">
        <v>2</v>
      </c>
      <c r="C162" s="33">
        <v>10</v>
      </c>
      <c r="D162" s="5">
        <f t="shared" si="4"/>
        <v>1</v>
      </c>
      <c r="E162" s="13"/>
      <c r="F162" s="8" t="s">
        <v>357</v>
      </c>
      <c r="G162" s="10" t="s">
        <v>358</v>
      </c>
      <c r="H162" s="10" t="s">
        <v>359</v>
      </c>
      <c r="I162" s="16" t="s">
        <v>769</v>
      </c>
      <c r="J162" s="6" t="s">
        <v>643</v>
      </c>
      <c r="K162" s="2">
        <v>1</v>
      </c>
    </row>
    <row r="163" spans="1:12" s="1" customFormat="1" ht="15" customHeight="1">
      <c r="A163" s="7">
        <f t="shared" si="5"/>
        <v>161</v>
      </c>
      <c r="B163" s="33">
        <v>2</v>
      </c>
      <c r="C163" s="33">
        <v>10</v>
      </c>
      <c r="D163" s="5">
        <f t="shared" si="4"/>
        <v>2</v>
      </c>
      <c r="E163" s="5"/>
      <c r="F163" s="15" t="s">
        <v>369</v>
      </c>
      <c r="G163" s="10" t="s">
        <v>370</v>
      </c>
      <c r="H163" s="10" t="s">
        <v>371</v>
      </c>
      <c r="I163" s="16" t="s">
        <v>770</v>
      </c>
      <c r="J163" s="6" t="s">
        <v>643</v>
      </c>
      <c r="K163" s="2">
        <v>1</v>
      </c>
    </row>
    <row r="164" spans="1:12" s="1" customFormat="1" ht="15" customHeight="1">
      <c r="A164" s="7">
        <f t="shared" si="5"/>
        <v>162</v>
      </c>
      <c r="B164" s="33">
        <v>2</v>
      </c>
      <c r="C164" s="33">
        <v>10</v>
      </c>
      <c r="D164" s="5">
        <f t="shared" si="4"/>
        <v>3</v>
      </c>
      <c r="E164" s="13"/>
      <c r="F164" s="8" t="s">
        <v>375</v>
      </c>
      <c r="G164" s="10" t="s">
        <v>376</v>
      </c>
      <c r="H164" s="10" t="s">
        <v>377</v>
      </c>
      <c r="I164" s="16" t="s">
        <v>762</v>
      </c>
      <c r="J164" s="77" t="s">
        <v>642</v>
      </c>
      <c r="K164" s="2">
        <v>0</v>
      </c>
    </row>
    <row r="165" spans="1:12" s="1" customFormat="1" ht="15" customHeight="1">
      <c r="A165" s="7">
        <f t="shared" si="5"/>
        <v>163</v>
      </c>
      <c r="B165" s="33">
        <v>2</v>
      </c>
      <c r="C165" s="33">
        <v>10</v>
      </c>
      <c r="D165" s="5">
        <f t="shared" si="4"/>
        <v>4</v>
      </c>
      <c r="E165" s="5"/>
      <c r="F165" s="8" t="s">
        <v>381</v>
      </c>
      <c r="G165" s="9" t="s">
        <v>382</v>
      </c>
      <c r="H165" s="10" t="s">
        <v>383</v>
      </c>
      <c r="I165" s="16" t="s">
        <v>763</v>
      </c>
      <c r="J165" s="77" t="s">
        <v>642</v>
      </c>
      <c r="K165" s="2">
        <v>4</v>
      </c>
      <c r="L165" s="1" t="s">
        <v>764</v>
      </c>
    </row>
    <row r="166" spans="1:12" s="1" customFormat="1" ht="15" customHeight="1">
      <c r="A166" s="7">
        <f t="shared" si="5"/>
        <v>164</v>
      </c>
      <c r="B166" s="33">
        <v>2</v>
      </c>
      <c r="C166" s="33">
        <v>10</v>
      </c>
      <c r="D166" s="5">
        <f t="shared" si="4"/>
        <v>5</v>
      </c>
      <c r="E166" s="14"/>
      <c r="F166" s="8" t="s">
        <v>363</v>
      </c>
      <c r="G166" s="12" t="s">
        <v>364</v>
      </c>
      <c r="H166" s="10" t="s">
        <v>365</v>
      </c>
      <c r="I166" s="16" t="s">
        <v>765</v>
      </c>
      <c r="J166" s="6" t="s">
        <v>643</v>
      </c>
      <c r="K166" s="2">
        <v>0</v>
      </c>
    </row>
    <row r="167" spans="1:12" s="1" customFormat="1" ht="15" customHeight="1">
      <c r="A167" s="7">
        <f t="shared" si="5"/>
        <v>165</v>
      </c>
      <c r="B167" s="33">
        <v>2</v>
      </c>
      <c r="C167" s="33">
        <v>10</v>
      </c>
      <c r="D167" s="5">
        <f t="shared" si="4"/>
        <v>6</v>
      </c>
      <c r="E167" s="5"/>
      <c r="F167" s="8" t="s">
        <v>360</v>
      </c>
      <c r="G167" s="10" t="s">
        <v>361</v>
      </c>
      <c r="H167" s="10" t="s">
        <v>362</v>
      </c>
      <c r="I167" s="16" t="s">
        <v>766</v>
      </c>
      <c r="J167" s="6" t="s">
        <v>643</v>
      </c>
      <c r="K167" s="2">
        <v>3</v>
      </c>
    </row>
    <row r="168" spans="1:12" s="1" customFormat="1" ht="15" customHeight="1">
      <c r="A168" s="7">
        <f t="shared" si="5"/>
        <v>166</v>
      </c>
      <c r="B168" s="33">
        <v>2</v>
      </c>
      <c r="C168" s="33">
        <v>10</v>
      </c>
      <c r="D168" s="5">
        <f t="shared" si="4"/>
        <v>7</v>
      </c>
      <c r="E168" s="5"/>
      <c r="F168" s="8" t="s">
        <v>372</v>
      </c>
      <c r="G168" s="10" t="s">
        <v>373</v>
      </c>
      <c r="H168" s="10" t="s">
        <v>374</v>
      </c>
      <c r="I168" s="16" t="s">
        <v>767</v>
      </c>
      <c r="J168" s="6" t="s">
        <v>643</v>
      </c>
      <c r="K168" s="2">
        <v>1</v>
      </c>
    </row>
    <row r="169" spans="1:12" s="1" customFormat="1" ht="15" customHeight="1">
      <c r="A169" s="7">
        <f t="shared" si="5"/>
        <v>167</v>
      </c>
      <c r="B169" s="33">
        <v>2</v>
      </c>
      <c r="C169" s="33">
        <v>10</v>
      </c>
      <c r="D169" s="5">
        <f t="shared" si="4"/>
        <v>8</v>
      </c>
      <c r="E169" s="14"/>
      <c r="F169" s="8" t="s">
        <v>378</v>
      </c>
      <c r="G169" s="10" t="s">
        <v>379</v>
      </c>
      <c r="H169" s="10" t="s">
        <v>380</v>
      </c>
      <c r="I169" s="16" t="s">
        <v>761</v>
      </c>
      <c r="J169" s="77" t="s">
        <v>642</v>
      </c>
      <c r="K169" s="2">
        <v>1</v>
      </c>
    </row>
    <row r="170" spans="1:12" s="1" customFormat="1" ht="15" customHeight="1">
      <c r="A170" s="7">
        <f t="shared" si="5"/>
        <v>168</v>
      </c>
      <c r="B170" s="33">
        <v>2</v>
      </c>
      <c r="C170" s="33">
        <v>10</v>
      </c>
      <c r="D170" s="5">
        <f t="shared" si="4"/>
        <v>9</v>
      </c>
      <c r="E170" s="28"/>
      <c r="F170" s="8" t="s">
        <v>366</v>
      </c>
      <c r="G170" s="10" t="s">
        <v>367</v>
      </c>
      <c r="H170" s="10" t="s">
        <v>368</v>
      </c>
      <c r="I170" s="16" t="s">
        <v>760</v>
      </c>
      <c r="J170" s="77" t="s">
        <v>642</v>
      </c>
      <c r="K170" s="2">
        <v>0</v>
      </c>
    </row>
    <row r="171" spans="1:12" s="1" customFormat="1" ht="15" customHeight="1">
      <c r="A171" s="7">
        <f t="shared" si="5"/>
        <v>169</v>
      </c>
      <c r="B171" s="33">
        <v>2</v>
      </c>
      <c r="C171" s="33">
        <v>10</v>
      </c>
      <c r="D171" s="5">
        <f t="shared" si="4"/>
        <v>10</v>
      </c>
      <c r="E171" s="5" t="s">
        <v>863</v>
      </c>
      <c r="F171" s="8" t="s">
        <v>354</v>
      </c>
      <c r="G171" s="12" t="s">
        <v>355</v>
      </c>
      <c r="H171" s="10" t="s">
        <v>356</v>
      </c>
      <c r="I171" s="16" t="s">
        <v>768</v>
      </c>
      <c r="J171" s="6" t="s">
        <v>643</v>
      </c>
      <c r="K171" s="2">
        <v>2</v>
      </c>
    </row>
    <row r="172" spans="1:12" s="1" customFormat="1" ht="15" customHeight="1">
      <c r="A172" s="7">
        <f t="shared" si="5"/>
        <v>170</v>
      </c>
      <c r="B172" s="33">
        <v>2</v>
      </c>
      <c r="C172" s="33">
        <v>10</v>
      </c>
      <c r="D172" s="5">
        <f t="shared" si="4"/>
        <v>11</v>
      </c>
      <c r="E172" s="5"/>
      <c r="F172" s="8" t="s">
        <v>351</v>
      </c>
      <c r="G172" s="12" t="s">
        <v>352</v>
      </c>
      <c r="H172" s="10" t="s">
        <v>353</v>
      </c>
      <c r="I172" s="16"/>
      <c r="J172" s="78"/>
      <c r="K172" s="81"/>
    </row>
    <row r="173" spans="1:12" s="58" customFormat="1" ht="15" customHeight="1">
      <c r="A173" s="7">
        <f t="shared" si="5"/>
        <v>171</v>
      </c>
      <c r="B173" s="29">
        <v>2</v>
      </c>
      <c r="C173" s="29">
        <v>11</v>
      </c>
      <c r="D173" s="5">
        <f t="shared" si="4"/>
        <v>1</v>
      </c>
      <c r="E173" s="14"/>
      <c r="F173" s="15" t="s">
        <v>467</v>
      </c>
      <c r="G173" s="26" t="s">
        <v>385</v>
      </c>
      <c r="H173" s="16" t="s">
        <v>460</v>
      </c>
      <c r="I173" s="16" t="s">
        <v>775</v>
      </c>
      <c r="J173" s="6" t="s">
        <v>643</v>
      </c>
      <c r="K173" s="2">
        <v>1</v>
      </c>
    </row>
    <row r="174" spans="1:12" s="1" customFormat="1" ht="15" customHeight="1">
      <c r="A174" s="7">
        <f t="shared" si="5"/>
        <v>172</v>
      </c>
      <c r="B174" s="29">
        <v>2</v>
      </c>
      <c r="C174" s="29">
        <v>11</v>
      </c>
      <c r="D174" s="5">
        <f t="shared" si="4"/>
        <v>2</v>
      </c>
      <c r="E174" s="5"/>
      <c r="F174" s="8" t="s">
        <v>386</v>
      </c>
      <c r="G174" s="12" t="s">
        <v>385</v>
      </c>
      <c r="H174" s="10" t="s">
        <v>387</v>
      </c>
      <c r="I174" s="16" t="s">
        <v>771</v>
      </c>
      <c r="J174" s="6" t="s">
        <v>643</v>
      </c>
      <c r="K174" s="2">
        <v>1</v>
      </c>
    </row>
    <row r="175" spans="1:12" s="1" customFormat="1" ht="15" customHeight="1">
      <c r="A175" s="7">
        <f t="shared" si="5"/>
        <v>173</v>
      </c>
      <c r="B175" s="29">
        <v>2</v>
      </c>
      <c r="C175" s="29">
        <v>11</v>
      </c>
      <c r="D175" s="5">
        <f t="shared" si="4"/>
        <v>3</v>
      </c>
      <c r="E175" s="28"/>
      <c r="F175" s="8" t="s">
        <v>388</v>
      </c>
      <c r="G175" s="12" t="s">
        <v>385</v>
      </c>
      <c r="H175" s="10" t="s">
        <v>447</v>
      </c>
      <c r="I175" s="16" t="s">
        <v>773</v>
      </c>
      <c r="J175" s="6" t="s">
        <v>643</v>
      </c>
      <c r="K175" s="2">
        <v>3</v>
      </c>
    </row>
    <row r="176" spans="1:12" s="1" customFormat="1" ht="15" customHeight="1">
      <c r="A176" s="7">
        <f t="shared" si="5"/>
        <v>174</v>
      </c>
      <c r="B176" s="29">
        <v>2</v>
      </c>
      <c r="C176" s="29">
        <v>11</v>
      </c>
      <c r="D176" s="5">
        <f t="shared" si="4"/>
        <v>4</v>
      </c>
      <c r="E176" s="5" t="s">
        <v>863</v>
      </c>
      <c r="F176" s="8" t="s">
        <v>389</v>
      </c>
      <c r="G176" s="12" t="s">
        <v>385</v>
      </c>
      <c r="H176" s="10" t="s">
        <v>390</v>
      </c>
      <c r="I176" s="16" t="s">
        <v>779</v>
      </c>
      <c r="J176" s="77" t="s">
        <v>642</v>
      </c>
      <c r="K176" s="2">
        <v>2</v>
      </c>
    </row>
    <row r="177" spans="1:12" s="1" customFormat="1" ht="15" customHeight="1">
      <c r="A177" s="7">
        <f t="shared" si="5"/>
        <v>175</v>
      </c>
      <c r="B177" s="29">
        <v>2</v>
      </c>
      <c r="C177" s="29">
        <v>11</v>
      </c>
      <c r="D177" s="5">
        <f t="shared" si="4"/>
        <v>5</v>
      </c>
      <c r="E177" s="5"/>
      <c r="F177" s="8" t="s">
        <v>391</v>
      </c>
      <c r="G177" s="12" t="s">
        <v>324</v>
      </c>
      <c r="H177" s="10" t="s">
        <v>392</v>
      </c>
      <c r="I177" s="16" t="s">
        <v>774</v>
      </c>
      <c r="J177" s="6" t="s">
        <v>643</v>
      </c>
      <c r="K177" s="2">
        <v>5</v>
      </c>
    </row>
    <row r="178" spans="1:12" s="1" customFormat="1" ht="15" customHeight="1">
      <c r="A178" s="7">
        <f t="shared" si="5"/>
        <v>176</v>
      </c>
      <c r="B178" s="29">
        <v>2</v>
      </c>
      <c r="C178" s="29">
        <v>11</v>
      </c>
      <c r="D178" s="5">
        <f t="shared" si="4"/>
        <v>6</v>
      </c>
      <c r="E178" s="5"/>
      <c r="F178" s="8" t="s">
        <v>393</v>
      </c>
      <c r="G178" s="12" t="s">
        <v>324</v>
      </c>
      <c r="H178" s="10" t="s">
        <v>394</v>
      </c>
      <c r="I178" s="16" t="s">
        <v>777</v>
      </c>
      <c r="J178" s="77" t="s">
        <v>642</v>
      </c>
      <c r="K178" s="2">
        <v>1</v>
      </c>
      <c r="L178" s="1" t="s">
        <v>778</v>
      </c>
    </row>
    <row r="179" spans="1:12" s="1" customFormat="1" ht="15" customHeight="1">
      <c r="A179" s="7">
        <f t="shared" si="5"/>
        <v>177</v>
      </c>
      <c r="B179" s="29">
        <v>2</v>
      </c>
      <c r="C179" s="29">
        <v>11</v>
      </c>
      <c r="D179" s="5">
        <f t="shared" si="4"/>
        <v>7</v>
      </c>
      <c r="E179" s="13"/>
      <c r="F179" s="8" t="s">
        <v>396</v>
      </c>
      <c r="G179" s="12" t="s">
        <v>397</v>
      </c>
      <c r="H179" s="10" t="s">
        <v>398</v>
      </c>
      <c r="I179" s="16" t="s">
        <v>776</v>
      </c>
      <c r="J179" s="77" t="s">
        <v>642</v>
      </c>
      <c r="K179" s="2">
        <v>2</v>
      </c>
    </row>
    <row r="180" spans="1:12" s="1" customFormat="1" ht="15" customHeight="1">
      <c r="A180" s="7">
        <f t="shared" si="5"/>
        <v>178</v>
      </c>
      <c r="B180" s="29">
        <v>2</v>
      </c>
      <c r="C180" s="29">
        <v>11</v>
      </c>
      <c r="D180" s="5">
        <f t="shared" si="4"/>
        <v>8</v>
      </c>
      <c r="E180" s="14"/>
      <c r="F180" s="8" t="s">
        <v>399</v>
      </c>
      <c r="G180" s="12" t="s">
        <v>397</v>
      </c>
      <c r="H180" s="10" t="s">
        <v>400</v>
      </c>
      <c r="I180" s="16" t="s">
        <v>772</v>
      </c>
      <c r="J180" s="6" t="s">
        <v>643</v>
      </c>
      <c r="K180" s="2">
        <v>2</v>
      </c>
    </row>
    <row r="181" spans="1:12" s="1" customFormat="1" ht="15" customHeight="1">
      <c r="A181" s="7">
        <f t="shared" si="5"/>
        <v>179</v>
      </c>
      <c r="B181" s="29">
        <v>2</v>
      </c>
      <c r="C181" s="29">
        <v>11</v>
      </c>
      <c r="D181" s="5">
        <f t="shared" si="4"/>
        <v>9</v>
      </c>
      <c r="E181" s="13"/>
      <c r="F181" s="8" t="s">
        <v>401</v>
      </c>
      <c r="G181" s="26" t="s">
        <v>571</v>
      </c>
      <c r="H181" s="10" t="s">
        <v>402</v>
      </c>
      <c r="I181" s="16" t="s">
        <v>579</v>
      </c>
      <c r="J181" s="6" t="s">
        <v>643</v>
      </c>
      <c r="K181" s="2">
        <v>3</v>
      </c>
    </row>
    <row r="182" spans="1:12" s="1" customFormat="1" ht="15" customHeight="1">
      <c r="A182" s="7">
        <f t="shared" si="5"/>
        <v>180</v>
      </c>
      <c r="B182" s="29">
        <v>2</v>
      </c>
      <c r="C182" s="29">
        <v>11</v>
      </c>
      <c r="D182" s="5">
        <f t="shared" si="4"/>
        <v>10</v>
      </c>
      <c r="E182" s="5"/>
      <c r="F182" s="10" t="s">
        <v>405</v>
      </c>
      <c r="G182" s="26" t="s">
        <v>397</v>
      </c>
      <c r="H182" s="52" t="s">
        <v>403</v>
      </c>
      <c r="I182" s="24" t="s">
        <v>404</v>
      </c>
      <c r="J182" s="84" t="s">
        <v>458</v>
      </c>
      <c r="K182" s="81"/>
    </row>
    <row r="183" spans="1:12" s="1" customFormat="1" ht="15" customHeight="1">
      <c r="A183" s="7">
        <f t="shared" si="5"/>
        <v>181</v>
      </c>
      <c r="B183" s="33">
        <v>2</v>
      </c>
      <c r="C183" s="33">
        <v>12</v>
      </c>
      <c r="D183" s="5">
        <f t="shared" si="4"/>
        <v>1</v>
      </c>
      <c r="E183" s="5"/>
      <c r="F183" s="8" t="s">
        <v>406</v>
      </c>
      <c r="G183" s="10" t="s">
        <v>407</v>
      </c>
      <c r="H183" s="16" t="s">
        <v>408</v>
      </c>
      <c r="I183" s="16" t="s">
        <v>781</v>
      </c>
      <c r="J183" s="77" t="s">
        <v>642</v>
      </c>
      <c r="K183" s="2">
        <v>1</v>
      </c>
    </row>
    <row r="184" spans="1:12" s="1" customFormat="1" ht="15" customHeight="1">
      <c r="A184" s="7">
        <f t="shared" si="5"/>
        <v>182</v>
      </c>
      <c r="B184" s="33">
        <v>2</v>
      </c>
      <c r="C184" s="33">
        <v>12</v>
      </c>
      <c r="D184" s="5">
        <f t="shared" si="4"/>
        <v>2</v>
      </c>
      <c r="E184" s="13"/>
      <c r="F184" s="8" t="s">
        <v>409</v>
      </c>
      <c r="G184" s="10" t="s">
        <v>606</v>
      </c>
      <c r="H184" s="10" t="s">
        <v>410</v>
      </c>
      <c r="I184" s="16" t="s">
        <v>784</v>
      </c>
      <c r="J184" s="6" t="s">
        <v>643</v>
      </c>
      <c r="K184" s="2">
        <v>2</v>
      </c>
    </row>
    <row r="185" spans="1:12" s="1" customFormat="1" ht="15" customHeight="1">
      <c r="A185" s="7">
        <f t="shared" si="5"/>
        <v>183</v>
      </c>
      <c r="B185" s="33">
        <v>2</v>
      </c>
      <c r="C185" s="33">
        <v>12</v>
      </c>
      <c r="D185" s="5">
        <f t="shared" si="4"/>
        <v>3</v>
      </c>
      <c r="E185" s="13"/>
      <c r="F185" s="8" t="s">
        <v>411</v>
      </c>
      <c r="G185" s="10" t="s">
        <v>412</v>
      </c>
      <c r="H185" s="10" t="s">
        <v>413</v>
      </c>
      <c r="I185" s="16" t="s">
        <v>586</v>
      </c>
      <c r="J185" s="6" t="s">
        <v>643</v>
      </c>
      <c r="K185" s="2">
        <v>5</v>
      </c>
    </row>
    <row r="186" spans="1:12" s="1" customFormat="1" ht="15" customHeight="1">
      <c r="A186" s="7">
        <f t="shared" si="5"/>
        <v>184</v>
      </c>
      <c r="B186" s="33">
        <v>2</v>
      </c>
      <c r="C186" s="33">
        <v>12</v>
      </c>
      <c r="D186" s="5">
        <f t="shared" si="4"/>
        <v>4</v>
      </c>
      <c r="E186" s="5"/>
      <c r="F186" s="8" t="s">
        <v>414</v>
      </c>
      <c r="G186" s="10" t="s">
        <v>415</v>
      </c>
      <c r="H186" s="10" t="s">
        <v>416</v>
      </c>
      <c r="I186" s="16" t="s">
        <v>780</v>
      </c>
      <c r="J186" s="6" t="s">
        <v>643</v>
      </c>
      <c r="K186" s="2">
        <v>1</v>
      </c>
    </row>
    <row r="187" spans="1:12" s="1" customFormat="1" ht="15" customHeight="1">
      <c r="A187" s="7">
        <f t="shared" si="5"/>
        <v>185</v>
      </c>
      <c r="B187" s="33">
        <v>2</v>
      </c>
      <c r="C187" s="33">
        <v>12</v>
      </c>
      <c r="D187" s="5">
        <f t="shared" si="4"/>
        <v>5</v>
      </c>
      <c r="E187" s="5"/>
      <c r="F187" s="8" t="s">
        <v>786</v>
      </c>
      <c r="G187" s="10" t="s">
        <v>418</v>
      </c>
      <c r="H187" s="10" t="s">
        <v>419</v>
      </c>
      <c r="I187" s="16" t="s">
        <v>787</v>
      </c>
      <c r="J187" s="6" t="s">
        <v>643</v>
      </c>
      <c r="K187" s="2">
        <v>0</v>
      </c>
    </row>
    <row r="188" spans="1:12" s="1" customFormat="1" ht="15" customHeight="1">
      <c r="A188" s="7">
        <f t="shared" si="5"/>
        <v>186</v>
      </c>
      <c r="B188" s="33">
        <v>2</v>
      </c>
      <c r="C188" s="33">
        <v>12</v>
      </c>
      <c r="D188" s="5">
        <f t="shared" si="4"/>
        <v>6</v>
      </c>
      <c r="E188" s="5"/>
      <c r="F188" s="8" t="s">
        <v>420</v>
      </c>
      <c r="G188" s="37" t="s">
        <v>418</v>
      </c>
      <c r="H188" s="37"/>
      <c r="I188" s="42" t="s">
        <v>788</v>
      </c>
      <c r="J188" s="77" t="s">
        <v>642</v>
      </c>
      <c r="K188" s="2">
        <v>0</v>
      </c>
    </row>
    <row r="189" spans="1:12" s="58" customFormat="1" ht="15" customHeight="1">
      <c r="A189" s="7">
        <f t="shared" si="5"/>
        <v>187</v>
      </c>
      <c r="B189" s="33">
        <v>2</v>
      </c>
      <c r="C189" s="33">
        <v>12</v>
      </c>
      <c r="D189" s="14">
        <f t="shared" si="4"/>
        <v>7</v>
      </c>
      <c r="E189" s="5" t="s">
        <v>863</v>
      </c>
      <c r="F189" s="15" t="s">
        <v>422</v>
      </c>
      <c r="G189" s="16" t="s">
        <v>423</v>
      </c>
      <c r="H189" s="16" t="s">
        <v>424</v>
      </c>
      <c r="I189" s="16" t="s">
        <v>782</v>
      </c>
      <c r="J189" s="6" t="s">
        <v>643</v>
      </c>
      <c r="K189" s="2">
        <v>4</v>
      </c>
    </row>
    <row r="190" spans="1:12" s="1" customFormat="1" ht="15" customHeight="1">
      <c r="A190" s="7">
        <f t="shared" si="5"/>
        <v>188</v>
      </c>
      <c r="B190" s="33">
        <v>2</v>
      </c>
      <c r="C190" s="33">
        <v>12</v>
      </c>
      <c r="D190" s="5">
        <f t="shared" si="4"/>
        <v>8</v>
      </c>
      <c r="E190" s="28"/>
      <c r="F190" s="8" t="s">
        <v>425</v>
      </c>
      <c r="G190" s="10" t="s">
        <v>426</v>
      </c>
      <c r="H190" s="10" t="s">
        <v>446</v>
      </c>
      <c r="I190" s="16" t="s">
        <v>783</v>
      </c>
      <c r="J190" s="6" t="s">
        <v>643</v>
      </c>
      <c r="K190" s="2">
        <v>4</v>
      </c>
    </row>
    <row r="191" spans="1:12" s="1" customFormat="1" ht="15" customHeight="1">
      <c r="A191" s="7">
        <f t="shared" si="5"/>
        <v>189</v>
      </c>
      <c r="B191" s="33">
        <v>2</v>
      </c>
      <c r="C191" s="33">
        <v>12</v>
      </c>
      <c r="D191" s="14">
        <f>IF(AND(B190=B191,C190=C191),D190+1,1)</f>
        <v>9</v>
      </c>
      <c r="E191" s="14"/>
      <c r="F191" s="15" t="s">
        <v>478</v>
      </c>
      <c r="G191" s="16" t="s">
        <v>479</v>
      </c>
      <c r="H191" s="16" t="s">
        <v>480</v>
      </c>
      <c r="I191" s="16" t="s">
        <v>785</v>
      </c>
      <c r="J191" s="6" t="s">
        <v>643</v>
      </c>
      <c r="K191" s="2">
        <v>1</v>
      </c>
    </row>
    <row r="192" spans="1:12" s="1" customFormat="1" ht="15" customHeight="1">
      <c r="A192" s="7">
        <f t="shared" si="5"/>
        <v>190</v>
      </c>
      <c r="B192" s="33">
        <v>2</v>
      </c>
      <c r="C192" s="33">
        <v>12</v>
      </c>
      <c r="D192" s="14">
        <f>IF(AND(B191=B192,C191=C192),D191+1,1)</f>
        <v>10</v>
      </c>
      <c r="E192" s="14"/>
      <c r="F192" s="59" t="s">
        <v>860</v>
      </c>
      <c r="G192" s="42"/>
      <c r="H192" s="42"/>
      <c r="I192" s="42"/>
      <c r="J192" s="6" t="s">
        <v>643</v>
      </c>
      <c r="K192" s="2">
        <v>1</v>
      </c>
    </row>
    <row r="194" spans="1:11" s="3" customFormat="1">
      <c r="A194" t="s">
        <v>431</v>
      </c>
      <c r="B194"/>
      <c r="C194"/>
      <c r="D194" s="28" t="s">
        <v>21</v>
      </c>
      <c r="E194" t="s">
        <v>861</v>
      </c>
      <c r="H194" s="49"/>
      <c r="I194"/>
      <c r="J194" s="28"/>
      <c r="K194" s="28"/>
    </row>
    <row r="195" spans="1:11" s="3" customFormat="1">
      <c r="A195"/>
      <c r="B195"/>
      <c r="C195"/>
      <c r="D195" s="28" t="s">
        <v>862</v>
      </c>
      <c r="E195" t="s">
        <v>450</v>
      </c>
      <c r="H195" s="49"/>
      <c r="I195"/>
      <c r="J195" s="28"/>
      <c r="K195" s="28"/>
    </row>
    <row r="196" spans="1:11" s="3" customFormat="1">
      <c r="A196"/>
      <c r="B196"/>
      <c r="C196"/>
      <c r="D196" s="35"/>
      <c r="E196" s="31" t="s">
        <v>432</v>
      </c>
      <c r="H196" s="24"/>
      <c r="I196" t="s">
        <v>572</v>
      </c>
      <c r="J196" s="28"/>
      <c r="K196" s="28"/>
    </row>
    <row r="197" spans="1:11" s="3" customFormat="1">
      <c r="A197"/>
      <c r="B197"/>
      <c r="C197"/>
      <c r="D197" s="43"/>
      <c r="E197" t="s">
        <v>441</v>
      </c>
      <c r="I197"/>
      <c r="J197" s="28"/>
      <c r="K197"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3" max="8"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2507-12D0-465D-9926-9716E3102CF4}">
  <sheetPr>
    <pageSetUpPr fitToPage="1"/>
  </sheetPr>
  <dimension ref="A1:L196"/>
  <sheetViews>
    <sheetView view="pageBreakPreview" zoomScaleNormal="120" zoomScaleSheetLayoutView="100" workbookViewId="0">
      <pane xSplit="6" ySplit="2" topLeftCell="G24" activePane="bottomRight" state="frozen"/>
      <selection pane="topRight" activeCell="G1" sqref="G1"/>
      <selection pane="bottomLeft" activeCell="A3" sqref="A3"/>
      <selection pane="bottomRight" activeCell="F29" sqref="F29"/>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 min="10" max="10" width="5.33203125" style="28" customWidth="1"/>
    <col min="11" max="11" width="5.21875" style="28" bestFit="1" customWidth="1"/>
  </cols>
  <sheetData>
    <row r="1" spans="1:12" ht="40.5" customHeight="1">
      <c r="A1" s="155" t="s">
        <v>865</v>
      </c>
      <c r="B1" s="156"/>
      <c r="C1" s="156"/>
      <c r="D1" s="156"/>
      <c r="E1" s="156"/>
      <c r="F1" s="156"/>
      <c r="G1" s="156"/>
      <c r="H1" s="156"/>
      <c r="I1" s="156"/>
      <c r="J1" s="75" t="s">
        <v>641</v>
      </c>
      <c r="K1" s="75" t="s">
        <v>644</v>
      </c>
    </row>
    <row r="2" spans="1:12" s="2" customFormat="1" ht="21" customHeight="1">
      <c r="A2" s="5" t="s">
        <v>0</v>
      </c>
      <c r="B2" s="5" t="s">
        <v>1</v>
      </c>
      <c r="C2" s="5" t="s">
        <v>2</v>
      </c>
      <c r="D2" s="5" t="s">
        <v>3</v>
      </c>
      <c r="E2" s="5" t="s">
        <v>4</v>
      </c>
      <c r="F2" s="5" t="s">
        <v>5</v>
      </c>
      <c r="G2" s="5" t="s">
        <v>6</v>
      </c>
      <c r="H2" s="5" t="s">
        <v>7</v>
      </c>
      <c r="I2" s="5" t="s">
        <v>8</v>
      </c>
      <c r="J2" s="6"/>
    </row>
    <row r="3" spans="1:12" s="1" customFormat="1" ht="15" customHeight="1">
      <c r="A3" s="7">
        <f>ROW()-2</f>
        <v>1</v>
      </c>
      <c r="B3" s="46">
        <v>1</v>
      </c>
      <c r="C3" s="46">
        <v>1</v>
      </c>
      <c r="D3" s="5">
        <f>IF(AND(B2=B3,C2=C3),D2+1,1)</f>
        <v>1</v>
      </c>
      <c r="E3" s="5"/>
      <c r="F3" s="8" t="s">
        <v>9</v>
      </c>
      <c r="G3" s="9" t="s">
        <v>10</v>
      </c>
      <c r="H3" s="10" t="s">
        <v>11</v>
      </c>
      <c r="I3" s="10" t="s">
        <v>793</v>
      </c>
      <c r="J3" s="77" t="s">
        <v>642</v>
      </c>
      <c r="K3" s="2">
        <v>2</v>
      </c>
    </row>
    <row r="4" spans="1:12"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2" s="1" customFormat="1" ht="15" customHeight="1">
      <c r="A5" s="7">
        <f t="shared" si="0"/>
        <v>3</v>
      </c>
      <c r="B5" s="46">
        <v>1</v>
      </c>
      <c r="C5" s="46">
        <v>1</v>
      </c>
      <c r="D5" s="5">
        <f t="shared" ref="D5:D68" si="1">IF(AND(B4=B5,C4=C5),D4+1,1)</f>
        <v>3</v>
      </c>
      <c r="E5" s="13"/>
      <c r="F5" s="8" t="s">
        <v>14</v>
      </c>
      <c r="G5" s="12" t="s">
        <v>10</v>
      </c>
      <c r="H5" s="23" t="s">
        <v>864</v>
      </c>
      <c r="I5" s="10" t="s">
        <v>792</v>
      </c>
      <c r="J5" s="6" t="s">
        <v>643</v>
      </c>
      <c r="K5" s="2">
        <v>3</v>
      </c>
      <c r="L5" s="10" t="s">
        <v>15</v>
      </c>
    </row>
    <row r="6" spans="1:12" s="1" customFormat="1" ht="15" customHeight="1">
      <c r="A6" s="7">
        <f t="shared" si="0"/>
        <v>4</v>
      </c>
      <c r="B6" s="46">
        <v>1</v>
      </c>
      <c r="C6" s="46">
        <v>1</v>
      </c>
      <c r="D6" s="5">
        <f t="shared" si="1"/>
        <v>4</v>
      </c>
      <c r="E6" s="5"/>
      <c r="F6" s="8" t="s">
        <v>16</v>
      </c>
      <c r="G6" s="12" t="s">
        <v>10</v>
      </c>
      <c r="H6" s="10" t="s">
        <v>17</v>
      </c>
      <c r="I6" s="10" t="s">
        <v>529</v>
      </c>
      <c r="J6" s="6" t="s">
        <v>643</v>
      </c>
      <c r="K6" s="2"/>
    </row>
    <row r="7" spans="1:12" s="1" customFormat="1" ht="15" customHeight="1">
      <c r="A7" s="7">
        <f t="shared" si="0"/>
        <v>5</v>
      </c>
      <c r="B7" s="46">
        <v>1</v>
      </c>
      <c r="C7" s="46">
        <v>1</v>
      </c>
      <c r="D7" s="5">
        <f t="shared" si="1"/>
        <v>5</v>
      </c>
      <c r="E7" s="13"/>
      <c r="F7" s="15" t="s">
        <v>18</v>
      </c>
      <c r="G7" s="26" t="s">
        <v>23</v>
      </c>
      <c r="H7" s="16" t="s">
        <v>19</v>
      </c>
      <c r="I7" s="10" t="s">
        <v>795</v>
      </c>
      <c r="J7" s="6" t="s">
        <v>643</v>
      </c>
      <c r="K7" s="2">
        <v>0</v>
      </c>
    </row>
    <row r="8" spans="1:12" s="1" customFormat="1" ht="15" customHeight="1">
      <c r="A8" s="7">
        <f t="shared" si="0"/>
        <v>6</v>
      </c>
      <c r="B8" s="46">
        <v>1</v>
      </c>
      <c r="C8" s="46">
        <v>1</v>
      </c>
      <c r="D8" s="5">
        <f t="shared" si="1"/>
        <v>6</v>
      </c>
      <c r="E8" s="5"/>
      <c r="F8" s="15" t="s">
        <v>578</v>
      </c>
      <c r="G8" s="26" t="s">
        <v>23</v>
      </c>
      <c r="H8" s="42"/>
      <c r="I8" s="10" t="s">
        <v>790</v>
      </c>
      <c r="J8" s="6" t="s">
        <v>643</v>
      </c>
      <c r="K8" s="2">
        <v>0</v>
      </c>
    </row>
    <row r="9" spans="1:12" s="1" customFormat="1" ht="15" customHeight="1">
      <c r="A9" s="7">
        <f t="shared" si="0"/>
        <v>7</v>
      </c>
      <c r="B9" s="46">
        <v>1</v>
      </c>
      <c r="C9" s="46">
        <v>1</v>
      </c>
      <c r="D9" s="5">
        <f t="shared" si="1"/>
        <v>7</v>
      </c>
      <c r="E9" s="14"/>
      <c r="F9" s="15" t="s">
        <v>22</v>
      </c>
      <c r="G9" s="12" t="s">
        <v>23</v>
      </c>
      <c r="H9" s="16" t="s">
        <v>24</v>
      </c>
      <c r="I9" s="10" t="s">
        <v>645</v>
      </c>
      <c r="J9" s="6" t="s">
        <v>643</v>
      </c>
      <c r="K9" s="2">
        <v>0</v>
      </c>
    </row>
    <row r="10" spans="1:12"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2" s="1" customFormat="1" ht="15" customHeight="1">
      <c r="A11" s="7">
        <f t="shared" si="0"/>
        <v>9</v>
      </c>
      <c r="B11" s="46">
        <v>1</v>
      </c>
      <c r="C11" s="46">
        <v>1</v>
      </c>
      <c r="D11" s="5">
        <f t="shared" si="1"/>
        <v>9</v>
      </c>
      <c r="E11" s="28" t="s">
        <v>862</v>
      </c>
      <c r="F11" s="15" t="s">
        <v>28</v>
      </c>
      <c r="G11" s="12" t="s">
        <v>23</v>
      </c>
      <c r="H11" s="16" t="s">
        <v>29</v>
      </c>
      <c r="I11" s="10" t="s">
        <v>789</v>
      </c>
      <c r="J11" s="77" t="s">
        <v>642</v>
      </c>
      <c r="K11" s="2">
        <v>2</v>
      </c>
    </row>
    <row r="12" spans="1:12" s="1" customFormat="1" ht="15" customHeight="1">
      <c r="A12" s="7">
        <f t="shared" si="0"/>
        <v>10</v>
      </c>
      <c r="B12" s="46">
        <v>1</v>
      </c>
      <c r="C12" s="46">
        <v>1</v>
      </c>
      <c r="D12" s="5">
        <f t="shared" si="1"/>
        <v>10</v>
      </c>
      <c r="E12" s="5"/>
      <c r="F12" s="15" t="s">
        <v>632</v>
      </c>
      <c r="G12" s="26" t="s">
        <v>10</v>
      </c>
      <c r="H12" s="26" t="s">
        <v>633</v>
      </c>
      <c r="I12" s="16" t="s">
        <v>634</v>
      </c>
      <c r="J12" s="78"/>
      <c r="K12" s="2"/>
    </row>
    <row r="13" spans="1:12" s="1" customFormat="1" ht="15" customHeight="1">
      <c r="A13" s="7">
        <f t="shared" si="0"/>
        <v>11</v>
      </c>
      <c r="B13" s="44">
        <v>1</v>
      </c>
      <c r="C13" s="44">
        <v>2</v>
      </c>
      <c r="D13" s="5">
        <f>IF(AND(B11=B13,C11=C13),D11+1,1)</f>
        <v>1</v>
      </c>
      <c r="E13" s="5"/>
      <c r="F13" s="8" t="s">
        <v>30</v>
      </c>
      <c r="G13" s="12" t="s">
        <v>31</v>
      </c>
      <c r="H13" s="10" t="s">
        <v>32</v>
      </c>
      <c r="I13" s="10"/>
      <c r="J13" s="6" t="s">
        <v>643</v>
      </c>
      <c r="K13" s="2"/>
    </row>
    <row r="14" spans="1:12"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2"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2" s="1" customFormat="1" ht="15" customHeight="1">
      <c r="A16" s="7">
        <f t="shared" si="0"/>
        <v>14</v>
      </c>
      <c r="B16" s="44">
        <v>1</v>
      </c>
      <c r="C16" s="44">
        <v>2</v>
      </c>
      <c r="D16" s="5">
        <f t="shared" si="1"/>
        <v>4</v>
      </c>
      <c r="E16" s="28" t="s">
        <v>862</v>
      </c>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t="s">
        <v>862</v>
      </c>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t="s">
        <v>862</v>
      </c>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t="s">
        <v>862</v>
      </c>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t="s">
        <v>862</v>
      </c>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t="s">
        <v>862</v>
      </c>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t="s">
        <v>862</v>
      </c>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t="s">
        <v>862</v>
      </c>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5" si="3">ROW()-2</f>
        <v>68</v>
      </c>
      <c r="B70" s="33">
        <v>1</v>
      </c>
      <c r="C70" s="33">
        <v>10</v>
      </c>
      <c r="D70" s="5">
        <f t="shared" si="2"/>
        <v>4</v>
      </c>
      <c r="E70" s="28" t="s">
        <v>862</v>
      </c>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t="s">
        <v>862</v>
      </c>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t="s">
        <v>862</v>
      </c>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t="s">
        <v>862</v>
      </c>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t="s">
        <v>862</v>
      </c>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87">
        <f t="shared" si="3"/>
        <v>110</v>
      </c>
      <c r="B112" s="88">
        <v>2</v>
      </c>
      <c r="C112" s="88">
        <v>3</v>
      </c>
      <c r="D112" s="86">
        <f t="shared" si="2"/>
        <v>2</v>
      </c>
      <c r="E112" s="86"/>
      <c r="F112" s="89" t="s">
        <v>244</v>
      </c>
      <c r="G112" s="90" t="s">
        <v>242</v>
      </c>
      <c r="H112" s="91" t="s">
        <v>245</v>
      </c>
      <c r="I112" s="91" t="s">
        <v>809</v>
      </c>
      <c r="J112" s="82"/>
      <c r="K112" s="83"/>
    </row>
    <row r="113" spans="1:12" s="1" customFormat="1" ht="15" customHeight="1">
      <c r="A113" s="7">
        <f t="shared" si="3"/>
        <v>111</v>
      </c>
      <c r="B113" s="46">
        <v>2</v>
      </c>
      <c r="C113" s="46">
        <v>3</v>
      </c>
      <c r="D113" s="5">
        <f t="shared" si="2"/>
        <v>3</v>
      </c>
      <c r="E113" s="14"/>
      <c r="F113" s="15" t="s">
        <v>246</v>
      </c>
      <c r="G113" s="12" t="s">
        <v>242</v>
      </c>
      <c r="H113" s="10" t="s">
        <v>247</v>
      </c>
      <c r="I113" s="16" t="s">
        <v>716</v>
      </c>
      <c r="J113" s="6" t="s">
        <v>643</v>
      </c>
      <c r="K113" s="2">
        <v>1</v>
      </c>
    </row>
    <row r="114" spans="1:12" s="1" customFormat="1" ht="15" customHeight="1">
      <c r="A114" s="7">
        <f t="shared" si="3"/>
        <v>112</v>
      </c>
      <c r="B114" s="46">
        <v>2</v>
      </c>
      <c r="C114" s="46">
        <v>3</v>
      </c>
      <c r="D114" s="5">
        <f t="shared" si="2"/>
        <v>4</v>
      </c>
      <c r="E114" s="28" t="s">
        <v>862</v>
      </c>
      <c r="F114" s="15" t="s">
        <v>248</v>
      </c>
      <c r="G114" s="26" t="s">
        <v>249</v>
      </c>
      <c r="H114" s="16" t="s">
        <v>250</v>
      </c>
      <c r="I114" s="16" t="s">
        <v>717</v>
      </c>
      <c r="J114" s="6" t="s">
        <v>643</v>
      </c>
      <c r="K114" s="2">
        <v>2</v>
      </c>
    </row>
    <row r="115" spans="1:12" s="1" customFormat="1" ht="15" customHeight="1">
      <c r="A115" s="7">
        <f t="shared" si="3"/>
        <v>113</v>
      </c>
      <c r="B115" s="46">
        <v>2</v>
      </c>
      <c r="C115" s="46">
        <v>3</v>
      </c>
      <c r="D115" s="5">
        <f t="shared" si="2"/>
        <v>5</v>
      </c>
      <c r="E115" s="13"/>
      <c r="F115" s="15" t="s">
        <v>714</v>
      </c>
      <c r="G115" s="26" t="s">
        <v>249</v>
      </c>
      <c r="H115" s="16" t="s">
        <v>252</v>
      </c>
      <c r="I115" s="16" t="s">
        <v>715</v>
      </c>
      <c r="J115" s="6" t="s">
        <v>643</v>
      </c>
      <c r="K115" s="2">
        <v>0</v>
      </c>
    </row>
    <row r="116" spans="1:12" s="1" customFormat="1" ht="15" customHeight="1">
      <c r="A116" s="7">
        <f t="shared" si="3"/>
        <v>114</v>
      </c>
      <c r="B116" s="46">
        <v>2</v>
      </c>
      <c r="C116" s="46">
        <v>3</v>
      </c>
      <c r="D116" s="5">
        <f t="shared" si="2"/>
        <v>6</v>
      </c>
      <c r="E116" s="13"/>
      <c r="F116" s="15" t="s">
        <v>463</v>
      </c>
      <c r="G116" s="26" t="s">
        <v>242</v>
      </c>
      <c r="H116" s="16"/>
      <c r="I116" s="24" t="s">
        <v>461</v>
      </c>
      <c r="J116" s="78"/>
      <c r="K116" s="81"/>
    </row>
    <row r="117" spans="1:12" s="1" customFormat="1" ht="15" customHeight="1">
      <c r="A117" s="7">
        <f t="shared" si="3"/>
        <v>115</v>
      </c>
      <c r="B117" s="33">
        <v>2</v>
      </c>
      <c r="C117" s="33">
        <v>4</v>
      </c>
      <c r="D117" s="5">
        <f>IF(AND(B115=B117,C115=C117),D115+1,1)</f>
        <v>1</v>
      </c>
      <c r="E117" s="5" t="s">
        <v>863</v>
      </c>
      <c r="F117" s="8" t="s">
        <v>253</v>
      </c>
      <c r="G117" s="12" t="s">
        <v>254</v>
      </c>
      <c r="H117" s="10" t="s">
        <v>255</v>
      </c>
      <c r="I117" s="16" t="s">
        <v>719</v>
      </c>
      <c r="J117" s="6" t="s">
        <v>643</v>
      </c>
      <c r="K117" s="2">
        <v>3</v>
      </c>
    </row>
    <row r="118" spans="1:12" s="1" customFormat="1" ht="15" customHeight="1">
      <c r="A118" s="7">
        <f t="shared" si="3"/>
        <v>116</v>
      </c>
      <c r="B118" s="33">
        <v>2</v>
      </c>
      <c r="C118" s="33">
        <v>4</v>
      </c>
      <c r="D118" s="5">
        <f t="shared" si="2"/>
        <v>2</v>
      </c>
      <c r="E118" s="5"/>
      <c r="F118" s="8" t="s">
        <v>256</v>
      </c>
      <c r="G118" s="12" t="s">
        <v>257</v>
      </c>
      <c r="H118" s="10" t="s">
        <v>258</v>
      </c>
      <c r="I118" s="16" t="s">
        <v>566</v>
      </c>
      <c r="J118" s="77" t="s">
        <v>642</v>
      </c>
      <c r="K118" s="2">
        <v>0</v>
      </c>
      <c r="L118" s="1" t="s">
        <v>720</v>
      </c>
    </row>
    <row r="119" spans="1:12" s="1" customFormat="1" ht="15" customHeight="1">
      <c r="A119" s="7">
        <f t="shared" si="3"/>
        <v>117</v>
      </c>
      <c r="B119" s="33">
        <v>2</v>
      </c>
      <c r="C119" s="33">
        <v>4</v>
      </c>
      <c r="D119" s="5">
        <f t="shared" si="2"/>
        <v>3</v>
      </c>
      <c r="E119" s="13"/>
      <c r="F119" s="15" t="s">
        <v>259</v>
      </c>
      <c r="G119" s="26" t="s">
        <v>254</v>
      </c>
      <c r="H119" s="16" t="s">
        <v>260</v>
      </c>
      <c r="I119" s="16" t="s">
        <v>722</v>
      </c>
      <c r="J119" s="77" t="s">
        <v>642</v>
      </c>
      <c r="K119" s="2">
        <v>1</v>
      </c>
    </row>
    <row r="120" spans="1:12" s="1" customFormat="1" ht="15" customHeight="1">
      <c r="A120" s="7">
        <f t="shared" si="3"/>
        <v>118</v>
      </c>
      <c r="B120" s="33">
        <v>2</v>
      </c>
      <c r="C120" s="33">
        <v>4</v>
      </c>
      <c r="D120" s="5">
        <f t="shared" si="2"/>
        <v>4</v>
      </c>
      <c r="E120" s="28" t="s">
        <v>862</v>
      </c>
      <c r="F120" s="15" t="s">
        <v>261</v>
      </c>
      <c r="G120" s="10" t="s">
        <v>262</v>
      </c>
      <c r="H120" s="10" t="s">
        <v>263</v>
      </c>
      <c r="I120" s="16" t="s">
        <v>721</v>
      </c>
      <c r="J120" s="6" t="s">
        <v>643</v>
      </c>
      <c r="K120" s="2">
        <v>5</v>
      </c>
    </row>
    <row r="121" spans="1:12" s="1" customFormat="1" ht="15" customHeight="1">
      <c r="A121" s="7">
        <f t="shared" si="3"/>
        <v>119</v>
      </c>
      <c r="B121" s="33">
        <v>2</v>
      </c>
      <c r="C121" s="33">
        <v>4</v>
      </c>
      <c r="D121" s="5">
        <f t="shared" si="2"/>
        <v>5</v>
      </c>
      <c r="E121" s="14"/>
      <c r="F121" s="8" t="s">
        <v>264</v>
      </c>
      <c r="G121" s="26" t="s">
        <v>257</v>
      </c>
      <c r="H121" s="10" t="s">
        <v>265</v>
      </c>
      <c r="I121" s="16" t="s">
        <v>718</v>
      </c>
      <c r="J121" s="77" t="s">
        <v>642</v>
      </c>
      <c r="K121" s="2">
        <v>1</v>
      </c>
    </row>
    <row r="122" spans="1:12" s="1" customFormat="1" ht="15" customHeight="1">
      <c r="A122" s="7">
        <f t="shared" si="3"/>
        <v>120</v>
      </c>
      <c r="B122" s="44">
        <v>2</v>
      </c>
      <c r="C122" s="44">
        <v>5</v>
      </c>
      <c r="D122" s="5">
        <f t="shared" si="2"/>
        <v>1</v>
      </c>
      <c r="E122" s="5"/>
      <c r="F122" s="8" t="s">
        <v>435</v>
      </c>
      <c r="G122" s="26" t="s">
        <v>266</v>
      </c>
      <c r="H122" s="10" t="s">
        <v>267</v>
      </c>
      <c r="I122" s="16" t="s">
        <v>723</v>
      </c>
      <c r="J122" s="6" t="s">
        <v>643</v>
      </c>
      <c r="K122" s="2">
        <v>2</v>
      </c>
    </row>
    <row r="123" spans="1:12" s="1" customFormat="1" ht="15" customHeight="1">
      <c r="A123" s="7">
        <f t="shared" si="3"/>
        <v>121</v>
      </c>
      <c r="B123" s="44">
        <v>2</v>
      </c>
      <c r="C123" s="44">
        <v>5</v>
      </c>
      <c r="D123" s="5">
        <f t="shared" si="2"/>
        <v>2</v>
      </c>
      <c r="E123" s="28" t="s">
        <v>862</v>
      </c>
      <c r="F123" s="8" t="s">
        <v>268</v>
      </c>
      <c r="G123" s="26" t="s">
        <v>266</v>
      </c>
      <c r="H123" s="10" t="s">
        <v>269</v>
      </c>
      <c r="I123" s="16" t="s">
        <v>727</v>
      </c>
      <c r="J123" s="6" t="s">
        <v>643</v>
      </c>
      <c r="K123" s="2">
        <v>2</v>
      </c>
    </row>
    <row r="124" spans="1:12" s="1" customFormat="1" ht="15" customHeight="1">
      <c r="A124" s="7">
        <f t="shared" si="3"/>
        <v>122</v>
      </c>
      <c r="B124" s="44">
        <v>2</v>
      </c>
      <c r="C124" s="44">
        <v>5</v>
      </c>
      <c r="D124" s="5">
        <f t="shared" si="2"/>
        <v>3</v>
      </c>
      <c r="E124" s="5"/>
      <c r="F124" s="8" t="s">
        <v>271</v>
      </c>
      <c r="G124" s="26" t="s">
        <v>254</v>
      </c>
      <c r="H124" s="10" t="s">
        <v>272</v>
      </c>
      <c r="I124" s="16" t="s">
        <v>725</v>
      </c>
      <c r="J124" s="6" t="s">
        <v>643</v>
      </c>
      <c r="K124" s="2">
        <v>1</v>
      </c>
    </row>
    <row r="125" spans="1:12" s="1" customFormat="1" ht="15" customHeight="1">
      <c r="A125" s="7">
        <f t="shared" si="3"/>
        <v>123</v>
      </c>
      <c r="B125" s="44">
        <v>2</v>
      </c>
      <c r="C125" s="44">
        <v>5</v>
      </c>
      <c r="D125" s="5">
        <f t="shared" si="2"/>
        <v>4</v>
      </c>
      <c r="E125" s="5" t="s">
        <v>863</v>
      </c>
      <c r="F125" s="8" t="s">
        <v>273</v>
      </c>
      <c r="G125" s="26" t="s">
        <v>266</v>
      </c>
      <c r="H125" s="10" t="s">
        <v>274</v>
      </c>
      <c r="I125" s="16" t="s">
        <v>729</v>
      </c>
      <c r="J125" s="77" t="s">
        <v>642</v>
      </c>
      <c r="K125" s="2">
        <v>1</v>
      </c>
    </row>
    <row r="126" spans="1:12" s="1" customFormat="1" ht="15" customHeight="1">
      <c r="A126" s="7">
        <f t="shared" si="3"/>
        <v>124</v>
      </c>
      <c r="B126" s="44">
        <v>2</v>
      </c>
      <c r="C126" s="44">
        <v>5</v>
      </c>
      <c r="D126" s="5">
        <f t="shared" si="2"/>
        <v>5</v>
      </c>
      <c r="E126" s="13"/>
      <c r="F126" s="8" t="s">
        <v>275</v>
      </c>
      <c r="G126" s="26" t="s">
        <v>254</v>
      </c>
      <c r="H126" s="10" t="s">
        <v>276</v>
      </c>
      <c r="I126" s="16" t="s">
        <v>726</v>
      </c>
      <c r="J126" s="6" t="s">
        <v>643</v>
      </c>
      <c r="K126" s="2">
        <v>3</v>
      </c>
    </row>
    <row r="127" spans="1:12" s="1" customFormat="1" ht="15" customHeight="1">
      <c r="A127" s="7">
        <f t="shared" si="3"/>
        <v>125</v>
      </c>
      <c r="B127" s="44">
        <v>2</v>
      </c>
      <c r="C127" s="44">
        <v>5</v>
      </c>
      <c r="D127" s="5">
        <f t="shared" si="2"/>
        <v>6</v>
      </c>
      <c r="E127" s="14"/>
      <c r="F127" s="8" t="s">
        <v>277</v>
      </c>
      <c r="G127" s="26" t="s">
        <v>266</v>
      </c>
      <c r="H127" s="10" t="s">
        <v>278</v>
      </c>
      <c r="I127" s="16" t="s">
        <v>728</v>
      </c>
      <c r="J127" s="6" t="s">
        <v>643</v>
      </c>
      <c r="K127" s="2">
        <v>1</v>
      </c>
    </row>
    <row r="128" spans="1:12" s="1" customFormat="1" ht="15" customHeight="1">
      <c r="A128" s="7">
        <f t="shared" si="3"/>
        <v>126</v>
      </c>
      <c r="B128" s="44">
        <v>2</v>
      </c>
      <c r="C128" s="44">
        <v>5</v>
      </c>
      <c r="D128" s="5">
        <f t="shared" si="2"/>
        <v>7</v>
      </c>
      <c r="E128" s="5"/>
      <c r="F128" s="8" t="s">
        <v>279</v>
      </c>
      <c r="G128" s="26" t="s">
        <v>266</v>
      </c>
      <c r="H128" s="10" t="s">
        <v>280</v>
      </c>
      <c r="I128" s="16" t="s">
        <v>724</v>
      </c>
      <c r="J128" s="6" t="s">
        <v>643</v>
      </c>
      <c r="K128" s="2">
        <v>1</v>
      </c>
    </row>
    <row r="129" spans="1:12" s="1" customFormat="1" ht="15" customHeight="1">
      <c r="A129" s="7">
        <f t="shared" si="3"/>
        <v>127</v>
      </c>
      <c r="B129" s="44">
        <v>2</v>
      </c>
      <c r="C129" s="44">
        <v>5</v>
      </c>
      <c r="D129" s="5">
        <f t="shared" si="2"/>
        <v>8</v>
      </c>
      <c r="E129" s="13"/>
      <c r="F129" s="8" t="s">
        <v>281</v>
      </c>
      <c r="G129" s="26" t="s">
        <v>254</v>
      </c>
      <c r="H129" s="10" t="s">
        <v>282</v>
      </c>
      <c r="I129" s="16"/>
      <c r="J129" s="78"/>
      <c r="K129" s="81"/>
    </row>
    <row r="130" spans="1:12" s="1" customFormat="1" ht="15" customHeight="1">
      <c r="A130" s="7">
        <f t="shared" si="3"/>
        <v>128</v>
      </c>
      <c r="B130" s="44">
        <v>2</v>
      </c>
      <c r="C130" s="44">
        <v>5</v>
      </c>
      <c r="D130" s="5">
        <f t="shared" si="2"/>
        <v>9</v>
      </c>
      <c r="E130" s="14"/>
      <c r="F130" s="8" t="s">
        <v>283</v>
      </c>
      <c r="G130" s="38"/>
      <c r="H130" s="37"/>
      <c r="I130" s="24" t="s">
        <v>284</v>
      </c>
      <c r="J130" s="84" t="s">
        <v>285</v>
      </c>
      <c r="K130" s="81"/>
    </row>
    <row r="131" spans="1:12" s="1" customFormat="1" ht="15" customHeight="1">
      <c r="A131" s="7">
        <f t="shared" si="3"/>
        <v>129</v>
      </c>
      <c r="B131" s="46">
        <v>2</v>
      </c>
      <c r="C131" s="46">
        <v>6</v>
      </c>
      <c r="D131" s="5">
        <f>IF(AND(B129=B131,C129=C131),D129+1,1)</f>
        <v>1</v>
      </c>
      <c r="E131" s="28" t="s">
        <v>862</v>
      </c>
      <c r="F131" s="8" t="s">
        <v>286</v>
      </c>
      <c r="G131" s="12" t="s">
        <v>287</v>
      </c>
      <c r="H131" s="10" t="s">
        <v>288</v>
      </c>
      <c r="I131" s="16" t="s">
        <v>735</v>
      </c>
      <c r="J131" s="6" t="s">
        <v>643</v>
      </c>
      <c r="K131" s="2">
        <v>3</v>
      </c>
    </row>
    <row r="132" spans="1:12" s="1" customFormat="1" ht="15" customHeight="1">
      <c r="A132" s="7">
        <f t="shared" si="3"/>
        <v>130</v>
      </c>
      <c r="B132" s="46">
        <v>2</v>
      </c>
      <c r="C132" s="46">
        <v>6</v>
      </c>
      <c r="D132" s="5">
        <f t="shared" si="2"/>
        <v>2</v>
      </c>
      <c r="E132" s="11"/>
      <c r="F132" s="8" t="s">
        <v>289</v>
      </c>
      <c r="G132" s="12" t="s">
        <v>287</v>
      </c>
      <c r="H132" s="10" t="s">
        <v>290</v>
      </c>
      <c r="I132" s="16" t="s">
        <v>732</v>
      </c>
      <c r="J132" s="6" t="s">
        <v>643</v>
      </c>
      <c r="K132" s="2">
        <v>2</v>
      </c>
    </row>
    <row r="133" spans="1:12" s="1" customFormat="1" ht="15" customHeight="1">
      <c r="A133" s="7">
        <f t="shared" si="3"/>
        <v>131</v>
      </c>
      <c r="B133" s="46">
        <v>2</v>
      </c>
      <c r="C133" s="46">
        <v>6</v>
      </c>
      <c r="D133" s="5">
        <f t="shared" ref="D133:D189" si="4">IF(AND(B132=B133,C132=C133),D132+1,1)</f>
        <v>3</v>
      </c>
      <c r="E133" s="14"/>
      <c r="F133" s="8" t="s">
        <v>730</v>
      </c>
      <c r="G133" s="12" t="s">
        <v>287</v>
      </c>
      <c r="H133" s="10" t="s">
        <v>292</v>
      </c>
      <c r="I133" s="16" t="s">
        <v>731</v>
      </c>
      <c r="J133" s="6" t="s">
        <v>643</v>
      </c>
      <c r="K133" s="2">
        <v>3</v>
      </c>
    </row>
    <row r="134" spans="1:12" s="1" customFormat="1" ht="15" customHeight="1">
      <c r="A134" s="7">
        <f t="shared" si="3"/>
        <v>132</v>
      </c>
      <c r="B134" s="46">
        <v>2</v>
      </c>
      <c r="C134" s="46">
        <v>6</v>
      </c>
      <c r="D134" s="5">
        <f t="shared" si="4"/>
        <v>4</v>
      </c>
      <c r="E134" s="5"/>
      <c r="F134" s="8" t="s">
        <v>293</v>
      </c>
      <c r="G134" s="12" t="s">
        <v>287</v>
      </c>
      <c r="H134" s="10" t="s">
        <v>294</v>
      </c>
      <c r="I134" s="16" t="s">
        <v>733</v>
      </c>
      <c r="J134" s="6" t="s">
        <v>643</v>
      </c>
      <c r="K134" s="2">
        <v>2</v>
      </c>
    </row>
    <row r="135" spans="1:12" s="1" customFormat="1" ht="15" customHeight="1">
      <c r="A135" s="7">
        <f t="shared" si="3"/>
        <v>133</v>
      </c>
      <c r="B135" s="46">
        <v>2</v>
      </c>
      <c r="C135" s="46">
        <v>6</v>
      </c>
      <c r="D135" s="5">
        <f t="shared" si="4"/>
        <v>5</v>
      </c>
      <c r="E135" s="5" t="s">
        <v>863</v>
      </c>
      <c r="F135" s="8" t="s">
        <v>295</v>
      </c>
      <c r="G135" s="12" t="s">
        <v>296</v>
      </c>
      <c r="H135" s="10" t="s">
        <v>297</v>
      </c>
      <c r="I135" s="16" t="s">
        <v>734</v>
      </c>
      <c r="J135" s="6" t="s">
        <v>643</v>
      </c>
      <c r="K135" s="2">
        <v>0</v>
      </c>
    </row>
    <row r="136" spans="1:12" s="1" customFormat="1" ht="15" customHeight="1">
      <c r="A136" s="7">
        <f t="shared" ref="A136:A191" si="5">ROW()-2</f>
        <v>134</v>
      </c>
      <c r="B136" s="46">
        <v>2</v>
      </c>
      <c r="C136" s="46">
        <v>6</v>
      </c>
      <c r="D136" s="5">
        <f t="shared" si="4"/>
        <v>6</v>
      </c>
      <c r="E136" s="13"/>
      <c r="F136" s="8" t="s">
        <v>299</v>
      </c>
      <c r="G136" s="12" t="s">
        <v>296</v>
      </c>
      <c r="H136" s="10" t="s">
        <v>300</v>
      </c>
      <c r="I136" s="16"/>
      <c r="J136" s="78"/>
      <c r="K136" s="81"/>
    </row>
    <row r="137" spans="1:12" s="1" customFormat="1" ht="15" customHeight="1">
      <c r="A137" s="7">
        <f t="shared" si="5"/>
        <v>135</v>
      </c>
      <c r="B137" s="29">
        <v>2</v>
      </c>
      <c r="C137" s="29">
        <v>7</v>
      </c>
      <c r="D137" s="5">
        <f t="shared" si="4"/>
        <v>1</v>
      </c>
      <c r="E137" s="28" t="s">
        <v>862</v>
      </c>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t="s">
        <v>862</v>
      </c>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5">
        <v>2</v>
      </c>
      <c r="C153" s="45">
        <v>9</v>
      </c>
      <c r="D153" s="5">
        <f>IF(AND(B151=B153,C151=C153),D151+1,1)</f>
        <v>1</v>
      </c>
      <c r="E153" s="13"/>
      <c r="F153" s="8" t="s">
        <v>334</v>
      </c>
      <c r="G153" s="12" t="s">
        <v>324</v>
      </c>
      <c r="H153" s="10" t="s">
        <v>335</v>
      </c>
      <c r="I153" s="16" t="s">
        <v>755</v>
      </c>
      <c r="J153" s="6" t="s">
        <v>643</v>
      </c>
      <c r="K153" s="2">
        <v>2</v>
      </c>
    </row>
    <row r="154" spans="1:12" s="1" customFormat="1" ht="15" customHeight="1">
      <c r="A154" s="7">
        <f t="shared" si="5"/>
        <v>152</v>
      </c>
      <c r="B154" s="45">
        <v>2</v>
      </c>
      <c r="C154" s="45">
        <v>9</v>
      </c>
      <c r="D154" s="5">
        <f t="shared" si="4"/>
        <v>2</v>
      </c>
      <c r="E154" s="14"/>
      <c r="F154" s="8" t="s">
        <v>336</v>
      </c>
      <c r="G154" s="12" t="s">
        <v>324</v>
      </c>
      <c r="H154" s="10" t="s">
        <v>337</v>
      </c>
      <c r="I154" s="16" t="s">
        <v>757</v>
      </c>
      <c r="J154" s="6" t="s">
        <v>643</v>
      </c>
      <c r="K154" s="2">
        <v>2</v>
      </c>
    </row>
    <row r="155" spans="1:12" s="1" customFormat="1" ht="15" customHeight="1">
      <c r="A155" s="7">
        <f t="shared" si="5"/>
        <v>153</v>
      </c>
      <c r="B155" s="45">
        <v>2</v>
      </c>
      <c r="C155" s="45">
        <v>9</v>
      </c>
      <c r="D155" s="5">
        <f t="shared" si="4"/>
        <v>3</v>
      </c>
      <c r="E155" s="28" t="s">
        <v>862</v>
      </c>
      <c r="F155" s="8" t="s">
        <v>338</v>
      </c>
      <c r="G155" s="12" t="s">
        <v>324</v>
      </c>
      <c r="H155" s="10" t="s">
        <v>339</v>
      </c>
      <c r="I155" s="16" t="s">
        <v>502</v>
      </c>
      <c r="J155" s="6" t="s">
        <v>643</v>
      </c>
      <c r="K155" s="2">
        <v>2</v>
      </c>
    </row>
    <row r="156" spans="1:12" s="1" customFormat="1" ht="15" customHeight="1">
      <c r="A156" s="7">
        <f t="shared" si="5"/>
        <v>154</v>
      </c>
      <c r="B156" s="45">
        <v>2</v>
      </c>
      <c r="C156" s="45">
        <v>9</v>
      </c>
      <c r="D156" s="5">
        <f t="shared" si="4"/>
        <v>4</v>
      </c>
      <c r="E156" s="5"/>
      <c r="F156" s="8" t="s">
        <v>753</v>
      </c>
      <c r="G156" s="12" t="s">
        <v>324</v>
      </c>
      <c r="H156" s="10" t="s">
        <v>341</v>
      </c>
      <c r="I156" s="16" t="s">
        <v>754</v>
      </c>
      <c r="J156" s="77" t="s">
        <v>642</v>
      </c>
      <c r="K156" s="2">
        <v>0</v>
      </c>
    </row>
    <row r="157" spans="1:12" s="1" customFormat="1" ht="15" customHeight="1">
      <c r="A157" s="7">
        <f t="shared" si="5"/>
        <v>155</v>
      </c>
      <c r="B157" s="45">
        <v>2</v>
      </c>
      <c r="C157" s="45">
        <v>9</v>
      </c>
      <c r="D157" s="5">
        <f t="shared" si="4"/>
        <v>5</v>
      </c>
      <c r="E157" s="5" t="s">
        <v>863</v>
      </c>
      <c r="F157" s="8" t="s">
        <v>342</v>
      </c>
      <c r="G157" s="12" t="s">
        <v>324</v>
      </c>
      <c r="H157" s="10" t="s">
        <v>343</v>
      </c>
      <c r="I157" s="16" t="s">
        <v>756</v>
      </c>
      <c r="J157" s="6" t="s">
        <v>643</v>
      </c>
      <c r="K157" s="2">
        <v>1</v>
      </c>
    </row>
    <row r="158" spans="1:12" s="1" customFormat="1" ht="15" customHeight="1">
      <c r="A158" s="7">
        <f t="shared" si="5"/>
        <v>156</v>
      </c>
      <c r="B158" s="45">
        <v>2</v>
      </c>
      <c r="C158" s="45">
        <v>9</v>
      </c>
      <c r="D158" s="5">
        <f t="shared" si="4"/>
        <v>6</v>
      </c>
      <c r="E158" s="11"/>
      <c r="F158" s="8" t="s">
        <v>505</v>
      </c>
      <c r="G158" s="12" t="s">
        <v>324</v>
      </c>
      <c r="H158" s="10" t="s">
        <v>344</v>
      </c>
      <c r="I158" s="16" t="s">
        <v>758</v>
      </c>
      <c r="J158" s="77" t="s">
        <v>642</v>
      </c>
      <c r="K158" s="2">
        <v>0</v>
      </c>
      <c r="L158" s="1" t="s">
        <v>759</v>
      </c>
    </row>
    <row r="159" spans="1:12" s="1" customFormat="1" ht="15" customHeight="1">
      <c r="A159" s="7">
        <f t="shared" si="5"/>
        <v>157</v>
      </c>
      <c r="B159" s="45">
        <v>2</v>
      </c>
      <c r="C159" s="45">
        <v>9</v>
      </c>
      <c r="D159" s="5">
        <f t="shared" si="4"/>
        <v>7</v>
      </c>
      <c r="E159" s="5"/>
      <c r="F159" s="8" t="s">
        <v>345</v>
      </c>
      <c r="G159" s="12" t="s">
        <v>346</v>
      </c>
      <c r="H159" s="10" t="s">
        <v>347</v>
      </c>
      <c r="I159" s="16" t="s">
        <v>751</v>
      </c>
      <c r="J159" s="6" t="s">
        <v>643</v>
      </c>
      <c r="K159" s="2">
        <v>1</v>
      </c>
    </row>
    <row r="160" spans="1:12" s="1" customFormat="1" ht="15" customHeight="1">
      <c r="A160" s="7">
        <f t="shared" si="5"/>
        <v>158</v>
      </c>
      <c r="B160" s="45">
        <v>2</v>
      </c>
      <c r="C160" s="45">
        <v>9</v>
      </c>
      <c r="D160" s="5">
        <f t="shared" si="4"/>
        <v>8</v>
      </c>
      <c r="E160" s="13"/>
      <c r="F160" s="8" t="s">
        <v>457</v>
      </c>
      <c r="G160" s="12" t="s">
        <v>348</v>
      </c>
      <c r="H160" s="10" t="s">
        <v>349</v>
      </c>
      <c r="I160" s="16" t="s">
        <v>752</v>
      </c>
      <c r="J160" s="6" t="s">
        <v>643</v>
      </c>
      <c r="K160" s="2">
        <v>0</v>
      </c>
    </row>
    <row r="161" spans="1:12" s="1" customFormat="1" ht="15" customHeight="1">
      <c r="A161" s="7">
        <f t="shared" si="5"/>
        <v>159</v>
      </c>
      <c r="B161" s="33">
        <v>2</v>
      </c>
      <c r="C161" s="33">
        <v>10</v>
      </c>
      <c r="D161" s="5">
        <f t="shared" si="4"/>
        <v>1</v>
      </c>
      <c r="E161" s="13"/>
      <c r="F161" s="8" t="s">
        <v>357</v>
      </c>
      <c r="G161" s="10" t="s">
        <v>358</v>
      </c>
      <c r="H161" s="10" t="s">
        <v>359</v>
      </c>
      <c r="I161" s="16" t="s">
        <v>769</v>
      </c>
      <c r="J161" s="6" t="s">
        <v>643</v>
      </c>
      <c r="K161" s="2">
        <v>1</v>
      </c>
    </row>
    <row r="162" spans="1:12" s="1" customFormat="1" ht="15" customHeight="1">
      <c r="A162" s="7">
        <f t="shared" si="5"/>
        <v>160</v>
      </c>
      <c r="B162" s="33">
        <v>2</v>
      </c>
      <c r="C162" s="33">
        <v>10</v>
      </c>
      <c r="D162" s="5">
        <f t="shared" si="4"/>
        <v>2</v>
      </c>
      <c r="E162" s="5"/>
      <c r="F162" s="15" t="s">
        <v>369</v>
      </c>
      <c r="G162" s="10" t="s">
        <v>370</v>
      </c>
      <c r="H162" s="10" t="s">
        <v>371</v>
      </c>
      <c r="I162" s="16" t="s">
        <v>770</v>
      </c>
      <c r="J162" s="6" t="s">
        <v>643</v>
      </c>
      <c r="K162" s="2">
        <v>1</v>
      </c>
    </row>
    <row r="163" spans="1:12" s="1" customFormat="1" ht="15" customHeight="1">
      <c r="A163" s="7">
        <f t="shared" si="5"/>
        <v>161</v>
      </c>
      <c r="B163" s="33">
        <v>2</v>
      </c>
      <c r="C163" s="33">
        <v>10</v>
      </c>
      <c r="D163" s="5">
        <f t="shared" si="4"/>
        <v>3</v>
      </c>
      <c r="E163" s="13"/>
      <c r="F163" s="8" t="s">
        <v>375</v>
      </c>
      <c r="G163" s="10" t="s">
        <v>376</v>
      </c>
      <c r="H163" s="10" t="s">
        <v>377</v>
      </c>
      <c r="I163" s="16" t="s">
        <v>762</v>
      </c>
      <c r="J163" s="77" t="s">
        <v>642</v>
      </c>
      <c r="K163" s="2">
        <v>0</v>
      </c>
    </row>
    <row r="164" spans="1:12" s="1" customFormat="1" ht="15" customHeight="1">
      <c r="A164" s="7">
        <f t="shared" si="5"/>
        <v>162</v>
      </c>
      <c r="B164" s="33">
        <v>2</v>
      </c>
      <c r="C164" s="33">
        <v>10</v>
      </c>
      <c r="D164" s="5">
        <f t="shared" si="4"/>
        <v>4</v>
      </c>
      <c r="E164" s="5"/>
      <c r="F164" s="8" t="s">
        <v>381</v>
      </c>
      <c r="G164" s="9" t="s">
        <v>382</v>
      </c>
      <c r="H164" s="10" t="s">
        <v>383</v>
      </c>
      <c r="I164" s="16" t="s">
        <v>763</v>
      </c>
      <c r="J164" s="77" t="s">
        <v>642</v>
      </c>
      <c r="K164" s="2">
        <v>4</v>
      </c>
      <c r="L164" s="1" t="s">
        <v>764</v>
      </c>
    </row>
    <row r="165" spans="1:12" s="1" customFormat="1" ht="15" customHeight="1">
      <c r="A165" s="7">
        <f t="shared" si="5"/>
        <v>163</v>
      </c>
      <c r="B165" s="33">
        <v>2</v>
      </c>
      <c r="C165" s="33">
        <v>10</v>
      </c>
      <c r="D165" s="5">
        <f t="shared" si="4"/>
        <v>5</v>
      </c>
      <c r="E165" s="14"/>
      <c r="F165" s="8" t="s">
        <v>363</v>
      </c>
      <c r="G165" s="12" t="s">
        <v>364</v>
      </c>
      <c r="H165" s="10" t="s">
        <v>365</v>
      </c>
      <c r="I165" s="16" t="s">
        <v>765</v>
      </c>
      <c r="J165" s="6" t="s">
        <v>643</v>
      </c>
      <c r="K165" s="2">
        <v>0</v>
      </c>
    </row>
    <row r="166" spans="1:12" s="1" customFormat="1" ht="15" customHeight="1">
      <c r="A166" s="7">
        <f t="shared" si="5"/>
        <v>164</v>
      </c>
      <c r="B166" s="33">
        <v>2</v>
      </c>
      <c r="C166" s="33">
        <v>10</v>
      </c>
      <c r="D166" s="5">
        <f t="shared" si="4"/>
        <v>6</v>
      </c>
      <c r="E166" s="5"/>
      <c r="F166" s="8" t="s">
        <v>360</v>
      </c>
      <c r="G166" s="10" t="s">
        <v>361</v>
      </c>
      <c r="H166" s="10" t="s">
        <v>362</v>
      </c>
      <c r="I166" s="16" t="s">
        <v>766</v>
      </c>
      <c r="J166" s="6" t="s">
        <v>643</v>
      </c>
      <c r="K166" s="2">
        <v>3</v>
      </c>
    </row>
    <row r="167" spans="1:12" s="1" customFormat="1" ht="15" customHeight="1">
      <c r="A167" s="7">
        <f t="shared" si="5"/>
        <v>165</v>
      </c>
      <c r="B167" s="33">
        <v>2</v>
      </c>
      <c r="C167" s="33">
        <v>10</v>
      </c>
      <c r="D167" s="5">
        <f t="shared" si="4"/>
        <v>7</v>
      </c>
      <c r="E167" s="5"/>
      <c r="F167" s="8" t="s">
        <v>372</v>
      </c>
      <c r="G167" s="10" t="s">
        <v>373</v>
      </c>
      <c r="H167" s="10" t="s">
        <v>374</v>
      </c>
      <c r="I167" s="16" t="s">
        <v>767</v>
      </c>
      <c r="J167" s="6" t="s">
        <v>643</v>
      </c>
      <c r="K167" s="2">
        <v>1</v>
      </c>
    </row>
    <row r="168" spans="1:12" s="1" customFormat="1" ht="15" customHeight="1">
      <c r="A168" s="7">
        <f t="shared" si="5"/>
        <v>166</v>
      </c>
      <c r="B168" s="33">
        <v>2</v>
      </c>
      <c r="C168" s="33">
        <v>10</v>
      </c>
      <c r="D168" s="5">
        <f t="shared" si="4"/>
        <v>8</v>
      </c>
      <c r="E168" s="14"/>
      <c r="F168" s="8" t="s">
        <v>378</v>
      </c>
      <c r="G168" s="10" t="s">
        <v>379</v>
      </c>
      <c r="H168" s="10" t="s">
        <v>380</v>
      </c>
      <c r="I168" s="16" t="s">
        <v>761</v>
      </c>
      <c r="J168" s="77" t="s">
        <v>642</v>
      </c>
      <c r="K168" s="2">
        <v>1</v>
      </c>
    </row>
    <row r="169" spans="1:12" s="1" customFormat="1" ht="15" customHeight="1">
      <c r="A169" s="7">
        <f t="shared" si="5"/>
        <v>167</v>
      </c>
      <c r="B169" s="33">
        <v>2</v>
      </c>
      <c r="C169" s="33">
        <v>10</v>
      </c>
      <c r="D169" s="5">
        <f t="shared" si="4"/>
        <v>9</v>
      </c>
      <c r="E169" s="28" t="s">
        <v>862</v>
      </c>
      <c r="F169" s="8" t="s">
        <v>366</v>
      </c>
      <c r="G169" s="10" t="s">
        <v>367</v>
      </c>
      <c r="H169" s="10" t="s">
        <v>368</v>
      </c>
      <c r="I169" s="16" t="s">
        <v>760</v>
      </c>
      <c r="J169" s="77" t="s">
        <v>642</v>
      </c>
      <c r="K169" s="2">
        <v>0</v>
      </c>
    </row>
    <row r="170" spans="1:12" s="1" customFormat="1" ht="15" customHeight="1">
      <c r="A170" s="7">
        <f t="shared" si="5"/>
        <v>168</v>
      </c>
      <c r="B170" s="33">
        <v>2</v>
      </c>
      <c r="C170" s="33">
        <v>10</v>
      </c>
      <c r="D170" s="5">
        <f t="shared" si="4"/>
        <v>10</v>
      </c>
      <c r="E170" s="5" t="s">
        <v>863</v>
      </c>
      <c r="F170" s="8" t="s">
        <v>354</v>
      </c>
      <c r="G170" s="12" t="s">
        <v>355</v>
      </c>
      <c r="H170" s="10" t="s">
        <v>356</v>
      </c>
      <c r="I170" s="16" t="s">
        <v>768</v>
      </c>
      <c r="J170" s="6" t="s">
        <v>643</v>
      </c>
      <c r="K170" s="2">
        <v>2</v>
      </c>
    </row>
    <row r="171" spans="1:12" s="1" customFormat="1" ht="15" customHeight="1">
      <c r="A171" s="7">
        <f t="shared" si="5"/>
        <v>169</v>
      </c>
      <c r="B171" s="33">
        <v>2</v>
      </c>
      <c r="C171" s="33">
        <v>10</v>
      </c>
      <c r="D171" s="5">
        <f t="shared" si="4"/>
        <v>11</v>
      </c>
      <c r="E171" s="5"/>
      <c r="F171" s="8" t="s">
        <v>351</v>
      </c>
      <c r="G171" s="12" t="s">
        <v>352</v>
      </c>
      <c r="H171" s="10" t="s">
        <v>353</v>
      </c>
      <c r="I171" s="16"/>
      <c r="J171" s="78"/>
      <c r="K171" s="81"/>
    </row>
    <row r="172" spans="1:12" s="58" customFormat="1" ht="15" customHeight="1">
      <c r="A172" s="7">
        <f t="shared" si="5"/>
        <v>170</v>
      </c>
      <c r="B172" s="29">
        <v>2</v>
      </c>
      <c r="C172" s="29">
        <v>11</v>
      </c>
      <c r="D172" s="5">
        <f t="shared" si="4"/>
        <v>1</v>
      </c>
      <c r="E172" s="14"/>
      <c r="F172" s="15" t="s">
        <v>467</v>
      </c>
      <c r="G172" s="26" t="s">
        <v>385</v>
      </c>
      <c r="H172" s="16" t="s">
        <v>460</v>
      </c>
      <c r="I172" s="16" t="s">
        <v>775</v>
      </c>
      <c r="J172" s="6" t="s">
        <v>643</v>
      </c>
      <c r="K172" s="2">
        <v>1</v>
      </c>
    </row>
    <row r="173" spans="1:12" s="1" customFormat="1" ht="15" customHeight="1">
      <c r="A173" s="7">
        <f t="shared" si="5"/>
        <v>171</v>
      </c>
      <c r="B173" s="29">
        <v>2</v>
      </c>
      <c r="C173" s="29">
        <v>11</v>
      </c>
      <c r="D173" s="5">
        <f t="shared" si="4"/>
        <v>2</v>
      </c>
      <c r="E173" s="5"/>
      <c r="F173" s="8" t="s">
        <v>386</v>
      </c>
      <c r="G173" s="12" t="s">
        <v>385</v>
      </c>
      <c r="H173" s="10" t="s">
        <v>387</v>
      </c>
      <c r="I173" s="16" t="s">
        <v>771</v>
      </c>
      <c r="J173" s="6" t="s">
        <v>643</v>
      </c>
      <c r="K173" s="2">
        <v>1</v>
      </c>
    </row>
    <row r="174" spans="1:12" s="1" customFormat="1" ht="15" customHeight="1">
      <c r="A174" s="7">
        <f t="shared" si="5"/>
        <v>172</v>
      </c>
      <c r="B174" s="29">
        <v>2</v>
      </c>
      <c r="C174" s="29">
        <v>11</v>
      </c>
      <c r="D174" s="5">
        <f t="shared" si="4"/>
        <v>3</v>
      </c>
      <c r="E174" s="28" t="s">
        <v>862</v>
      </c>
      <c r="F174" s="8" t="s">
        <v>388</v>
      </c>
      <c r="G174" s="12" t="s">
        <v>385</v>
      </c>
      <c r="H174" s="10" t="s">
        <v>447</v>
      </c>
      <c r="I174" s="16" t="s">
        <v>773</v>
      </c>
      <c r="J174" s="6" t="s">
        <v>643</v>
      </c>
      <c r="K174" s="2">
        <v>3</v>
      </c>
    </row>
    <row r="175" spans="1:12" s="1" customFormat="1" ht="15" customHeight="1">
      <c r="A175" s="7">
        <f t="shared" si="5"/>
        <v>173</v>
      </c>
      <c r="B175" s="29">
        <v>2</v>
      </c>
      <c r="C175" s="29">
        <v>11</v>
      </c>
      <c r="D175" s="5">
        <f t="shared" si="4"/>
        <v>4</v>
      </c>
      <c r="E175" s="5" t="s">
        <v>863</v>
      </c>
      <c r="F175" s="8" t="s">
        <v>389</v>
      </c>
      <c r="G175" s="12" t="s">
        <v>385</v>
      </c>
      <c r="H175" s="10" t="s">
        <v>390</v>
      </c>
      <c r="I175" s="16" t="s">
        <v>779</v>
      </c>
      <c r="J175" s="77" t="s">
        <v>642</v>
      </c>
      <c r="K175" s="2">
        <v>2</v>
      </c>
    </row>
    <row r="176" spans="1:12" s="1" customFormat="1" ht="15" customHeight="1">
      <c r="A176" s="7">
        <f t="shared" si="5"/>
        <v>174</v>
      </c>
      <c r="B176" s="29">
        <v>2</v>
      </c>
      <c r="C176" s="29">
        <v>11</v>
      </c>
      <c r="D176" s="5">
        <f t="shared" si="4"/>
        <v>5</v>
      </c>
      <c r="E176" s="5"/>
      <c r="F176" s="8" t="s">
        <v>391</v>
      </c>
      <c r="G176" s="12" t="s">
        <v>324</v>
      </c>
      <c r="H176" s="10" t="s">
        <v>392</v>
      </c>
      <c r="I176" s="16" t="s">
        <v>774</v>
      </c>
      <c r="J176" s="6" t="s">
        <v>643</v>
      </c>
      <c r="K176" s="2">
        <v>5</v>
      </c>
    </row>
    <row r="177" spans="1:12" s="1" customFormat="1" ht="15" customHeight="1">
      <c r="A177" s="7">
        <f t="shared" si="5"/>
        <v>175</v>
      </c>
      <c r="B177" s="29">
        <v>2</v>
      </c>
      <c r="C177" s="29">
        <v>11</v>
      </c>
      <c r="D177" s="5">
        <f t="shared" si="4"/>
        <v>6</v>
      </c>
      <c r="E177" s="5"/>
      <c r="F177" s="8" t="s">
        <v>393</v>
      </c>
      <c r="G177" s="12" t="s">
        <v>324</v>
      </c>
      <c r="H177" s="10" t="s">
        <v>394</v>
      </c>
      <c r="I177" s="16" t="s">
        <v>777</v>
      </c>
      <c r="J177" s="77" t="s">
        <v>642</v>
      </c>
      <c r="K177" s="2">
        <v>1</v>
      </c>
      <c r="L177" s="1" t="s">
        <v>778</v>
      </c>
    </row>
    <row r="178" spans="1:12" s="1" customFormat="1" ht="15" customHeight="1">
      <c r="A178" s="7">
        <f t="shared" si="5"/>
        <v>176</v>
      </c>
      <c r="B178" s="29">
        <v>2</v>
      </c>
      <c r="C178" s="29">
        <v>11</v>
      </c>
      <c r="D178" s="5">
        <f t="shared" si="4"/>
        <v>7</v>
      </c>
      <c r="E178" s="13"/>
      <c r="F178" s="8" t="s">
        <v>396</v>
      </c>
      <c r="G178" s="12" t="s">
        <v>397</v>
      </c>
      <c r="H178" s="10" t="s">
        <v>398</v>
      </c>
      <c r="I178" s="16" t="s">
        <v>776</v>
      </c>
      <c r="J178" s="77" t="s">
        <v>642</v>
      </c>
      <c r="K178" s="2">
        <v>2</v>
      </c>
    </row>
    <row r="179" spans="1:12" s="1" customFormat="1" ht="15" customHeight="1">
      <c r="A179" s="7">
        <f t="shared" si="5"/>
        <v>177</v>
      </c>
      <c r="B179" s="29">
        <v>2</v>
      </c>
      <c r="C179" s="29">
        <v>11</v>
      </c>
      <c r="D179" s="5">
        <f t="shared" si="4"/>
        <v>8</v>
      </c>
      <c r="E179" s="14"/>
      <c r="F179" s="8" t="s">
        <v>399</v>
      </c>
      <c r="G179" s="12" t="s">
        <v>397</v>
      </c>
      <c r="H179" s="10" t="s">
        <v>400</v>
      </c>
      <c r="I179" s="16" t="s">
        <v>772</v>
      </c>
      <c r="J179" s="6" t="s">
        <v>643</v>
      </c>
      <c r="K179" s="2">
        <v>2</v>
      </c>
    </row>
    <row r="180" spans="1:12" s="1" customFormat="1" ht="15" customHeight="1">
      <c r="A180" s="7">
        <f t="shared" si="5"/>
        <v>178</v>
      </c>
      <c r="B180" s="29">
        <v>2</v>
      </c>
      <c r="C180" s="29">
        <v>11</v>
      </c>
      <c r="D180" s="5">
        <f t="shared" si="4"/>
        <v>9</v>
      </c>
      <c r="E180" s="13"/>
      <c r="F180" s="8" t="s">
        <v>401</v>
      </c>
      <c r="G180" s="26" t="s">
        <v>571</v>
      </c>
      <c r="H180" s="10" t="s">
        <v>402</v>
      </c>
      <c r="I180" s="16" t="s">
        <v>579</v>
      </c>
      <c r="J180" s="6" t="s">
        <v>643</v>
      </c>
      <c r="K180" s="2">
        <v>3</v>
      </c>
    </row>
    <row r="181" spans="1:12" s="1" customFormat="1" ht="15" customHeight="1">
      <c r="A181" s="7">
        <f t="shared" si="5"/>
        <v>179</v>
      </c>
      <c r="B181" s="29">
        <v>2</v>
      </c>
      <c r="C181" s="29">
        <v>11</v>
      </c>
      <c r="D181" s="5">
        <f t="shared" si="4"/>
        <v>10</v>
      </c>
      <c r="E181" s="5"/>
      <c r="F181" s="10" t="s">
        <v>405</v>
      </c>
      <c r="G181" s="26" t="s">
        <v>397</v>
      </c>
      <c r="H181" s="52" t="s">
        <v>403</v>
      </c>
      <c r="I181" s="24" t="s">
        <v>404</v>
      </c>
      <c r="J181" s="84" t="s">
        <v>458</v>
      </c>
      <c r="K181" s="81"/>
    </row>
    <row r="182" spans="1:12" s="1" customFormat="1" ht="15" customHeight="1">
      <c r="A182" s="7">
        <f t="shared" si="5"/>
        <v>180</v>
      </c>
      <c r="B182" s="33">
        <v>2</v>
      </c>
      <c r="C182" s="33">
        <v>12</v>
      </c>
      <c r="D182" s="5">
        <f t="shared" si="4"/>
        <v>1</v>
      </c>
      <c r="E182" s="5"/>
      <c r="F182" s="8" t="s">
        <v>406</v>
      </c>
      <c r="G182" s="10" t="s">
        <v>407</v>
      </c>
      <c r="H182" s="16" t="s">
        <v>408</v>
      </c>
      <c r="I182" s="16" t="s">
        <v>781</v>
      </c>
      <c r="J182" s="77" t="s">
        <v>642</v>
      </c>
      <c r="K182" s="2">
        <v>1</v>
      </c>
    </row>
    <row r="183" spans="1:12" s="1" customFormat="1" ht="15" customHeight="1">
      <c r="A183" s="7">
        <f t="shared" si="5"/>
        <v>181</v>
      </c>
      <c r="B183" s="33">
        <v>2</v>
      </c>
      <c r="C183" s="33">
        <v>12</v>
      </c>
      <c r="D183" s="5">
        <f t="shared" si="4"/>
        <v>2</v>
      </c>
      <c r="E183" s="13"/>
      <c r="F183" s="8" t="s">
        <v>409</v>
      </c>
      <c r="G183" s="10" t="s">
        <v>606</v>
      </c>
      <c r="H183" s="10" t="s">
        <v>410</v>
      </c>
      <c r="I183" s="16" t="s">
        <v>784</v>
      </c>
      <c r="J183" s="6" t="s">
        <v>643</v>
      </c>
      <c r="K183" s="2">
        <v>2</v>
      </c>
    </row>
    <row r="184" spans="1:12" s="1" customFormat="1" ht="15" customHeight="1">
      <c r="A184" s="7">
        <f t="shared" si="5"/>
        <v>182</v>
      </c>
      <c r="B184" s="33">
        <v>2</v>
      </c>
      <c r="C184" s="33">
        <v>12</v>
      </c>
      <c r="D184" s="5">
        <f t="shared" si="4"/>
        <v>3</v>
      </c>
      <c r="E184" s="13"/>
      <c r="F184" s="8" t="s">
        <v>411</v>
      </c>
      <c r="G184" s="10" t="s">
        <v>412</v>
      </c>
      <c r="H184" s="10" t="s">
        <v>413</v>
      </c>
      <c r="I184" s="16" t="s">
        <v>586</v>
      </c>
      <c r="J184" s="6" t="s">
        <v>643</v>
      </c>
      <c r="K184" s="2">
        <v>5</v>
      </c>
    </row>
    <row r="185" spans="1:12" s="1" customFormat="1" ht="15" customHeight="1">
      <c r="A185" s="7">
        <f t="shared" si="5"/>
        <v>183</v>
      </c>
      <c r="B185" s="33">
        <v>2</v>
      </c>
      <c r="C185" s="33">
        <v>12</v>
      </c>
      <c r="D185" s="5">
        <f t="shared" si="4"/>
        <v>4</v>
      </c>
      <c r="E185" s="5"/>
      <c r="F185" s="8" t="s">
        <v>414</v>
      </c>
      <c r="G185" s="10" t="s">
        <v>415</v>
      </c>
      <c r="H185" s="10" t="s">
        <v>416</v>
      </c>
      <c r="I185" s="16" t="s">
        <v>780</v>
      </c>
      <c r="J185" s="6" t="s">
        <v>643</v>
      </c>
      <c r="K185" s="2">
        <v>1</v>
      </c>
    </row>
    <row r="186" spans="1:12" s="1" customFormat="1" ht="15" customHeight="1">
      <c r="A186" s="7">
        <f t="shared" si="5"/>
        <v>184</v>
      </c>
      <c r="B186" s="33">
        <v>2</v>
      </c>
      <c r="C186" s="33">
        <v>12</v>
      </c>
      <c r="D186" s="5">
        <f t="shared" si="4"/>
        <v>5</v>
      </c>
      <c r="E186" s="5"/>
      <c r="F186" s="8" t="s">
        <v>786</v>
      </c>
      <c r="G186" s="10" t="s">
        <v>418</v>
      </c>
      <c r="H186" s="10" t="s">
        <v>419</v>
      </c>
      <c r="I186" s="16" t="s">
        <v>787</v>
      </c>
      <c r="J186" s="6" t="s">
        <v>643</v>
      </c>
      <c r="K186" s="2">
        <v>0</v>
      </c>
    </row>
    <row r="187" spans="1:12" s="1" customFormat="1" ht="15" customHeight="1">
      <c r="A187" s="7">
        <f t="shared" si="5"/>
        <v>185</v>
      </c>
      <c r="B187" s="33">
        <v>2</v>
      </c>
      <c r="C187" s="33">
        <v>12</v>
      </c>
      <c r="D187" s="5">
        <f t="shared" si="4"/>
        <v>6</v>
      </c>
      <c r="E187" s="5"/>
      <c r="F187" s="8" t="s">
        <v>420</v>
      </c>
      <c r="G187" s="37" t="s">
        <v>418</v>
      </c>
      <c r="H187" s="37"/>
      <c r="I187" s="42" t="s">
        <v>788</v>
      </c>
      <c r="J187" s="77" t="s">
        <v>642</v>
      </c>
      <c r="K187" s="2">
        <v>0</v>
      </c>
    </row>
    <row r="188" spans="1:12" s="58" customFormat="1" ht="15" customHeight="1">
      <c r="A188" s="7">
        <f t="shared" si="5"/>
        <v>186</v>
      </c>
      <c r="B188" s="33">
        <v>2</v>
      </c>
      <c r="C188" s="33">
        <v>12</v>
      </c>
      <c r="D188" s="14">
        <f t="shared" si="4"/>
        <v>7</v>
      </c>
      <c r="E188" s="5" t="s">
        <v>863</v>
      </c>
      <c r="F188" s="15" t="s">
        <v>422</v>
      </c>
      <c r="G188" s="16" t="s">
        <v>423</v>
      </c>
      <c r="H188" s="16" t="s">
        <v>424</v>
      </c>
      <c r="I188" s="16" t="s">
        <v>782</v>
      </c>
      <c r="J188" s="6" t="s">
        <v>643</v>
      </c>
      <c r="K188" s="2">
        <v>4</v>
      </c>
    </row>
    <row r="189" spans="1:12" s="1" customFormat="1" ht="15" customHeight="1">
      <c r="A189" s="7">
        <f t="shared" si="5"/>
        <v>187</v>
      </c>
      <c r="B189" s="33">
        <v>2</v>
      </c>
      <c r="C189" s="33">
        <v>12</v>
      </c>
      <c r="D189" s="5">
        <f t="shared" si="4"/>
        <v>8</v>
      </c>
      <c r="E189" s="28" t="s">
        <v>862</v>
      </c>
      <c r="F189" s="8" t="s">
        <v>425</v>
      </c>
      <c r="G189" s="10" t="s">
        <v>426</v>
      </c>
      <c r="H189" s="10" t="s">
        <v>446</v>
      </c>
      <c r="I189" s="16" t="s">
        <v>783</v>
      </c>
      <c r="J189" s="6" t="s">
        <v>643</v>
      </c>
      <c r="K189" s="2">
        <v>4</v>
      </c>
    </row>
    <row r="190" spans="1:12" s="1" customFormat="1" ht="15" customHeight="1">
      <c r="A190" s="7">
        <f t="shared" si="5"/>
        <v>188</v>
      </c>
      <c r="B190" s="33">
        <v>2</v>
      </c>
      <c r="C190" s="33">
        <v>12</v>
      </c>
      <c r="D190" s="14">
        <f>IF(AND(B189=B190,C189=C190),D189+1,1)</f>
        <v>9</v>
      </c>
      <c r="E190" s="14"/>
      <c r="F190" s="15" t="s">
        <v>478</v>
      </c>
      <c r="G190" s="16" t="s">
        <v>479</v>
      </c>
      <c r="H190" s="16" t="s">
        <v>480</v>
      </c>
      <c r="I190" s="16" t="s">
        <v>785</v>
      </c>
      <c r="J190" s="6" t="s">
        <v>643</v>
      </c>
      <c r="K190" s="2">
        <v>1</v>
      </c>
    </row>
    <row r="191" spans="1:12" s="1" customFormat="1" ht="15" customHeight="1">
      <c r="A191" s="7">
        <f t="shared" si="5"/>
        <v>189</v>
      </c>
      <c r="B191" s="33">
        <v>2</v>
      </c>
      <c r="C191" s="33">
        <v>12</v>
      </c>
      <c r="D191" s="14">
        <f>IF(AND(B190=B191,C190=C191),D190+1,1)</f>
        <v>10</v>
      </c>
      <c r="E191" s="14"/>
      <c r="F191" s="59" t="s">
        <v>860</v>
      </c>
      <c r="G191" s="42"/>
      <c r="H191" s="42"/>
      <c r="I191" s="42"/>
      <c r="J191" s="6" t="s">
        <v>643</v>
      </c>
      <c r="K191" s="2">
        <v>1</v>
      </c>
    </row>
    <row r="193" spans="1:11" s="3" customFormat="1">
      <c r="A193" t="s">
        <v>431</v>
      </c>
      <c r="B193"/>
      <c r="C193"/>
      <c r="D193" s="28" t="s">
        <v>21</v>
      </c>
      <c r="E193" t="s">
        <v>861</v>
      </c>
      <c r="H193" s="49"/>
      <c r="I193"/>
      <c r="J193" s="28"/>
      <c r="K193" s="28"/>
    </row>
    <row r="194" spans="1:11" s="3" customFormat="1">
      <c r="A194"/>
      <c r="B194"/>
      <c r="C194"/>
      <c r="D194" s="28" t="s">
        <v>862</v>
      </c>
      <c r="E194" t="s">
        <v>450</v>
      </c>
      <c r="H194" s="49"/>
      <c r="I194"/>
      <c r="J194" s="28"/>
      <c r="K194" s="28"/>
    </row>
    <row r="195" spans="1:11" s="3" customFormat="1">
      <c r="A195"/>
      <c r="B195"/>
      <c r="C195"/>
      <c r="D195" s="35"/>
      <c r="E195" s="31" t="s">
        <v>432</v>
      </c>
      <c r="H195" s="24"/>
      <c r="I195" t="s">
        <v>572</v>
      </c>
      <c r="J195" s="28"/>
      <c r="K195" s="28"/>
    </row>
    <row r="196" spans="1:11" s="3" customFormat="1">
      <c r="A196"/>
      <c r="B196"/>
      <c r="C196"/>
      <c r="D196" s="43"/>
      <c r="E196" t="s">
        <v>441</v>
      </c>
      <c r="I196"/>
      <c r="J196" s="28"/>
      <c r="K196"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5226-B604-48BE-B336-3746D4C07E04}">
  <sheetPr>
    <pageSetUpPr fitToPage="1"/>
  </sheetPr>
  <dimension ref="A1:L196"/>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E188" sqref="E188"/>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 min="10" max="10" width="5.33203125" style="28" customWidth="1"/>
    <col min="11" max="11" width="5.21875" style="28" bestFit="1" customWidth="1"/>
  </cols>
  <sheetData>
    <row r="1" spans="1:11" ht="40.5" customHeight="1">
      <c r="A1" s="155" t="s">
        <v>859</v>
      </c>
      <c r="B1" s="156"/>
      <c r="C1" s="156"/>
      <c r="D1" s="156"/>
      <c r="E1" s="156"/>
      <c r="F1" s="156"/>
      <c r="G1" s="156"/>
      <c r="H1" s="156"/>
      <c r="I1" s="156"/>
      <c r="J1" s="75" t="s">
        <v>641</v>
      </c>
      <c r="K1" s="75" t="s">
        <v>644</v>
      </c>
    </row>
    <row r="2" spans="1:11" s="2" customFormat="1" ht="21" customHeight="1">
      <c r="A2" s="5" t="s">
        <v>0</v>
      </c>
      <c r="B2" s="5" t="s">
        <v>1</v>
      </c>
      <c r="C2" s="5" t="s">
        <v>2</v>
      </c>
      <c r="D2" s="5" t="s">
        <v>3</v>
      </c>
      <c r="E2" s="5" t="s">
        <v>4</v>
      </c>
      <c r="F2" s="5" t="s">
        <v>5</v>
      </c>
      <c r="G2" s="5" t="s">
        <v>6</v>
      </c>
      <c r="H2" s="5" t="s">
        <v>7</v>
      </c>
      <c r="I2" s="5" t="s">
        <v>8</v>
      </c>
      <c r="J2" s="6"/>
    </row>
    <row r="3" spans="1:11" s="1" customFormat="1" ht="15" customHeight="1">
      <c r="A3" s="7">
        <f>ROW()-2</f>
        <v>1</v>
      </c>
      <c r="B3" s="46">
        <v>1</v>
      </c>
      <c r="C3" s="46">
        <v>1</v>
      </c>
      <c r="D3" s="5">
        <f>IF(AND(B2=B3,C2=C3),D2+1,1)</f>
        <v>1</v>
      </c>
      <c r="E3" s="5"/>
      <c r="F3" s="8" t="s">
        <v>9</v>
      </c>
      <c r="G3" s="9" t="s">
        <v>10</v>
      </c>
      <c r="H3" s="10" t="s">
        <v>11</v>
      </c>
      <c r="I3" s="10" t="s">
        <v>793</v>
      </c>
      <c r="J3" s="77" t="s">
        <v>642</v>
      </c>
      <c r="K3" s="2">
        <v>2</v>
      </c>
    </row>
    <row r="4" spans="1:11" s="1" customFormat="1" ht="15" customHeight="1">
      <c r="A4" s="7">
        <f t="shared" ref="A4:A69" si="0">ROW()-2</f>
        <v>2</v>
      </c>
      <c r="B4" s="46">
        <v>1</v>
      </c>
      <c r="C4" s="46">
        <v>1</v>
      </c>
      <c r="D4" s="5">
        <f>IF(AND(B3=B4,C3=C4),D3+1,1)</f>
        <v>2</v>
      </c>
      <c r="E4" s="5"/>
      <c r="F4" s="8" t="s">
        <v>12</v>
      </c>
      <c r="G4" s="12" t="s">
        <v>10</v>
      </c>
      <c r="H4" s="10" t="s">
        <v>13</v>
      </c>
      <c r="I4" s="10" t="s">
        <v>794</v>
      </c>
      <c r="J4" s="6" t="s">
        <v>643</v>
      </c>
      <c r="K4" s="2">
        <v>0</v>
      </c>
    </row>
    <row r="5" spans="1:11" s="1" customFormat="1" ht="15" customHeight="1">
      <c r="A5" s="7">
        <f t="shared" si="0"/>
        <v>3</v>
      </c>
      <c r="B5" s="46">
        <v>1</v>
      </c>
      <c r="C5" s="46">
        <v>1</v>
      </c>
      <c r="D5" s="5">
        <f t="shared" ref="D5:D68" si="1">IF(AND(B4=B5,C4=C5),D4+1,1)</f>
        <v>3</v>
      </c>
      <c r="E5" s="13"/>
      <c r="F5" s="8" t="s">
        <v>14</v>
      </c>
      <c r="G5" s="12" t="s">
        <v>10</v>
      </c>
      <c r="H5" s="10" t="s">
        <v>15</v>
      </c>
      <c r="I5" s="10" t="s">
        <v>792</v>
      </c>
      <c r="J5" s="6" t="s">
        <v>643</v>
      </c>
      <c r="K5" s="2">
        <v>3</v>
      </c>
    </row>
    <row r="6" spans="1:11" s="1" customFormat="1" ht="15" customHeight="1">
      <c r="A6" s="7">
        <f t="shared" si="0"/>
        <v>4</v>
      </c>
      <c r="B6" s="46">
        <v>1</v>
      </c>
      <c r="C6" s="46">
        <v>1</v>
      </c>
      <c r="D6" s="5">
        <f t="shared" si="1"/>
        <v>4</v>
      </c>
      <c r="E6" s="5"/>
      <c r="F6" s="8" t="s">
        <v>16</v>
      </c>
      <c r="G6" s="12" t="s">
        <v>10</v>
      </c>
      <c r="H6" s="10" t="s">
        <v>17</v>
      </c>
      <c r="I6" s="10" t="s">
        <v>529</v>
      </c>
      <c r="J6" s="6" t="s">
        <v>643</v>
      </c>
      <c r="K6" s="2"/>
    </row>
    <row r="7" spans="1:11" s="1" customFormat="1" ht="15" customHeight="1">
      <c r="A7" s="7">
        <f t="shared" si="0"/>
        <v>5</v>
      </c>
      <c r="B7" s="46">
        <v>1</v>
      </c>
      <c r="C7" s="46">
        <v>1</v>
      </c>
      <c r="D7" s="5">
        <f t="shared" si="1"/>
        <v>5</v>
      </c>
      <c r="E7" s="13"/>
      <c r="F7" s="15" t="s">
        <v>18</v>
      </c>
      <c r="G7" s="26" t="s">
        <v>23</v>
      </c>
      <c r="H7" s="16" t="s">
        <v>19</v>
      </c>
      <c r="I7" s="10" t="s">
        <v>795</v>
      </c>
      <c r="J7" s="6" t="s">
        <v>643</v>
      </c>
      <c r="K7" s="2">
        <v>0</v>
      </c>
    </row>
    <row r="8" spans="1:11" s="1" customFormat="1" ht="15" customHeight="1">
      <c r="A8" s="7">
        <f t="shared" si="0"/>
        <v>6</v>
      </c>
      <c r="B8" s="46">
        <v>1</v>
      </c>
      <c r="C8" s="46">
        <v>1</v>
      </c>
      <c r="D8" s="5">
        <f t="shared" si="1"/>
        <v>6</v>
      </c>
      <c r="E8" s="5"/>
      <c r="F8" s="15" t="s">
        <v>578</v>
      </c>
      <c r="G8" s="26" t="s">
        <v>23</v>
      </c>
      <c r="H8" s="42"/>
      <c r="I8" s="10" t="s">
        <v>790</v>
      </c>
      <c r="J8" s="6" t="s">
        <v>643</v>
      </c>
      <c r="K8" s="2">
        <v>0</v>
      </c>
    </row>
    <row r="9" spans="1:11" s="1" customFormat="1" ht="15" customHeight="1">
      <c r="A9" s="7">
        <f t="shared" si="0"/>
        <v>7</v>
      </c>
      <c r="B9" s="46">
        <v>1</v>
      </c>
      <c r="C9" s="46">
        <v>1</v>
      </c>
      <c r="D9" s="5">
        <f t="shared" si="1"/>
        <v>7</v>
      </c>
      <c r="E9" s="14"/>
      <c r="F9" s="15" t="s">
        <v>22</v>
      </c>
      <c r="G9" s="12" t="s">
        <v>23</v>
      </c>
      <c r="H9" s="16" t="s">
        <v>24</v>
      </c>
      <c r="I9" s="10" t="s">
        <v>645</v>
      </c>
      <c r="J9" s="6" t="s">
        <v>643</v>
      </c>
      <c r="K9" s="2">
        <v>0</v>
      </c>
    </row>
    <row r="10" spans="1:11" s="1" customFormat="1" ht="15" customHeight="1">
      <c r="A10" s="7">
        <f t="shared" si="0"/>
        <v>8</v>
      </c>
      <c r="B10" s="46">
        <v>1</v>
      </c>
      <c r="C10" s="46">
        <v>1</v>
      </c>
      <c r="D10" s="5">
        <f t="shared" si="1"/>
        <v>8</v>
      </c>
      <c r="E10" s="5" t="s">
        <v>863</v>
      </c>
      <c r="F10" s="15" t="s">
        <v>25</v>
      </c>
      <c r="G10" s="12" t="s">
        <v>23</v>
      </c>
      <c r="H10" s="16" t="s">
        <v>26</v>
      </c>
      <c r="I10" s="10" t="s">
        <v>791</v>
      </c>
      <c r="J10" s="6" t="s">
        <v>643</v>
      </c>
      <c r="K10" s="2">
        <v>2</v>
      </c>
    </row>
    <row r="11" spans="1:11" s="1" customFormat="1" ht="15" customHeight="1">
      <c r="A11" s="7">
        <f t="shared" si="0"/>
        <v>9</v>
      </c>
      <c r="B11" s="46">
        <v>1</v>
      </c>
      <c r="C11" s="46">
        <v>1</v>
      </c>
      <c r="D11" s="5">
        <f t="shared" si="1"/>
        <v>9</v>
      </c>
      <c r="E11" s="28" t="s">
        <v>862</v>
      </c>
      <c r="F11" s="15" t="s">
        <v>28</v>
      </c>
      <c r="G11" s="12" t="s">
        <v>23</v>
      </c>
      <c r="H11" s="16" t="s">
        <v>29</v>
      </c>
      <c r="I11" s="10" t="s">
        <v>789</v>
      </c>
      <c r="J11" s="77" t="s">
        <v>642</v>
      </c>
      <c r="K11" s="2">
        <v>2</v>
      </c>
    </row>
    <row r="12" spans="1:11" s="1" customFormat="1" ht="15" customHeight="1">
      <c r="A12" s="7">
        <f t="shared" si="0"/>
        <v>10</v>
      </c>
      <c r="B12" s="46">
        <v>1</v>
      </c>
      <c r="C12" s="46">
        <v>1</v>
      </c>
      <c r="D12" s="5">
        <f t="shared" si="1"/>
        <v>10</v>
      </c>
      <c r="E12" s="5"/>
      <c r="F12" s="15" t="s">
        <v>632</v>
      </c>
      <c r="G12" s="26" t="s">
        <v>10</v>
      </c>
      <c r="H12" s="26" t="s">
        <v>633</v>
      </c>
      <c r="I12" s="16" t="s">
        <v>634</v>
      </c>
      <c r="J12" s="78"/>
      <c r="K12" s="2"/>
    </row>
    <row r="13" spans="1:11" s="1" customFormat="1" ht="15" customHeight="1">
      <c r="A13" s="7">
        <f t="shared" si="0"/>
        <v>11</v>
      </c>
      <c r="B13" s="44">
        <v>1</v>
      </c>
      <c r="C13" s="44">
        <v>2</v>
      </c>
      <c r="D13" s="5">
        <f>IF(AND(B11=B13,C11=C13),D11+1,1)</f>
        <v>1</v>
      </c>
      <c r="E13" s="5"/>
      <c r="F13" s="8" t="s">
        <v>30</v>
      </c>
      <c r="G13" s="12" t="s">
        <v>31</v>
      </c>
      <c r="H13" s="10" t="s">
        <v>32</v>
      </c>
      <c r="I13" s="10"/>
      <c r="J13" s="6" t="s">
        <v>643</v>
      </c>
      <c r="K13" s="2"/>
    </row>
    <row r="14" spans="1:11" s="1" customFormat="1" ht="15" customHeight="1">
      <c r="A14" s="7">
        <f t="shared" si="0"/>
        <v>12</v>
      </c>
      <c r="B14" s="44">
        <v>1</v>
      </c>
      <c r="C14" s="44">
        <v>2</v>
      </c>
      <c r="D14" s="5">
        <f t="shared" si="1"/>
        <v>2</v>
      </c>
      <c r="E14" s="13"/>
      <c r="F14" s="8" t="s">
        <v>33</v>
      </c>
      <c r="G14" s="12" t="s">
        <v>34</v>
      </c>
      <c r="H14" s="10" t="s">
        <v>35</v>
      </c>
      <c r="I14" s="10" t="s">
        <v>649</v>
      </c>
      <c r="J14" s="6" t="s">
        <v>643</v>
      </c>
      <c r="K14" s="2">
        <v>0</v>
      </c>
    </row>
    <row r="15" spans="1:11" s="1" customFormat="1" ht="15" customHeight="1">
      <c r="A15" s="7">
        <f t="shared" si="0"/>
        <v>13</v>
      </c>
      <c r="B15" s="44">
        <v>1</v>
      </c>
      <c r="C15" s="44">
        <v>2</v>
      </c>
      <c r="D15" s="5">
        <f t="shared" si="1"/>
        <v>3</v>
      </c>
      <c r="E15" s="14"/>
      <c r="F15" s="8" t="s">
        <v>37</v>
      </c>
      <c r="G15" s="12" t="s">
        <v>31</v>
      </c>
      <c r="H15" s="10" t="s">
        <v>38</v>
      </c>
      <c r="I15" s="10" t="s">
        <v>646</v>
      </c>
      <c r="J15" s="77" t="s">
        <v>642</v>
      </c>
      <c r="K15" s="2">
        <v>6</v>
      </c>
    </row>
    <row r="16" spans="1:11" s="1" customFormat="1" ht="15" customHeight="1">
      <c r="A16" s="7">
        <f t="shared" si="0"/>
        <v>14</v>
      </c>
      <c r="B16" s="44">
        <v>1</v>
      </c>
      <c r="C16" s="44">
        <v>2</v>
      </c>
      <c r="D16" s="5">
        <f t="shared" si="1"/>
        <v>4</v>
      </c>
      <c r="E16" s="28" t="s">
        <v>862</v>
      </c>
      <c r="F16" s="8" t="s">
        <v>39</v>
      </c>
      <c r="G16" s="12" t="s">
        <v>34</v>
      </c>
      <c r="H16" s="10" t="s">
        <v>40</v>
      </c>
      <c r="I16" s="10" t="s">
        <v>796</v>
      </c>
      <c r="J16" s="6" t="s">
        <v>643</v>
      </c>
      <c r="K16" s="2">
        <v>1</v>
      </c>
    </row>
    <row r="17" spans="1:11" s="1" customFormat="1" ht="15" customHeight="1">
      <c r="A17" s="7">
        <f t="shared" si="0"/>
        <v>15</v>
      </c>
      <c r="B17" s="44">
        <v>1</v>
      </c>
      <c r="C17" s="44">
        <v>2</v>
      </c>
      <c r="D17" s="5">
        <f t="shared" si="1"/>
        <v>5</v>
      </c>
      <c r="E17" s="5"/>
      <c r="F17" s="8" t="s">
        <v>41</v>
      </c>
      <c r="G17" s="12" t="s">
        <v>524</v>
      </c>
      <c r="H17" s="10" t="s">
        <v>42</v>
      </c>
      <c r="I17" s="10" t="s">
        <v>535</v>
      </c>
      <c r="J17" s="78"/>
      <c r="K17" s="2"/>
    </row>
    <row r="18" spans="1:11" s="1" customFormat="1" ht="15" customHeight="1">
      <c r="A18" s="7">
        <f t="shared" si="0"/>
        <v>16</v>
      </c>
      <c r="B18" s="44">
        <v>1</v>
      </c>
      <c r="C18" s="44">
        <v>2</v>
      </c>
      <c r="D18" s="5">
        <f t="shared" si="1"/>
        <v>6</v>
      </c>
      <c r="E18" s="5"/>
      <c r="F18" s="8" t="s">
        <v>43</v>
      </c>
      <c r="G18" s="12" t="s">
        <v>34</v>
      </c>
      <c r="H18" s="10" t="s">
        <v>44</v>
      </c>
      <c r="I18" s="10"/>
      <c r="J18" s="78"/>
      <c r="K18" s="2"/>
    </row>
    <row r="19" spans="1:11" s="1" customFormat="1" ht="15" customHeight="1">
      <c r="A19" s="7">
        <f t="shared" si="0"/>
        <v>17</v>
      </c>
      <c r="B19" s="44">
        <v>1</v>
      </c>
      <c r="C19" s="44">
        <v>2</v>
      </c>
      <c r="D19" s="5">
        <f t="shared" si="1"/>
        <v>7</v>
      </c>
      <c r="E19" s="5"/>
      <c r="F19" s="8" t="s">
        <v>45</v>
      </c>
      <c r="G19" s="12" t="s">
        <v>31</v>
      </c>
      <c r="H19" s="10" t="s">
        <v>46</v>
      </c>
      <c r="I19" s="10" t="s">
        <v>648</v>
      </c>
      <c r="J19" s="6" t="s">
        <v>643</v>
      </c>
      <c r="K19" s="2">
        <v>0</v>
      </c>
    </row>
    <row r="20" spans="1:11" s="1" customFormat="1" ht="15" customHeight="1">
      <c r="A20" s="7">
        <f t="shared" si="0"/>
        <v>18</v>
      </c>
      <c r="B20" s="44">
        <v>1</v>
      </c>
      <c r="C20" s="44">
        <v>2</v>
      </c>
      <c r="D20" s="5">
        <f t="shared" si="1"/>
        <v>8</v>
      </c>
      <c r="E20" s="5" t="s">
        <v>863</v>
      </c>
      <c r="F20" s="15" t="s">
        <v>468</v>
      </c>
      <c r="G20" s="26" t="s">
        <v>470</v>
      </c>
      <c r="H20" s="26" t="s">
        <v>471</v>
      </c>
      <c r="I20" s="16" t="s">
        <v>650</v>
      </c>
      <c r="J20" s="6" t="s">
        <v>643</v>
      </c>
      <c r="K20" s="2">
        <v>3</v>
      </c>
    </row>
    <row r="21" spans="1:11" s="1" customFormat="1" ht="15" customHeight="1">
      <c r="A21" s="7">
        <f t="shared" si="0"/>
        <v>19</v>
      </c>
      <c r="B21" s="44">
        <v>1</v>
      </c>
      <c r="C21" s="44">
        <v>2</v>
      </c>
      <c r="D21" s="5">
        <f t="shared" si="1"/>
        <v>9</v>
      </c>
      <c r="E21" s="14"/>
      <c r="F21" s="15" t="s">
        <v>635</v>
      </c>
      <c r="G21" s="26" t="s">
        <v>637</v>
      </c>
      <c r="H21" s="26" t="s">
        <v>636</v>
      </c>
      <c r="I21" s="16" t="s">
        <v>647</v>
      </c>
      <c r="J21" s="6" t="s">
        <v>643</v>
      </c>
      <c r="K21" s="2">
        <v>1</v>
      </c>
    </row>
    <row r="22" spans="1:11" s="1" customFormat="1" ht="15" customHeight="1">
      <c r="A22" s="7">
        <f t="shared" si="0"/>
        <v>20</v>
      </c>
      <c r="B22" s="45">
        <v>1</v>
      </c>
      <c r="C22" s="45">
        <v>3</v>
      </c>
      <c r="D22" s="5">
        <f>IF(AND(B19=B22,C19=C22),D19+1,1)</f>
        <v>1</v>
      </c>
      <c r="E22" s="28" t="s">
        <v>862</v>
      </c>
      <c r="F22" s="8" t="s">
        <v>47</v>
      </c>
      <c r="G22" s="12" t="s">
        <v>31</v>
      </c>
      <c r="H22" s="10" t="s">
        <v>48</v>
      </c>
      <c r="I22" s="10" t="s">
        <v>801</v>
      </c>
      <c r="J22" s="6" t="s">
        <v>643</v>
      </c>
      <c r="K22" s="2">
        <v>7</v>
      </c>
    </row>
    <row r="23" spans="1:11" s="1" customFormat="1" ht="15" customHeight="1">
      <c r="A23" s="7">
        <f t="shared" si="0"/>
        <v>21</v>
      </c>
      <c r="B23" s="45">
        <v>1</v>
      </c>
      <c r="C23" s="45">
        <v>3</v>
      </c>
      <c r="D23" s="5">
        <f t="shared" si="1"/>
        <v>2</v>
      </c>
      <c r="E23" s="13"/>
      <c r="F23" s="8" t="s">
        <v>49</v>
      </c>
      <c r="G23" s="12" t="s">
        <v>50</v>
      </c>
      <c r="H23" s="10" t="s">
        <v>51</v>
      </c>
      <c r="I23" s="16" t="s">
        <v>537</v>
      </c>
      <c r="J23" s="77" t="s">
        <v>642</v>
      </c>
      <c r="K23" s="2">
        <v>1</v>
      </c>
    </row>
    <row r="24" spans="1:11" s="1" customFormat="1" ht="15" customHeight="1">
      <c r="A24" s="7">
        <f t="shared" si="0"/>
        <v>22</v>
      </c>
      <c r="B24" s="45">
        <v>1</v>
      </c>
      <c r="C24" s="45">
        <v>3</v>
      </c>
      <c r="D24" s="5">
        <f t="shared" si="1"/>
        <v>3</v>
      </c>
      <c r="E24" s="13"/>
      <c r="F24" s="8" t="s">
        <v>52</v>
      </c>
      <c r="G24" s="12" t="s">
        <v>50</v>
      </c>
      <c r="H24" s="10" t="s">
        <v>53</v>
      </c>
      <c r="I24" s="10" t="s">
        <v>797</v>
      </c>
      <c r="J24" s="6" t="s">
        <v>643</v>
      </c>
      <c r="K24" s="2">
        <v>1</v>
      </c>
    </row>
    <row r="25" spans="1:11" s="1" customFormat="1" ht="15" customHeight="1">
      <c r="A25" s="7">
        <f t="shared" si="0"/>
        <v>23</v>
      </c>
      <c r="B25" s="45">
        <v>1</v>
      </c>
      <c r="C25" s="45">
        <v>3</v>
      </c>
      <c r="D25" s="5">
        <f t="shared" si="1"/>
        <v>4</v>
      </c>
      <c r="E25" s="5" t="s">
        <v>863</v>
      </c>
      <c r="F25" s="8" t="s">
        <v>54</v>
      </c>
      <c r="G25" s="12" t="s">
        <v>50</v>
      </c>
      <c r="H25" s="10" t="s">
        <v>55</v>
      </c>
      <c r="I25" s="16" t="s">
        <v>651</v>
      </c>
      <c r="J25" s="6" t="s">
        <v>643</v>
      </c>
      <c r="K25" s="2">
        <v>1</v>
      </c>
    </row>
    <row r="26" spans="1:11" s="1" customFormat="1" ht="15" customHeight="1">
      <c r="A26" s="7">
        <f t="shared" si="0"/>
        <v>24</v>
      </c>
      <c r="B26" s="45">
        <v>1</v>
      </c>
      <c r="C26" s="45">
        <v>3</v>
      </c>
      <c r="D26" s="5">
        <f t="shared" si="1"/>
        <v>5</v>
      </c>
      <c r="E26" s="5"/>
      <c r="F26" s="8" t="s">
        <v>56</v>
      </c>
      <c r="G26" s="12" t="s">
        <v>50</v>
      </c>
      <c r="H26" s="10" t="s">
        <v>57</v>
      </c>
      <c r="I26" s="16" t="s">
        <v>802</v>
      </c>
      <c r="J26" s="6" t="s">
        <v>643</v>
      </c>
      <c r="K26" s="2">
        <v>1</v>
      </c>
    </row>
    <row r="27" spans="1:11" s="1" customFormat="1" ht="15" customHeight="1">
      <c r="A27" s="7">
        <f t="shared" si="0"/>
        <v>25</v>
      </c>
      <c r="B27" s="45">
        <v>1</v>
      </c>
      <c r="C27" s="45">
        <v>3</v>
      </c>
      <c r="D27" s="5">
        <f t="shared" si="1"/>
        <v>6</v>
      </c>
      <c r="E27" s="14"/>
      <c r="F27" s="8" t="s">
        <v>59</v>
      </c>
      <c r="G27" s="26" t="s">
        <v>577</v>
      </c>
      <c r="H27" s="10" t="s">
        <v>60</v>
      </c>
      <c r="I27" s="10" t="s">
        <v>798</v>
      </c>
      <c r="J27" s="6" t="s">
        <v>643</v>
      </c>
      <c r="K27" s="2">
        <v>4</v>
      </c>
    </row>
    <row r="28" spans="1:11" s="1" customFormat="1" ht="15" customHeight="1">
      <c r="A28" s="7">
        <f t="shared" si="0"/>
        <v>26</v>
      </c>
      <c r="B28" s="45">
        <v>1</v>
      </c>
      <c r="C28" s="45">
        <v>3</v>
      </c>
      <c r="D28" s="5">
        <f t="shared" si="1"/>
        <v>7</v>
      </c>
      <c r="E28" s="5"/>
      <c r="F28" s="8" t="s">
        <v>61</v>
      </c>
      <c r="G28" s="12" t="s">
        <v>50</v>
      </c>
      <c r="H28" s="10" t="s">
        <v>62</v>
      </c>
      <c r="I28" s="16" t="s">
        <v>799</v>
      </c>
      <c r="J28" s="6" t="s">
        <v>643</v>
      </c>
      <c r="K28" s="2"/>
    </row>
    <row r="29" spans="1:11" s="1" customFormat="1" ht="15" customHeight="1">
      <c r="A29" s="7">
        <f t="shared" si="0"/>
        <v>27</v>
      </c>
      <c r="B29" s="45">
        <v>1</v>
      </c>
      <c r="C29" s="45">
        <v>3</v>
      </c>
      <c r="D29" s="5">
        <f t="shared" si="1"/>
        <v>8</v>
      </c>
      <c r="E29" s="5"/>
      <c r="F29" s="8" t="s">
        <v>455</v>
      </c>
      <c r="G29" s="12" t="s">
        <v>50</v>
      </c>
      <c r="H29" s="10" t="s">
        <v>64</v>
      </c>
      <c r="I29" s="10" t="s">
        <v>800</v>
      </c>
      <c r="J29" s="6" t="s">
        <v>643</v>
      </c>
      <c r="K29" s="2">
        <v>2</v>
      </c>
    </row>
    <row r="30" spans="1:11" s="1" customFormat="1" ht="15" customHeight="1">
      <c r="A30" s="7">
        <f t="shared" si="0"/>
        <v>28</v>
      </c>
      <c r="B30" s="33">
        <v>1</v>
      </c>
      <c r="C30" s="33">
        <v>4</v>
      </c>
      <c r="D30" s="5">
        <f t="shared" si="1"/>
        <v>1</v>
      </c>
      <c r="E30" s="5" t="s">
        <v>863</v>
      </c>
      <c r="F30" s="8" t="s">
        <v>456</v>
      </c>
      <c r="G30" s="10" t="s">
        <v>65</v>
      </c>
      <c r="H30" s="10" t="s">
        <v>66</v>
      </c>
      <c r="I30" s="10" t="s">
        <v>652</v>
      </c>
      <c r="J30" s="6" t="s">
        <v>643</v>
      </c>
      <c r="K30" s="2">
        <v>2</v>
      </c>
    </row>
    <row r="31" spans="1:11" s="1" customFormat="1" ht="15" customHeight="1">
      <c r="A31" s="7">
        <f t="shared" si="0"/>
        <v>29</v>
      </c>
      <c r="B31" s="33">
        <v>1</v>
      </c>
      <c r="C31" s="33">
        <v>4</v>
      </c>
      <c r="D31" s="5">
        <f t="shared" si="1"/>
        <v>2</v>
      </c>
      <c r="E31" s="28" t="s">
        <v>862</v>
      </c>
      <c r="F31" s="8" t="s">
        <v>68</v>
      </c>
      <c r="G31" s="10" t="s">
        <v>71</v>
      </c>
      <c r="H31" s="10" t="s">
        <v>69</v>
      </c>
      <c r="I31" s="10" t="s">
        <v>653</v>
      </c>
      <c r="J31" s="6" t="s">
        <v>643</v>
      </c>
      <c r="K31" s="2">
        <v>4</v>
      </c>
    </row>
    <row r="32" spans="1:11" s="1" customFormat="1" ht="15" customHeight="1">
      <c r="A32" s="7">
        <f t="shared" si="0"/>
        <v>30</v>
      </c>
      <c r="B32" s="33">
        <v>1</v>
      </c>
      <c r="C32" s="33">
        <v>4</v>
      </c>
      <c r="D32" s="5">
        <f t="shared" si="1"/>
        <v>3</v>
      </c>
      <c r="E32" s="5"/>
      <c r="F32" s="8" t="s">
        <v>70</v>
      </c>
      <c r="G32" s="10" t="s">
        <v>71</v>
      </c>
      <c r="H32" s="10" t="s">
        <v>72</v>
      </c>
      <c r="I32" s="10" t="s">
        <v>541</v>
      </c>
      <c r="J32" s="6" t="s">
        <v>643</v>
      </c>
      <c r="K32" s="2">
        <v>3</v>
      </c>
    </row>
    <row r="33" spans="1:11" s="1" customFormat="1" ht="15" customHeight="1">
      <c r="A33" s="7">
        <f t="shared" si="0"/>
        <v>31</v>
      </c>
      <c r="B33" s="33">
        <v>1</v>
      </c>
      <c r="C33" s="33">
        <v>4</v>
      </c>
      <c r="D33" s="5">
        <f t="shared" si="1"/>
        <v>4</v>
      </c>
      <c r="E33" s="13"/>
      <c r="F33" s="8" t="s">
        <v>73</v>
      </c>
      <c r="G33" s="10" t="s">
        <v>71</v>
      </c>
      <c r="H33" s="10" t="s">
        <v>74</v>
      </c>
      <c r="I33" s="10" t="s">
        <v>527</v>
      </c>
      <c r="J33" s="6" t="s">
        <v>643</v>
      </c>
      <c r="K33" s="2">
        <v>1</v>
      </c>
    </row>
    <row r="34" spans="1:11" s="1" customFormat="1" ht="15" customHeight="1">
      <c r="A34" s="7">
        <f t="shared" si="0"/>
        <v>32</v>
      </c>
      <c r="B34" s="33">
        <v>1</v>
      </c>
      <c r="C34" s="33">
        <v>4</v>
      </c>
      <c r="D34" s="5">
        <f t="shared" si="1"/>
        <v>5</v>
      </c>
      <c r="E34" s="13"/>
      <c r="F34" s="8" t="s">
        <v>75</v>
      </c>
      <c r="G34" s="10" t="s">
        <v>71</v>
      </c>
      <c r="H34" s="10" t="s">
        <v>76</v>
      </c>
      <c r="I34" s="16" t="s">
        <v>540</v>
      </c>
      <c r="J34" s="6" t="s">
        <v>643</v>
      </c>
      <c r="K34" s="2">
        <v>3</v>
      </c>
    </row>
    <row r="35" spans="1:11" s="1" customFormat="1" ht="15" customHeight="1">
      <c r="A35" s="7">
        <f t="shared" si="0"/>
        <v>33</v>
      </c>
      <c r="B35" s="34">
        <v>1</v>
      </c>
      <c r="C35" s="34">
        <v>4</v>
      </c>
      <c r="D35" s="5">
        <f t="shared" si="1"/>
        <v>6</v>
      </c>
      <c r="E35" s="14"/>
      <c r="F35" s="15" t="s">
        <v>77</v>
      </c>
      <c r="G35" s="16" t="s">
        <v>65</v>
      </c>
      <c r="H35" s="16" t="s">
        <v>78</v>
      </c>
      <c r="I35" s="16" t="s">
        <v>654</v>
      </c>
      <c r="J35" s="6" t="s">
        <v>643</v>
      </c>
      <c r="K35" s="2">
        <v>2</v>
      </c>
    </row>
    <row r="36" spans="1:11" s="1" customFormat="1" ht="15.75" customHeight="1">
      <c r="A36" s="7">
        <f t="shared" si="0"/>
        <v>34</v>
      </c>
      <c r="B36" s="39">
        <v>1</v>
      </c>
      <c r="C36" s="39">
        <v>5</v>
      </c>
      <c r="D36" s="5">
        <f t="shared" si="1"/>
        <v>1</v>
      </c>
      <c r="E36" s="28" t="s">
        <v>862</v>
      </c>
      <c r="F36" s="15" t="s">
        <v>79</v>
      </c>
      <c r="G36" s="16" t="s">
        <v>80</v>
      </c>
      <c r="H36" s="16" t="s">
        <v>81</v>
      </c>
      <c r="I36" s="42" t="s">
        <v>655</v>
      </c>
      <c r="J36" s="6" t="s">
        <v>643</v>
      </c>
      <c r="K36" s="2">
        <v>5</v>
      </c>
    </row>
    <row r="37" spans="1:11" s="1" customFormat="1" ht="15" customHeight="1">
      <c r="A37" s="7">
        <f t="shared" si="0"/>
        <v>35</v>
      </c>
      <c r="B37" s="39">
        <v>1</v>
      </c>
      <c r="C37" s="39">
        <v>5</v>
      </c>
      <c r="D37" s="5">
        <f t="shared" si="1"/>
        <v>2</v>
      </c>
      <c r="E37" s="5" t="s">
        <v>863</v>
      </c>
      <c r="F37" s="15" t="s">
        <v>82</v>
      </c>
      <c r="G37" s="16" t="s">
        <v>80</v>
      </c>
      <c r="H37" s="16" t="s">
        <v>83</v>
      </c>
      <c r="I37" s="16" t="s">
        <v>656</v>
      </c>
      <c r="J37" s="6" t="s">
        <v>643</v>
      </c>
      <c r="K37" s="2">
        <v>1</v>
      </c>
    </row>
    <row r="38" spans="1:11" s="1" customFormat="1" ht="15" customHeight="1">
      <c r="A38" s="7">
        <f t="shared" si="0"/>
        <v>36</v>
      </c>
      <c r="B38" s="39">
        <v>1</v>
      </c>
      <c r="C38" s="39">
        <v>5</v>
      </c>
      <c r="D38" s="5">
        <f t="shared" si="1"/>
        <v>3</v>
      </c>
      <c r="E38" s="14"/>
      <c r="F38" s="15" t="s">
        <v>85</v>
      </c>
      <c r="G38" s="16" t="s">
        <v>80</v>
      </c>
      <c r="H38" s="16" t="s">
        <v>86</v>
      </c>
      <c r="I38" s="16" t="s">
        <v>657</v>
      </c>
      <c r="J38" s="6" t="s">
        <v>643</v>
      </c>
      <c r="K38" s="2">
        <v>1</v>
      </c>
    </row>
    <row r="39" spans="1:11" s="1" customFormat="1" ht="15" customHeight="1">
      <c r="A39" s="7">
        <f t="shared" si="0"/>
        <v>37</v>
      </c>
      <c r="B39" s="47">
        <v>1</v>
      </c>
      <c r="C39" s="47">
        <v>6</v>
      </c>
      <c r="D39" s="5">
        <f t="shared" si="1"/>
        <v>1</v>
      </c>
      <c r="E39" s="13"/>
      <c r="F39" s="15" t="s">
        <v>87</v>
      </c>
      <c r="G39" s="16" t="s">
        <v>88</v>
      </c>
      <c r="H39" s="16" t="s">
        <v>89</v>
      </c>
      <c r="I39" s="16" t="s">
        <v>659</v>
      </c>
      <c r="J39" s="6" t="s">
        <v>643</v>
      </c>
      <c r="K39" s="2">
        <v>2</v>
      </c>
    </row>
    <row r="40" spans="1:11" s="1" customFormat="1" ht="15" customHeight="1">
      <c r="A40" s="7">
        <f t="shared" si="0"/>
        <v>38</v>
      </c>
      <c r="B40" s="47">
        <v>1</v>
      </c>
      <c r="C40" s="47">
        <v>6</v>
      </c>
      <c r="D40" s="5">
        <f t="shared" si="1"/>
        <v>2</v>
      </c>
      <c r="E40" s="14"/>
      <c r="F40" s="15" t="s">
        <v>90</v>
      </c>
      <c r="G40" s="16" t="s">
        <v>91</v>
      </c>
      <c r="H40" s="16" t="s">
        <v>92</v>
      </c>
      <c r="I40" s="16" t="s">
        <v>858</v>
      </c>
      <c r="J40" s="6" t="s">
        <v>643</v>
      </c>
      <c r="K40" s="2">
        <v>1</v>
      </c>
    </row>
    <row r="41" spans="1:11" s="1" customFormat="1" ht="15" customHeight="1">
      <c r="A41" s="7">
        <f t="shared" si="0"/>
        <v>39</v>
      </c>
      <c r="B41" s="47">
        <v>1</v>
      </c>
      <c r="C41" s="47">
        <v>6</v>
      </c>
      <c r="D41" s="5">
        <f t="shared" si="1"/>
        <v>3</v>
      </c>
      <c r="E41" s="5"/>
      <c r="F41" s="15" t="s">
        <v>93</v>
      </c>
      <c r="G41" s="16" t="s">
        <v>91</v>
      </c>
      <c r="H41" s="16" t="s">
        <v>94</v>
      </c>
      <c r="I41" s="16" t="s">
        <v>542</v>
      </c>
      <c r="J41" s="77" t="s">
        <v>642</v>
      </c>
      <c r="K41" s="2">
        <v>1</v>
      </c>
    </row>
    <row r="42" spans="1:11" s="1" customFormat="1" ht="15" customHeight="1">
      <c r="A42" s="7">
        <f t="shared" si="0"/>
        <v>40</v>
      </c>
      <c r="B42" s="47">
        <v>1</v>
      </c>
      <c r="C42" s="47">
        <v>6</v>
      </c>
      <c r="D42" s="5">
        <f t="shared" si="1"/>
        <v>4</v>
      </c>
      <c r="E42" s="5" t="s">
        <v>863</v>
      </c>
      <c r="F42" s="15" t="s">
        <v>95</v>
      </c>
      <c r="G42" s="16" t="s">
        <v>96</v>
      </c>
      <c r="H42" s="16" t="s">
        <v>97</v>
      </c>
      <c r="I42" s="16" t="s">
        <v>658</v>
      </c>
      <c r="J42" s="6" t="s">
        <v>643</v>
      </c>
      <c r="K42" s="2">
        <v>4</v>
      </c>
    </row>
    <row r="43" spans="1:11" s="1" customFormat="1" ht="15" customHeight="1">
      <c r="A43" s="7">
        <f t="shared" si="0"/>
        <v>41</v>
      </c>
      <c r="B43" s="47">
        <v>1</v>
      </c>
      <c r="C43" s="47">
        <v>6</v>
      </c>
      <c r="D43" s="5">
        <f t="shared" si="1"/>
        <v>5</v>
      </c>
      <c r="E43" s="28" t="s">
        <v>862</v>
      </c>
      <c r="F43" s="15" t="s">
        <v>98</v>
      </c>
      <c r="G43" s="16" t="s">
        <v>99</v>
      </c>
      <c r="H43" s="16" t="s">
        <v>100</v>
      </c>
      <c r="I43" s="16" t="s">
        <v>660</v>
      </c>
      <c r="J43" s="6" t="s">
        <v>643</v>
      </c>
      <c r="K43" s="2">
        <v>4</v>
      </c>
    </row>
    <row r="44" spans="1:11" s="1" customFormat="1" ht="15" customHeight="1">
      <c r="A44" s="7">
        <f t="shared" si="0"/>
        <v>42</v>
      </c>
      <c r="B44" s="47">
        <v>1</v>
      </c>
      <c r="C44" s="47">
        <v>6</v>
      </c>
      <c r="D44" s="5">
        <f t="shared" si="1"/>
        <v>6</v>
      </c>
      <c r="E44" s="5"/>
      <c r="F44" s="15" t="s">
        <v>436</v>
      </c>
      <c r="G44" s="42" t="s">
        <v>437</v>
      </c>
      <c r="H44" s="42" t="s">
        <v>438</v>
      </c>
      <c r="I44" s="16" t="s">
        <v>439</v>
      </c>
      <c r="J44" s="6" t="s">
        <v>643</v>
      </c>
      <c r="K44" s="2">
        <v>3</v>
      </c>
    </row>
    <row r="45" spans="1:11" s="1" customFormat="1" ht="15" customHeight="1">
      <c r="A45" s="7">
        <f t="shared" si="0"/>
        <v>43</v>
      </c>
      <c r="B45" s="47">
        <v>1</v>
      </c>
      <c r="C45" s="47">
        <v>6</v>
      </c>
      <c r="D45" s="14">
        <f t="shared" si="1"/>
        <v>7</v>
      </c>
      <c r="E45" s="14"/>
      <c r="F45" s="15" t="s">
        <v>464</v>
      </c>
      <c r="G45" s="16" t="s">
        <v>466</v>
      </c>
      <c r="H45" s="16" t="s">
        <v>465</v>
      </c>
      <c r="I45" s="16" t="s">
        <v>803</v>
      </c>
      <c r="J45" s="6" t="s">
        <v>643</v>
      </c>
      <c r="K45" s="2">
        <v>4</v>
      </c>
    </row>
    <row r="46" spans="1:11" s="1" customFormat="1" ht="15" customHeight="1">
      <c r="A46" s="7">
        <f t="shared" si="0"/>
        <v>44</v>
      </c>
      <c r="B46" s="33">
        <v>1</v>
      </c>
      <c r="C46" s="33">
        <v>7</v>
      </c>
      <c r="D46" s="5">
        <f>IF(AND(B43=B46,C43=C46),D43+1,1)</f>
        <v>1</v>
      </c>
      <c r="E46" s="28" t="s">
        <v>862</v>
      </c>
      <c r="F46" s="8" t="s">
        <v>102</v>
      </c>
      <c r="G46" s="10" t="s">
        <v>91</v>
      </c>
      <c r="H46" s="10" t="s">
        <v>103</v>
      </c>
      <c r="I46" s="16" t="s">
        <v>661</v>
      </c>
      <c r="J46" s="6" t="s">
        <v>643</v>
      </c>
      <c r="K46" s="2">
        <v>1</v>
      </c>
    </row>
    <row r="47" spans="1:11" s="1" customFormat="1" ht="15" customHeight="1">
      <c r="A47" s="7">
        <f t="shared" si="0"/>
        <v>45</v>
      </c>
      <c r="B47" s="33">
        <v>1</v>
      </c>
      <c r="C47" s="33">
        <v>7</v>
      </c>
      <c r="D47" s="5">
        <f t="shared" si="1"/>
        <v>2</v>
      </c>
      <c r="E47" s="5" t="s">
        <v>863</v>
      </c>
      <c r="F47" s="8" t="s">
        <v>104</v>
      </c>
      <c r="G47" s="10" t="s">
        <v>91</v>
      </c>
      <c r="H47" s="10" t="s">
        <v>105</v>
      </c>
      <c r="I47" s="16" t="s">
        <v>662</v>
      </c>
      <c r="J47" s="6" t="s">
        <v>643</v>
      </c>
      <c r="K47" s="2">
        <v>2</v>
      </c>
    </row>
    <row r="48" spans="1:11" s="1" customFormat="1" ht="15" customHeight="1">
      <c r="A48" s="7">
        <f t="shared" si="0"/>
        <v>46</v>
      </c>
      <c r="B48" s="33">
        <v>1</v>
      </c>
      <c r="C48" s="33">
        <v>7</v>
      </c>
      <c r="D48" s="5">
        <f t="shared" si="1"/>
        <v>3</v>
      </c>
      <c r="E48" s="13"/>
      <c r="F48" s="8" t="s">
        <v>805</v>
      </c>
      <c r="G48" s="10" t="s">
        <v>434</v>
      </c>
      <c r="H48" s="10" t="s">
        <v>107</v>
      </c>
      <c r="I48" s="16" t="s">
        <v>804</v>
      </c>
      <c r="J48" s="92" t="s">
        <v>643</v>
      </c>
      <c r="K48" s="93">
        <v>0</v>
      </c>
    </row>
    <row r="49" spans="1:12" s="1" customFormat="1" ht="15" customHeight="1">
      <c r="A49" s="7">
        <f t="shared" si="0"/>
        <v>47</v>
      </c>
      <c r="B49" s="33">
        <v>1</v>
      </c>
      <c r="C49" s="33">
        <v>7</v>
      </c>
      <c r="D49" s="5">
        <f t="shared" si="1"/>
        <v>4</v>
      </c>
      <c r="E49" s="5"/>
      <c r="F49" s="8" t="s">
        <v>108</v>
      </c>
      <c r="G49" s="10" t="s">
        <v>434</v>
      </c>
      <c r="H49" s="10" t="s">
        <v>109</v>
      </c>
      <c r="I49" s="16" t="s">
        <v>663</v>
      </c>
      <c r="J49" s="6" t="s">
        <v>643</v>
      </c>
      <c r="K49" s="2">
        <v>0</v>
      </c>
    </row>
    <row r="50" spans="1:12" s="1" customFormat="1" ht="15" customHeight="1">
      <c r="A50" s="7">
        <f t="shared" si="0"/>
        <v>48</v>
      </c>
      <c r="B50" s="33">
        <v>1</v>
      </c>
      <c r="C50" s="33">
        <v>7</v>
      </c>
      <c r="D50" s="5">
        <f t="shared" si="1"/>
        <v>5</v>
      </c>
      <c r="E50" s="14"/>
      <c r="F50" s="8" t="s">
        <v>110</v>
      </c>
      <c r="G50" s="10" t="s">
        <v>91</v>
      </c>
      <c r="H50" s="10" t="s">
        <v>111</v>
      </c>
      <c r="I50" s="16" t="s">
        <v>664</v>
      </c>
      <c r="J50" s="6" t="s">
        <v>643</v>
      </c>
      <c r="K50" s="2">
        <v>1</v>
      </c>
    </row>
    <row r="51" spans="1:12" s="1" customFormat="1" ht="15" customHeight="1">
      <c r="A51" s="7">
        <f t="shared" si="0"/>
        <v>49</v>
      </c>
      <c r="B51" s="45">
        <v>1</v>
      </c>
      <c r="C51" s="45">
        <v>8</v>
      </c>
      <c r="D51" s="5">
        <f t="shared" si="1"/>
        <v>1</v>
      </c>
      <c r="E51" s="5" t="s">
        <v>863</v>
      </c>
      <c r="F51" s="8" t="s">
        <v>806</v>
      </c>
      <c r="G51" s="10" t="s">
        <v>113</v>
      </c>
      <c r="H51" s="10" t="s">
        <v>114</v>
      </c>
      <c r="I51" s="16" t="s">
        <v>807</v>
      </c>
      <c r="J51" s="6" t="s">
        <v>643</v>
      </c>
      <c r="K51" s="2">
        <v>0</v>
      </c>
    </row>
    <row r="52" spans="1:12" s="1" customFormat="1" ht="15" customHeight="1">
      <c r="A52" s="7">
        <f t="shared" si="0"/>
        <v>50</v>
      </c>
      <c r="B52" s="45">
        <v>1</v>
      </c>
      <c r="C52" s="45">
        <v>8</v>
      </c>
      <c r="D52" s="5">
        <f t="shared" si="1"/>
        <v>2</v>
      </c>
      <c r="E52" s="13"/>
      <c r="F52" s="8" t="s">
        <v>115</v>
      </c>
      <c r="G52" s="10" t="s">
        <v>113</v>
      </c>
      <c r="H52" s="10" t="s">
        <v>116</v>
      </c>
      <c r="I52" s="10" t="s">
        <v>546</v>
      </c>
      <c r="J52" s="77" t="s">
        <v>642</v>
      </c>
      <c r="K52" s="2">
        <v>2</v>
      </c>
    </row>
    <row r="53" spans="1:12" s="1" customFormat="1" ht="15" customHeight="1">
      <c r="A53" s="7">
        <f t="shared" si="0"/>
        <v>51</v>
      </c>
      <c r="B53" s="45">
        <v>1</v>
      </c>
      <c r="C53" s="45">
        <v>8</v>
      </c>
      <c r="D53" s="5">
        <f t="shared" si="1"/>
        <v>3</v>
      </c>
      <c r="E53" s="28" t="s">
        <v>862</v>
      </c>
      <c r="F53" s="8" t="s">
        <v>117</v>
      </c>
      <c r="G53" s="10" t="s">
        <v>88</v>
      </c>
      <c r="H53" s="10" t="s">
        <v>118</v>
      </c>
      <c r="I53" s="16" t="s">
        <v>544</v>
      </c>
      <c r="J53" s="77" t="s">
        <v>642</v>
      </c>
      <c r="K53" s="2">
        <v>0</v>
      </c>
    </row>
    <row r="54" spans="1:12" s="1" customFormat="1" ht="15" customHeight="1">
      <c r="A54" s="7">
        <f t="shared" si="0"/>
        <v>52</v>
      </c>
      <c r="B54" s="45">
        <v>1</v>
      </c>
      <c r="C54" s="45">
        <v>8</v>
      </c>
      <c r="D54" s="5">
        <f t="shared" si="1"/>
        <v>4</v>
      </c>
      <c r="E54" s="5"/>
      <c r="F54" s="8" t="s">
        <v>119</v>
      </c>
      <c r="G54" s="10" t="s">
        <v>123</v>
      </c>
      <c r="H54" s="10" t="s">
        <v>121</v>
      </c>
      <c r="I54" s="16" t="s">
        <v>665</v>
      </c>
      <c r="J54" s="78"/>
      <c r="K54" s="81"/>
    </row>
    <row r="55" spans="1:12" s="1" customFormat="1" ht="15" customHeight="1">
      <c r="A55" s="7">
        <f t="shared" si="0"/>
        <v>53</v>
      </c>
      <c r="B55" s="45">
        <v>1</v>
      </c>
      <c r="C55" s="45">
        <v>8</v>
      </c>
      <c r="D55" s="5">
        <f t="shared" si="1"/>
        <v>5</v>
      </c>
      <c r="E55" s="5"/>
      <c r="F55" s="18" t="s">
        <v>122</v>
      </c>
      <c r="G55" s="10" t="s">
        <v>123</v>
      </c>
      <c r="H55" s="10" t="s">
        <v>124</v>
      </c>
      <c r="I55" s="10" t="s">
        <v>667</v>
      </c>
      <c r="J55" s="77" t="s">
        <v>642</v>
      </c>
      <c r="K55" s="2">
        <v>2</v>
      </c>
    </row>
    <row r="56" spans="1:12" s="1" customFormat="1" ht="15" customHeight="1">
      <c r="A56" s="7">
        <f t="shared" si="0"/>
        <v>54</v>
      </c>
      <c r="B56" s="45">
        <v>1</v>
      </c>
      <c r="C56" s="45">
        <v>8</v>
      </c>
      <c r="D56" s="5">
        <f t="shared" si="1"/>
        <v>6</v>
      </c>
      <c r="E56" s="13"/>
      <c r="F56" s="8" t="s">
        <v>125</v>
      </c>
      <c r="G56" s="16" t="s">
        <v>576</v>
      </c>
      <c r="H56" s="10" t="s">
        <v>126</v>
      </c>
      <c r="I56" s="16" t="s">
        <v>666</v>
      </c>
      <c r="J56" s="6" t="s">
        <v>643</v>
      </c>
      <c r="K56" s="2">
        <v>3</v>
      </c>
    </row>
    <row r="57" spans="1:12" s="1" customFormat="1" ht="15" customHeight="1">
      <c r="A57" s="7">
        <f t="shared" si="0"/>
        <v>55</v>
      </c>
      <c r="B57" s="45">
        <v>1</v>
      </c>
      <c r="C57" s="45">
        <v>8</v>
      </c>
      <c r="D57" s="5">
        <f t="shared" si="1"/>
        <v>7</v>
      </c>
      <c r="E57" s="14"/>
      <c r="F57" s="8" t="s">
        <v>127</v>
      </c>
      <c r="G57" s="10" t="s">
        <v>120</v>
      </c>
      <c r="H57" s="10" t="s">
        <v>128</v>
      </c>
      <c r="I57" s="16" t="s">
        <v>668</v>
      </c>
      <c r="J57" s="6" t="s">
        <v>643</v>
      </c>
      <c r="K57" s="2">
        <v>3</v>
      </c>
    </row>
    <row r="58" spans="1:12" s="1" customFormat="1" ht="15" customHeight="1">
      <c r="A58" s="7">
        <f t="shared" si="0"/>
        <v>56</v>
      </c>
      <c r="B58" s="29">
        <v>1</v>
      </c>
      <c r="C58" s="29">
        <v>9</v>
      </c>
      <c r="D58" s="5">
        <f t="shared" si="1"/>
        <v>1</v>
      </c>
      <c r="E58" s="28" t="s">
        <v>862</v>
      </c>
      <c r="F58" s="8" t="s">
        <v>129</v>
      </c>
      <c r="G58" s="10" t="s">
        <v>120</v>
      </c>
      <c r="H58" s="10" t="s">
        <v>130</v>
      </c>
      <c r="I58" s="16" t="s">
        <v>676</v>
      </c>
      <c r="J58" s="6" t="s">
        <v>643</v>
      </c>
      <c r="K58" s="2">
        <v>5</v>
      </c>
    </row>
    <row r="59" spans="1:12" s="1" customFormat="1" ht="15" customHeight="1">
      <c r="A59" s="7">
        <f t="shared" si="0"/>
        <v>57</v>
      </c>
      <c r="B59" s="29">
        <v>1</v>
      </c>
      <c r="C59" s="29">
        <v>9</v>
      </c>
      <c r="D59" s="5">
        <f t="shared" si="1"/>
        <v>2</v>
      </c>
      <c r="E59" s="14"/>
      <c r="F59" s="19" t="s">
        <v>131</v>
      </c>
      <c r="G59" s="10" t="s">
        <v>120</v>
      </c>
      <c r="H59" s="10" t="s">
        <v>132</v>
      </c>
      <c r="I59" s="20" t="s">
        <v>548</v>
      </c>
      <c r="J59" s="6" t="s">
        <v>643</v>
      </c>
      <c r="K59" s="2">
        <v>0</v>
      </c>
      <c r="L59" s="1" t="s">
        <v>670</v>
      </c>
    </row>
    <row r="60" spans="1:12" s="4" customFormat="1" ht="15" customHeight="1">
      <c r="A60" s="7">
        <f t="shared" si="0"/>
        <v>58</v>
      </c>
      <c r="B60" s="32">
        <v>1</v>
      </c>
      <c r="C60" s="32">
        <v>9</v>
      </c>
      <c r="D60" s="5">
        <f t="shared" si="1"/>
        <v>3</v>
      </c>
      <c r="E60" s="13"/>
      <c r="F60" s="15" t="s">
        <v>133</v>
      </c>
      <c r="G60" s="16" t="s">
        <v>120</v>
      </c>
      <c r="H60" s="10" t="s">
        <v>134</v>
      </c>
      <c r="I60" s="16" t="s">
        <v>675</v>
      </c>
      <c r="J60" s="6" t="s">
        <v>643</v>
      </c>
      <c r="K60" s="2">
        <v>1</v>
      </c>
    </row>
    <row r="61" spans="1:12" s="1" customFormat="1" ht="15" customHeight="1">
      <c r="A61" s="7">
        <f t="shared" si="0"/>
        <v>59</v>
      </c>
      <c r="B61" s="29">
        <v>1</v>
      </c>
      <c r="C61" s="29">
        <v>9</v>
      </c>
      <c r="D61" s="5">
        <f t="shared" si="1"/>
        <v>4</v>
      </c>
      <c r="E61" s="5"/>
      <c r="F61" s="8" t="s">
        <v>136</v>
      </c>
      <c r="G61" s="10" t="s">
        <v>137</v>
      </c>
      <c r="H61" s="10" t="s">
        <v>138</v>
      </c>
      <c r="I61" s="16" t="s">
        <v>673</v>
      </c>
      <c r="J61" s="6" t="s">
        <v>643</v>
      </c>
      <c r="K61" s="2">
        <v>2</v>
      </c>
    </row>
    <row r="62" spans="1:12" s="1" customFormat="1" ht="15" customHeight="1">
      <c r="A62" s="7">
        <f t="shared" si="0"/>
        <v>60</v>
      </c>
      <c r="B62" s="29">
        <v>1</v>
      </c>
      <c r="C62" s="29">
        <v>9</v>
      </c>
      <c r="D62" s="5">
        <f t="shared" si="1"/>
        <v>5</v>
      </c>
      <c r="E62" s="11"/>
      <c r="F62" s="8" t="s">
        <v>139</v>
      </c>
      <c r="G62" s="10" t="s">
        <v>137</v>
      </c>
      <c r="H62" s="10" t="s">
        <v>140</v>
      </c>
      <c r="I62" s="16" t="s">
        <v>672</v>
      </c>
      <c r="J62" s="6" t="s">
        <v>643</v>
      </c>
      <c r="K62" s="2">
        <v>0</v>
      </c>
    </row>
    <row r="63" spans="1:12" s="1" customFormat="1" ht="15" customHeight="1">
      <c r="A63" s="7">
        <f t="shared" si="0"/>
        <v>61</v>
      </c>
      <c r="B63" s="29">
        <v>1</v>
      </c>
      <c r="C63" s="29">
        <v>9</v>
      </c>
      <c r="D63" s="5">
        <f t="shared" si="1"/>
        <v>6</v>
      </c>
      <c r="E63" s="5" t="s">
        <v>863</v>
      </c>
      <c r="F63" s="8" t="s">
        <v>141</v>
      </c>
      <c r="G63" s="10" t="s">
        <v>137</v>
      </c>
      <c r="H63" s="10" t="s">
        <v>142</v>
      </c>
      <c r="I63" s="16" t="s">
        <v>677</v>
      </c>
      <c r="J63" s="6" t="s">
        <v>643</v>
      </c>
      <c r="K63" s="2">
        <v>3</v>
      </c>
    </row>
    <row r="64" spans="1:12" s="1" customFormat="1" ht="15" customHeight="1">
      <c r="A64" s="7">
        <f t="shared" si="0"/>
        <v>62</v>
      </c>
      <c r="B64" s="29">
        <v>1</v>
      </c>
      <c r="C64" s="29">
        <v>9</v>
      </c>
      <c r="D64" s="5">
        <f t="shared" si="1"/>
        <v>7</v>
      </c>
      <c r="E64" s="5"/>
      <c r="F64" s="8" t="s">
        <v>143</v>
      </c>
      <c r="G64" s="10" t="s">
        <v>123</v>
      </c>
      <c r="H64" s="10" t="s">
        <v>144</v>
      </c>
      <c r="I64" s="16" t="s">
        <v>671</v>
      </c>
      <c r="J64" s="85" t="s">
        <v>642</v>
      </c>
      <c r="K64" s="76">
        <v>4</v>
      </c>
    </row>
    <row r="65" spans="1:11" s="1" customFormat="1" ht="15" customHeight="1">
      <c r="A65" s="7">
        <f t="shared" si="0"/>
        <v>63</v>
      </c>
      <c r="B65" s="29">
        <v>1</v>
      </c>
      <c r="C65" s="29">
        <v>9</v>
      </c>
      <c r="D65" s="5">
        <f t="shared" si="1"/>
        <v>8</v>
      </c>
      <c r="E65" s="13"/>
      <c r="F65" s="8" t="s">
        <v>145</v>
      </c>
      <c r="G65" s="10" t="s">
        <v>123</v>
      </c>
      <c r="H65" s="10" t="s">
        <v>146</v>
      </c>
      <c r="I65" s="16" t="s">
        <v>669</v>
      </c>
      <c r="J65" s="6" t="s">
        <v>643</v>
      </c>
      <c r="K65" s="2">
        <v>4</v>
      </c>
    </row>
    <row r="66" spans="1:11" s="1" customFormat="1" ht="15" customHeight="1">
      <c r="A66" s="7">
        <f t="shared" si="0"/>
        <v>64</v>
      </c>
      <c r="B66" s="29">
        <v>1</v>
      </c>
      <c r="C66" s="29">
        <v>9</v>
      </c>
      <c r="D66" s="5">
        <f t="shared" si="1"/>
        <v>9</v>
      </c>
      <c r="E66" s="13"/>
      <c r="F66" s="8" t="s">
        <v>147</v>
      </c>
      <c r="G66" s="10" t="s">
        <v>123</v>
      </c>
      <c r="H66" s="10" t="s">
        <v>148</v>
      </c>
      <c r="I66" s="16" t="s">
        <v>674</v>
      </c>
      <c r="J66" s="6" t="s">
        <v>643</v>
      </c>
      <c r="K66" s="2">
        <v>0</v>
      </c>
    </row>
    <row r="67" spans="1:11" s="1" customFormat="1" ht="15" customHeight="1">
      <c r="A67" s="7">
        <f t="shared" si="0"/>
        <v>65</v>
      </c>
      <c r="B67" s="33">
        <v>1</v>
      </c>
      <c r="C67" s="33">
        <v>10</v>
      </c>
      <c r="D67" s="5">
        <f>IF(AND(B65=B67,C65=C67),D65+1,1)</f>
        <v>1</v>
      </c>
      <c r="E67" s="5"/>
      <c r="F67" s="8" t="s">
        <v>149</v>
      </c>
      <c r="G67" s="12" t="s">
        <v>150</v>
      </c>
      <c r="H67" s="10" t="s">
        <v>151</v>
      </c>
      <c r="I67" s="16"/>
      <c r="J67" s="78"/>
      <c r="K67" s="81"/>
    </row>
    <row r="68" spans="1:11" s="1" customFormat="1" ht="15" customHeight="1">
      <c r="A68" s="7">
        <f t="shared" si="0"/>
        <v>66</v>
      </c>
      <c r="B68" s="33">
        <v>1</v>
      </c>
      <c r="C68" s="33">
        <v>10</v>
      </c>
      <c r="D68" s="5">
        <f t="shared" si="1"/>
        <v>2</v>
      </c>
      <c r="E68" s="5" t="s">
        <v>863</v>
      </c>
      <c r="F68" s="8" t="s">
        <v>152</v>
      </c>
      <c r="G68" s="12" t="s">
        <v>153</v>
      </c>
      <c r="H68" s="10" t="s">
        <v>154</v>
      </c>
      <c r="I68" s="16" t="s">
        <v>678</v>
      </c>
      <c r="J68" s="77" t="s">
        <v>642</v>
      </c>
      <c r="K68" s="2">
        <v>2</v>
      </c>
    </row>
    <row r="69" spans="1:11" s="1" customFormat="1" ht="15" customHeight="1">
      <c r="A69" s="7">
        <f t="shared" si="0"/>
        <v>67</v>
      </c>
      <c r="B69" s="33">
        <v>1</v>
      </c>
      <c r="C69" s="33">
        <v>10</v>
      </c>
      <c r="D69" s="5">
        <f t="shared" ref="D69:D132" si="2">IF(AND(B68=B69,C68=C69),D68+1,1)</f>
        <v>3</v>
      </c>
      <c r="E69" s="14"/>
      <c r="F69" s="8" t="s">
        <v>155</v>
      </c>
      <c r="G69" s="12" t="s">
        <v>153</v>
      </c>
      <c r="H69" s="10" t="s">
        <v>156</v>
      </c>
      <c r="I69" s="16" t="s">
        <v>679</v>
      </c>
      <c r="J69" s="77" t="s">
        <v>642</v>
      </c>
      <c r="K69" s="2">
        <v>1</v>
      </c>
    </row>
    <row r="70" spans="1:11" s="1" customFormat="1" ht="15" customHeight="1">
      <c r="A70" s="7">
        <f t="shared" ref="A70:A135" si="3">ROW()-2</f>
        <v>68</v>
      </c>
      <c r="B70" s="33">
        <v>1</v>
      </c>
      <c r="C70" s="33">
        <v>10</v>
      </c>
      <c r="D70" s="5">
        <f t="shared" si="2"/>
        <v>4</v>
      </c>
      <c r="E70" s="28" t="s">
        <v>862</v>
      </c>
      <c r="F70" s="8" t="s">
        <v>157</v>
      </c>
      <c r="G70" s="12" t="s">
        <v>153</v>
      </c>
      <c r="H70" s="10" t="s">
        <v>158</v>
      </c>
      <c r="I70" s="16" t="s">
        <v>549</v>
      </c>
      <c r="J70" s="6" t="s">
        <v>643</v>
      </c>
      <c r="K70" s="2">
        <v>3</v>
      </c>
    </row>
    <row r="71" spans="1:11" s="1" customFormat="1" ht="15" customHeight="1">
      <c r="A71" s="7">
        <f t="shared" si="3"/>
        <v>69</v>
      </c>
      <c r="B71" s="33">
        <v>1</v>
      </c>
      <c r="C71" s="33">
        <v>10</v>
      </c>
      <c r="D71" s="5">
        <f t="shared" si="2"/>
        <v>5</v>
      </c>
      <c r="E71" s="13"/>
      <c r="F71" s="8" t="s">
        <v>159</v>
      </c>
      <c r="G71" s="38"/>
      <c r="H71" s="37"/>
      <c r="I71" s="30" t="s">
        <v>160</v>
      </c>
      <c r="J71" s="78"/>
      <c r="K71" s="81"/>
    </row>
    <row r="72" spans="1:11" s="1" customFormat="1" ht="15" customHeight="1">
      <c r="A72" s="7">
        <f t="shared" si="3"/>
        <v>70</v>
      </c>
      <c r="B72" s="33">
        <v>1</v>
      </c>
      <c r="C72" s="33">
        <v>10</v>
      </c>
      <c r="D72" s="5">
        <f t="shared" si="2"/>
        <v>6</v>
      </c>
      <c r="E72" s="14"/>
      <c r="F72" s="15" t="s">
        <v>625</v>
      </c>
      <c r="G72" s="26" t="s">
        <v>626</v>
      </c>
      <c r="H72" s="16" t="s">
        <v>627</v>
      </c>
      <c r="I72" s="16" t="s">
        <v>680</v>
      </c>
      <c r="J72" s="77" t="s">
        <v>642</v>
      </c>
      <c r="K72" s="2">
        <v>2</v>
      </c>
    </row>
    <row r="73" spans="1:11" s="1" customFormat="1" ht="15" customHeight="1">
      <c r="A73" s="7">
        <f t="shared" si="3"/>
        <v>71</v>
      </c>
      <c r="B73" s="40">
        <v>1</v>
      </c>
      <c r="C73" s="40">
        <v>11</v>
      </c>
      <c r="D73" s="5">
        <f>IF(AND(B70=B73,C70=C73),D70+1,1)</f>
        <v>1</v>
      </c>
      <c r="E73" s="5"/>
      <c r="F73" s="15" t="s">
        <v>681</v>
      </c>
      <c r="G73" s="10" t="s">
        <v>162</v>
      </c>
      <c r="H73" s="10" t="s">
        <v>163</v>
      </c>
      <c r="I73" s="16" t="s">
        <v>682</v>
      </c>
      <c r="J73" s="77" t="s">
        <v>642</v>
      </c>
      <c r="K73" s="2">
        <v>0</v>
      </c>
    </row>
    <row r="74" spans="1:11" s="1" customFormat="1" ht="15" customHeight="1">
      <c r="A74" s="7">
        <f t="shared" si="3"/>
        <v>72</v>
      </c>
      <c r="B74" s="40">
        <v>1</v>
      </c>
      <c r="C74" s="40">
        <v>11</v>
      </c>
      <c r="D74" s="5">
        <f t="shared" si="2"/>
        <v>2</v>
      </c>
      <c r="E74" s="5"/>
      <c r="F74" s="8" t="s">
        <v>487</v>
      </c>
      <c r="G74" s="10" t="s">
        <v>162</v>
      </c>
      <c r="H74" s="10" t="s">
        <v>164</v>
      </c>
      <c r="I74" s="16" t="s">
        <v>555</v>
      </c>
      <c r="J74" s="6" t="s">
        <v>643</v>
      </c>
      <c r="K74" s="2">
        <v>1</v>
      </c>
    </row>
    <row r="75" spans="1:11" s="1" customFormat="1" ht="15" customHeight="1">
      <c r="A75" s="7">
        <f t="shared" si="3"/>
        <v>73</v>
      </c>
      <c r="B75" s="40">
        <v>1</v>
      </c>
      <c r="C75" s="40">
        <v>11</v>
      </c>
      <c r="D75" s="5">
        <f t="shared" si="2"/>
        <v>3</v>
      </c>
      <c r="E75" s="5"/>
      <c r="F75" s="8" t="s">
        <v>165</v>
      </c>
      <c r="G75" s="10" t="s">
        <v>162</v>
      </c>
      <c r="H75" s="10" t="s">
        <v>166</v>
      </c>
      <c r="I75" s="16" t="s">
        <v>553</v>
      </c>
      <c r="J75" s="6" t="s">
        <v>643</v>
      </c>
      <c r="K75" s="2"/>
    </row>
    <row r="76" spans="1:11" s="1" customFormat="1" ht="15" customHeight="1">
      <c r="A76" s="7">
        <f t="shared" si="3"/>
        <v>74</v>
      </c>
      <c r="B76" s="40">
        <v>1</v>
      </c>
      <c r="C76" s="40">
        <v>11</v>
      </c>
      <c r="D76" s="5">
        <f t="shared" si="2"/>
        <v>4</v>
      </c>
      <c r="E76" s="13"/>
      <c r="F76" s="8" t="s">
        <v>167</v>
      </c>
      <c r="G76" s="10" t="s">
        <v>162</v>
      </c>
      <c r="H76" s="10" t="s">
        <v>168</v>
      </c>
      <c r="I76" s="16" t="s">
        <v>451</v>
      </c>
      <c r="J76" s="78"/>
      <c r="K76" s="81"/>
    </row>
    <row r="77" spans="1:11" s="1" customFormat="1" ht="15" customHeight="1">
      <c r="A77" s="7">
        <f t="shared" si="3"/>
        <v>75</v>
      </c>
      <c r="B77" s="40">
        <v>1</v>
      </c>
      <c r="C77" s="40">
        <v>11</v>
      </c>
      <c r="D77" s="5">
        <f t="shared" si="2"/>
        <v>5</v>
      </c>
      <c r="E77" s="13"/>
      <c r="F77" s="22" t="s">
        <v>169</v>
      </c>
      <c r="G77" s="10" t="s">
        <v>162</v>
      </c>
      <c r="H77" s="10" t="s">
        <v>170</v>
      </c>
      <c r="I77" s="16" t="s">
        <v>683</v>
      </c>
      <c r="J77" s="6" t="s">
        <v>643</v>
      </c>
      <c r="K77" s="2">
        <v>2</v>
      </c>
    </row>
    <row r="78" spans="1:11" s="1" customFormat="1" ht="15" customHeight="1">
      <c r="A78" s="7">
        <f t="shared" si="3"/>
        <v>76</v>
      </c>
      <c r="B78" s="40">
        <v>1</v>
      </c>
      <c r="C78" s="40">
        <v>11</v>
      </c>
      <c r="D78" s="5">
        <f t="shared" si="2"/>
        <v>6</v>
      </c>
      <c r="E78" s="14"/>
      <c r="F78" s="8" t="s">
        <v>172</v>
      </c>
      <c r="G78" s="10" t="s">
        <v>162</v>
      </c>
      <c r="H78" s="37"/>
      <c r="I78" s="16" t="s">
        <v>684</v>
      </c>
      <c r="J78" s="6" t="s">
        <v>643</v>
      </c>
      <c r="K78" s="2">
        <v>1</v>
      </c>
    </row>
    <row r="79" spans="1:11" s="1" customFormat="1" ht="15" customHeight="1">
      <c r="A79" s="7">
        <f t="shared" si="3"/>
        <v>77</v>
      </c>
      <c r="B79" s="40">
        <v>1</v>
      </c>
      <c r="C79" s="40">
        <v>11</v>
      </c>
      <c r="D79" s="5">
        <f t="shared" si="2"/>
        <v>7</v>
      </c>
      <c r="E79" s="28" t="s">
        <v>862</v>
      </c>
      <c r="F79" s="8" t="s">
        <v>173</v>
      </c>
      <c r="G79" s="10" t="s">
        <v>162</v>
      </c>
      <c r="H79" s="10" t="s">
        <v>449</v>
      </c>
      <c r="I79" s="16" t="s">
        <v>685</v>
      </c>
      <c r="J79" s="6" t="s">
        <v>643</v>
      </c>
      <c r="K79" s="2">
        <v>4</v>
      </c>
    </row>
    <row r="80" spans="1:11" s="1" customFormat="1" ht="15" customHeight="1">
      <c r="A80" s="7">
        <f t="shared" si="3"/>
        <v>78</v>
      </c>
      <c r="B80" s="40">
        <v>1</v>
      </c>
      <c r="C80" s="40">
        <v>11</v>
      </c>
      <c r="D80" s="5">
        <f t="shared" si="2"/>
        <v>8</v>
      </c>
      <c r="E80" s="5" t="s">
        <v>863</v>
      </c>
      <c r="F80" s="8" t="s">
        <v>175</v>
      </c>
      <c r="G80" s="10" t="s">
        <v>162</v>
      </c>
      <c r="H80" s="37"/>
      <c r="I80" s="16" t="s">
        <v>686</v>
      </c>
      <c r="J80" s="6" t="s">
        <v>643</v>
      </c>
      <c r="K80" s="2">
        <v>0</v>
      </c>
    </row>
    <row r="81" spans="1:12" s="1" customFormat="1" ht="15" customHeight="1">
      <c r="A81" s="7">
        <f t="shared" si="3"/>
        <v>79</v>
      </c>
      <c r="B81" s="40">
        <v>1</v>
      </c>
      <c r="C81" s="40">
        <v>11</v>
      </c>
      <c r="D81" s="5">
        <f t="shared" si="2"/>
        <v>9</v>
      </c>
      <c r="E81" s="5"/>
      <c r="F81" s="8" t="s">
        <v>177</v>
      </c>
      <c r="G81" s="10" t="s">
        <v>162</v>
      </c>
      <c r="H81" s="10" t="s">
        <v>178</v>
      </c>
      <c r="I81" s="16" t="s">
        <v>687</v>
      </c>
      <c r="J81" s="6" t="s">
        <v>643</v>
      </c>
      <c r="K81" s="2">
        <v>4</v>
      </c>
    </row>
    <row r="82" spans="1:12" s="1" customFormat="1" ht="15" customHeight="1">
      <c r="A82" s="7">
        <f t="shared" si="3"/>
        <v>80</v>
      </c>
      <c r="B82" s="41">
        <v>1</v>
      </c>
      <c r="C82" s="41">
        <v>12</v>
      </c>
      <c r="D82" s="5">
        <f t="shared" si="2"/>
        <v>1</v>
      </c>
      <c r="E82" s="28" t="s">
        <v>862</v>
      </c>
      <c r="F82" s="8" t="s">
        <v>179</v>
      </c>
      <c r="G82" s="10" t="s">
        <v>162</v>
      </c>
      <c r="H82" s="10" t="s">
        <v>180</v>
      </c>
      <c r="I82" s="16" t="s">
        <v>703</v>
      </c>
      <c r="J82" s="6" t="s">
        <v>643</v>
      </c>
      <c r="K82" s="2">
        <v>0</v>
      </c>
    </row>
    <row r="83" spans="1:12" s="1" customFormat="1" ht="15" customHeight="1">
      <c r="A83" s="7">
        <f t="shared" si="3"/>
        <v>81</v>
      </c>
      <c r="B83" s="41">
        <v>1</v>
      </c>
      <c r="C83" s="41">
        <v>12</v>
      </c>
      <c r="D83" s="5">
        <f t="shared" si="2"/>
        <v>2</v>
      </c>
      <c r="E83" s="5" t="s">
        <v>863</v>
      </c>
      <c r="F83" s="8" t="s">
        <v>181</v>
      </c>
      <c r="G83" s="10" t="s">
        <v>162</v>
      </c>
      <c r="H83" s="37"/>
      <c r="I83" s="16" t="s">
        <v>704</v>
      </c>
      <c r="J83" s="6" t="s">
        <v>643</v>
      </c>
      <c r="K83" s="2">
        <v>0</v>
      </c>
    </row>
    <row r="84" spans="1:12" s="1" customFormat="1" ht="15" customHeight="1">
      <c r="A84" s="7">
        <f t="shared" si="3"/>
        <v>82</v>
      </c>
      <c r="B84" s="41">
        <v>1</v>
      </c>
      <c r="C84" s="41">
        <v>12</v>
      </c>
      <c r="D84" s="5">
        <f t="shared" si="2"/>
        <v>3</v>
      </c>
      <c r="E84" s="5"/>
      <c r="F84" s="8" t="s">
        <v>183</v>
      </c>
      <c r="G84" s="10" t="s">
        <v>162</v>
      </c>
      <c r="H84" s="10" t="s">
        <v>184</v>
      </c>
      <c r="I84" s="16" t="s">
        <v>705</v>
      </c>
      <c r="J84" s="6" t="s">
        <v>643</v>
      </c>
      <c r="K84" s="2">
        <v>0</v>
      </c>
    </row>
    <row r="85" spans="1:12" s="1" customFormat="1" ht="15" customHeight="1">
      <c r="A85" s="7">
        <f t="shared" si="3"/>
        <v>83</v>
      </c>
      <c r="B85" s="41">
        <v>1</v>
      </c>
      <c r="C85" s="41">
        <v>12</v>
      </c>
      <c r="D85" s="5">
        <f t="shared" si="2"/>
        <v>4</v>
      </c>
      <c r="E85" s="13"/>
      <c r="F85" s="8" t="s">
        <v>442</v>
      </c>
      <c r="G85" s="10" t="s">
        <v>162</v>
      </c>
      <c r="H85" s="10" t="s">
        <v>443</v>
      </c>
      <c r="I85" s="16" t="s">
        <v>706</v>
      </c>
      <c r="J85" s="6" t="s">
        <v>643</v>
      </c>
      <c r="K85" s="2">
        <v>1</v>
      </c>
    </row>
    <row r="86" spans="1:12" s="1" customFormat="1" ht="15" customHeight="1">
      <c r="A86" s="7">
        <f t="shared" si="3"/>
        <v>84</v>
      </c>
      <c r="B86" s="41">
        <v>1</v>
      </c>
      <c r="C86" s="41">
        <v>12</v>
      </c>
      <c r="D86" s="5">
        <f t="shared" si="2"/>
        <v>5</v>
      </c>
      <c r="E86" s="5"/>
      <c r="F86" s="8" t="s">
        <v>186</v>
      </c>
      <c r="G86" s="10" t="s">
        <v>162</v>
      </c>
      <c r="H86" s="10" t="s">
        <v>187</v>
      </c>
      <c r="I86" s="16" t="s">
        <v>698</v>
      </c>
      <c r="J86" s="77" t="s">
        <v>642</v>
      </c>
      <c r="K86" s="2">
        <v>2</v>
      </c>
    </row>
    <row r="87" spans="1:12" s="1" customFormat="1" ht="15" customHeight="1">
      <c r="A87" s="7">
        <f t="shared" si="3"/>
        <v>85</v>
      </c>
      <c r="B87" s="41">
        <v>1</v>
      </c>
      <c r="C87" s="41">
        <v>12</v>
      </c>
      <c r="D87" s="5">
        <f t="shared" si="2"/>
        <v>6</v>
      </c>
      <c r="E87" s="5"/>
      <c r="F87" s="8" t="s">
        <v>189</v>
      </c>
      <c r="G87" s="10" t="s">
        <v>162</v>
      </c>
      <c r="H87" s="10" t="s">
        <v>190</v>
      </c>
      <c r="I87" s="16" t="s">
        <v>699</v>
      </c>
      <c r="J87" s="6" t="s">
        <v>643</v>
      </c>
      <c r="K87" s="2">
        <v>1</v>
      </c>
    </row>
    <row r="88" spans="1:12" s="1" customFormat="1" ht="15" customHeight="1">
      <c r="A88" s="7">
        <f t="shared" si="3"/>
        <v>86</v>
      </c>
      <c r="B88" s="41">
        <v>1</v>
      </c>
      <c r="C88" s="41">
        <v>12</v>
      </c>
      <c r="D88" s="5">
        <f t="shared" si="2"/>
        <v>7</v>
      </c>
      <c r="E88" s="5"/>
      <c r="F88" s="8" t="s">
        <v>191</v>
      </c>
      <c r="G88" s="10" t="s">
        <v>162</v>
      </c>
      <c r="H88" s="10" t="s">
        <v>582</v>
      </c>
      <c r="I88" s="16" t="s">
        <v>700</v>
      </c>
      <c r="J88" s="77" t="s">
        <v>642</v>
      </c>
      <c r="K88" s="76">
        <v>3</v>
      </c>
      <c r="L88" s="1" t="s">
        <v>701</v>
      </c>
    </row>
    <row r="89" spans="1:12" s="1" customFormat="1" ht="15" customHeight="1">
      <c r="A89" s="7">
        <f t="shared" si="3"/>
        <v>87</v>
      </c>
      <c r="B89" s="41">
        <v>1</v>
      </c>
      <c r="C89" s="41">
        <v>12</v>
      </c>
      <c r="D89" s="5">
        <f t="shared" si="2"/>
        <v>8</v>
      </c>
      <c r="E89" s="5"/>
      <c r="F89" s="8" t="s">
        <v>192</v>
      </c>
      <c r="G89" s="10" t="s">
        <v>162</v>
      </c>
      <c r="H89" s="37"/>
      <c r="I89" s="16" t="s">
        <v>702</v>
      </c>
      <c r="J89" s="77" t="s">
        <v>642</v>
      </c>
      <c r="K89" s="2">
        <v>0</v>
      </c>
      <c r="L89" s="1" t="s">
        <v>808</v>
      </c>
    </row>
    <row r="90" spans="1:12" s="1" customFormat="1" ht="15" customHeight="1">
      <c r="A90" s="7">
        <f t="shared" si="3"/>
        <v>88</v>
      </c>
      <c r="B90" s="41">
        <v>1</v>
      </c>
      <c r="C90" s="41">
        <v>12</v>
      </c>
      <c r="D90" s="5">
        <f t="shared" si="2"/>
        <v>9</v>
      </c>
      <c r="E90" s="5"/>
      <c r="F90" s="8" t="s">
        <v>193</v>
      </c>
      <c r="G90" s="10" t="s">
        <v>162</v>
      </c>
      <c r="H90" s="10" t="s">
        <v>194</v>
      </c>
      <c r="I90" s="16" t="s">
        <v>692</v>
      </c>
      <c r="J90" s="6" t="s">
        <v>643</v>
      </c>
      <c r="K90" s="2">
        <v>3</v>
      </c>
    </row>
    <row r="91" spans="1:12" s="1" customFormat="1" ht="15" customHeight="1">
      <c r="A91" s="7">
        <f t="shared" si="3"/>
        <v>89</v>
      </c>
      <c r="B91" s="41">
        <v>1</v>
      </c>
      <c r="C91" s="41">
        <v>12</v>
      </c>
      <c r="D91" s="5">
        <f t="shared" si="2"/>
        <v>10</v>
      </c>
      <c r="E91" s="5"/>
      <c r="F91" s="8" t="s">
        <v>693</v>
      </c>
      <c r="G91" s="10" t="s">
        <v>162</v>
      </c>
      <c r="H91" s="37"/>
      <c r="I91" s="16" t="s">
        <v>694</v>
      </c>
      <c r="J91" s="77" t="s">
        <v>642</v>
      </c>
      <c r="K91" s="2">
        <v>5</v>
      </c>
      <c r="L91" s="1" t="s">
        <v>695</v>
      </c>
    </row>
    <row r="92" spans="1:12" s="1" customFormat="1" ht="15" customHeight="1">
      <c r="A92" s="7">
        <f t="shared" si="3"/>
        <v>90</v>
      </c>
      <c r="B92" s="41">
        <v>1</v>
      </c>
      <c r="C92" s="41">
        <v>12</v>
      </c>
      <c r="D92" s="5">
        <f t="shared" si="2"/>
        <v>11</v>
      </c>
      <c r="E92" s="5"/>
      <c r="F92" s="15" t="s">
        <v>196</v>
      </c>
      <c r="G92" s="10" t="s">
        <v>162</v>
      </c>
      <c r="H92" s="16" t="s">
        <v>197</v>
      </c>
      <c r="I92" s="16" t="s">
        <v>696</v>
      </c>
      <c r="J92" s="6" t="s">
        <v>643</v>
      </c>
      <c r="K92" s="2">
        <v>4</v>
      </c>
    </row>
    <row r="93" spans="1:12" s="1" customFormat="1" ht="15" customHeight="1">
      <c r="A93" s="7">
        <f t="shared" si="3"/>
        <v>91</v>
      </c>
      <c r="B93" s="41">
        <v>1</v>
      </c>
      <c r="C93" s="41">
        <v>12</v>
      </c>
      <c r="D93" s="5">
        <f t="shared" si="2"/>
        <v>12</v>
      </c>
      <c r="E93" s="13"/>
      <c r="F93" s="15" t="s">
        <v>198</v>
      </c>
      <c r="G93" s="10" t="s">
        <v>162</v>
      </c>
      <c r="H93" s="16" t="s">
        <v>199</v>
      </c>
      <c r="I93" s="16" t="s">
        <v>697</v>
      </c>
      <c r="J93" s="6" t="s">
        <v>643</v>
      </c>
      <c r="K93" s="2">
        <v>0</v>
      </c>
    </row>
    <row r="94" spans="1:12" s="1" customFormat="1" ht="15" customHeight="1">
      <c r="A94" s="7">
        <f t="shared" si="3"/>
        <v>92</v>
      </c>
      <c r="B94" s="41">
        <v>1</v>
      </c>
      <c r="C94" s="41">
        <v>12</v>
      </c>
      <c r="D94" s="5">
        <f t="shared" si="2"/>
        <v>13</v>
      </c>
      <c r="E94" s="14"/>
      <c r="F94" s="15" t="s">
        <v>482</v>
      </c>
      <c r="G94" s="16" t="s">
        <v>162</v>
      </c>
      <c r="H94" s="16" t="s">
        <v>570</v>
      </c>
      <c r="I94" s="16" t="s">
        <v>688</v>
      </c>
      <c r="J94" s="6" t="s">
        <v>643</v>
      </c>
      <c r="K94" s="2">
        <v>4</v>
      </c>
    </row>
    <row r="95" spans="1:12" s="1" customFormat="1" ht="15" customHeight="1">
      <c r="A95" s="7">
        <f t="shared" si="3"/>
        <v>93</v>
      </c>
      <c r="B95" s="41">
        <v>1</v>
      </c>
      <c r="C95" s="41">
        <v>12</v>
      </c>
      <c r="D95" s="5">
        <f t="shared" si="2"/>
        <v>14</v>
      </c>
      <c r="E95" s="14"/>
      <c r="F95" s="8" t="s">
        <v>201</v>
      </c>
      <c r="G95" s="10" t="s">
        <v>162</v>
      </c>
      <c r="H95" s="10" t="s">
        <v>202</v>
      </c>
      <c r="I95" s="16" t="s">
        <v>689</v>
      </c>
      <c r="J95" s="6" t="s">
        <v>643</v>
      </c>
      <c r="K95" s="2">
        <v>1</v>
      </c>
    </row>
    <row r="96" spans="1:12" s="1" customFormat="1" ht="15" customHeight="1">
      <c r="A96" s="7">
        <f t="shared" si="3"/>
        <v>94</v>
      </c>
      <c r="B96" s="41">
        <v>1</v>
      </c>
      <c r="C96" s="41">
        <v>12</v>
      </c>
      <c r="D96" s="5">
        <f t="shared" si="2"/>
        <v>15</v>
      </c>
      <c r="E96" s="5"/>
      <c r="F96" s="8" t="s">
        <v>204</v>
      </c>
      <c r="G96" s="10" t="s">
        <v>162</v>
      </c>
      <c r="H96" s="10" t="s">
        <v>205</v>
      </c>
      <c r="I96" s="16" t="s">
        <v>690</v>
      </c>
      <c r="J96" s="6" t="s">
        <v>643</v>
      </c>
      <c r="K96" s="2">
        <v>3</v>
      </c>
    </row>
    <row r="97" spans="1:11" s="1" customFormat="1" ht="15" customHeight="1" thickBot="1">
      <c r="A97" s="60">
        <f t="shared" si="3"/>
        <v>95</v>
      </c>
      <c r="B97" s="61">
        <v>1</v>
      </c>
      <c r="C97" s="61">
        <v>12</v>
      </c>
      <c r="D97" s="62">
        <f t="shared" si="2"/>
        <v>16</v>
      </c>
      <c r="E97" s="63"/>
      <c r="F97" s="64" t="s">
        <v>206</v>
      </c>
      <c r="G97" s="65" t="s">
        <v>162</v>
      </c>
      <c r="H97" s="65" t="s">
        <v>207</v>
      </c>
      <c r="I97" s="66" t="s">
        <v>691</v>
      </c>
      <c r="J97" s="6" t="s">
        <v>643</v>
      </c>
      <c r="K97" s="2">
        <v>2</v>
      </c>
    </row>
    <row r="98" spans="1:11" s="1" customFormat="1" ht="15" customHeight="1" thickTop="1">
      <c r="A98" s="67">
        <f t="shared" si="3"/>
        <v>96</v>
      </c>
      <c r="B98" s="68">
        <v>2</v>
      </c>
      <c r="C98" s="68">
        <v>1</v>
      </c>
      <c r="D98" s="69">
        <f>IF(AND(B97=B98,C97=C98),D97+1,1)</f>
        <v>1</v>
      </c>
      <c r="E98" s="5" t="s">
        <v>863</v>
      </c>
      <c r="F98" s="70" t="s">
        <v>209</v>
      </c>
      <c r="G98" s="71" t="s">
        <v>433</v>
      </c>
      <c r="H98" s="72" t="s">
        <v>211</v>
      </c>
      <c r="I98" s="72" t="s">
        <v>710</v>
      </c>
      <c r="J98" s="6" t="s">
        <v>643</v>
      </c>
      <c r="K98" s="2">
        <v>0</v>
      </c>
    </row>
    <row r="99" spans="1:11" s="1" customFormat="1" ht="15" customHeight="1">
      <c r="A99" s="7">
        <f t="shared" si="3"/>
        <v>97</v>
      </c>
      <c r="B99" s="44">
        <v>2</v>
      </c>
      <c r="C99" s="44">
        <v>1</v>
      </c>
      <c r="D99" s="5">
        <f t="shared" si="2"/>
        <v>2</v>
      </c>
      <c r="E99" s="14"/>
      <c r="F99" s="15" t="s">
        <v>212</v>
      </c>
      <c r="G99" s="9" t="s">
        <v>210</v>
      </c>
      <c r="H99" s="10" t="s">
        <v>213</v>
      </c>
      <c r="I99" s="16" t="s">
        <v>708</v>
      </c>
      <c r="J99" s="77" t="s">
        <v>642</v>
      </c>
      <c r="K99" s="2">
        <v>5</v>
      </c>
    </row>
    <row r="100" spans="1:11" s="1" customFormat="1" ht="15" customHeight="1">
      <c r="A100" s="7">
        <f t="shared" si="3"/>
        <v>98</v>
      </c>
      <c r="B100" s="44">
        <v>2</v>
      </c>
      <c r="C100" s="44">
        <v>1</v>
      </c>
      <c r="D100" s="5">
        <f t="shared" si="2"/>
        <v>3</v>
      </c>
      <c r="E100" s="13"/>
      <c r="F100" s="8" t="s">
        <v>214</v>
      </c>
      <c r="G100" s="26" t="s">
        <v>518</v>
      </c>
      <c r="H100" s="10" t="s">
        <v>215</v>
      </c>
      <c r="I100" s="16" t="s">
        <v>709</v>
      </c>
      <c r="J100" s="6" t="s">
        <v>643</v>
      </c>
      <c r="K100" s="2">
        <v>1</v>
      </c>
    </row>
    <row r="101" spans="1:11" s="1" customFormat="1" ht="15" customHeight="1">
      <c r="A101" s="7">
        <f t="shared" si="3"/>
        <v>99</v>
      </c>
      <c r="B101" s="44">
        <v>2</v>
      </c>
      <c r="C101" s="44">
        <v>1</v>
      </c>
      <c r="D101" s="5">
        <f t="shared" si="2"/>
        <v>4</v>
      </c>
      <c r="E101" s="13"/>
      <c r="F101" s="8" t="s">
        <v>216</v>
      </c>
      <c r="G101" s="12" t="s">
        <v>210</v>
      </c>
      <c r="H101" s="10" t="s">
        <v>217</v>
      </c>
      <c r="I101" s="16" t="s">
        <v>559</v>
      </c>
      <c r="J101" s="6" t="s">
        <v>643</v>
      </c>
      <c r="K101" s="2">
        <v>1</v>
      </c>
    </row>
    <row r="102" spans="1:11" s="1" customFormat="1" ht="15" customHeight="1">
      <c r="A102" s="7">
        <f t="shared" si="3"/>
        <v>100</v>
      </c>
      <c r="B102" s="44">
        <v>2</v>
      </c>
      <c r="C102" s="44">
        <v>1</v>
      </c>
      <c r="D102" s="5">
        <f t="shared" si="2"/>
        <v>5</v>
      </c>
      <c r="E102" s="5"/>
      <c r="F102" s="8" t="s">
        <v>218</v>
      </c>
      <c r="G102" s="12" t="s">
        <v>210</v>
      </c>
      <c r="H102" s="42" t="s">
        <v>219</v>
      </c>
      <c r="I102" s="16" t="s">
        <v>220</v>
      </c>
      <c r="J102" s="78"/>
      <c r="K102" s="81"/>
    </row>
    <row r="103" spans="1:11" s="1" customFormat="1" ht="15" customHeight="1">
      <c r="A103" s="7">
        <f t="shared" si="3"/>
        <v>101</v>
      </c>
      <c r="B103" s="44">
        <v>2</v>
      </c>
      <c r="C103" s="44">
        <v>1</v>
      </c>
      <c r="D103" s="5">
        <f t="shared" si="2"/>
        <v>6</v>
      </c>
      <c r="E103" s="5"/>
      <c r="F103" s="8" t="s">
        <v>221</v>
      </c>
      <c r="G103" s="12" t="s">
        <v>210</v>
      </c>
      <c r="H103" s="10" t="s">
        <v>222</v>
      </c>
      <c r="I103" s="16" t="s">
        <v>558</v>
      </c>
      <c r="J103" s="78"/>
      <c r="K103" s="81"/>
    </row>
    <row r="104" spans="1:11" s="1" customFormat="1" ht="15" customHeight="1">
      <c r="A104" s="7">
        <f t="shared" si="3"/>
        <v>102</v>
      </c>
      <c r="B104" s="44">
        <v>2</v>
      </c>
      <c r="C104" s="44">
        <v>1</v>
      </c>
      <c r="D104" s="5">
        <f t="shared" si="2"/>
        <v>7</v>
      </c>
      <c r="E104" s="28" t="s">
        <v>862</v>
      </c>
      <c r="F104" s="8" t="s">
        <v>223</v>
      </c>
      <c r="G104" s="12" t="s">
        <v>224</v>
      </c>
      <c r="H104" s="10" t="s">
        <v>225</v>
      </c>
      <c r="I104" s="16" t="s">
        <v>707</v>
      </c>
      <c r="J104" s="77" t="s">
        <v>642</v>
      </c>
      <c r="K104" s="2">
        <v>4</v>
      </c>
    </row>
    <row r="105" spans="1:11" s="1" customFormat="1" ht="15" customHeight="1">
      <c r="A105" s="7">
        <f t="shared" si="3"/>
        <v>103</v>
      </c>
      <c r="B105" s="44">
        <v>2</v>
      </c>
      <c r="C105" s="44">
        <v>1</v>
      </c>
      <c r="D105" s="5">
        <f t="shared" si="2"/>
        <v>8</v>
      </c>
      <c r="E105" s="5"/>
      <c r="F105" s="8" t="s">
        <v>226</v>
      </c>
      <c r="G105" s="12" t="s">
        <v>210</v>
      </c>
      <c r="H105" s="12" t="s">
        <v>227</v>
      </c>
      <c r="I105" s="16" t="s">
        <v>711</v>
      </c>
      <c r="J105" s="77" t="s">
        <v>642</v>
      </c>
      <c r="K105" s="2">
        <v>2</v>
      </c>
    </row>
    <row r="106" spans="1:11" s="1" customFormat="1" ht="15" customHeight="1">
      <c r="A106" s="7">
        <f t="shared" si="3"/>
        <v>104</v>
      </c>
      <c r="B106" s="45">
        <v>2</v>
      </c>
      <c r="C106" s="45">
        <v>2</v>
      </c>
      <c r="D106" s="5">
        <f>IF(AND(B104=B106,C104=C106),D104+1,1)</f>
        <v>1</v>
      </c>
      <c r="E106" s="14"/>
      <c r="F106" s="8" t="s">
        <v>452</v>
      </c>
      <c r="G106" s="12" t="s">
        <v>210</v>
      </c>
      <c r="H106" s="10" t="s">
        <v>228</v>
      </c>
      <c r="I106" s="16" t="s">
        <v>712</v>
      </c>
      <c r="J106" s="6" t="s">
        <v>643</v>
      </c>
      <c r="K106" s="2">
        <v>4</v>
      </c>
    </row>
    <row r="107" spans="1:11" s="1" customFormat="1" ht="15" customHeight="1">
      <c r="A107" s="7">
        <f t="shared" si="3"/>
        <v>105</v>
      </c>
      <c r="B107" s="45">
        <v>2</v>
      </c>
      <c r="C107" s="45">
        <v>2</v>
      </c>
      <c r="D107" s="5">
        <f t="shared" si="2"/>
        <v>2</v>
      </c>
      <c r="E107" s="13"/>
      <c r="F107" s="8" t="s">
        <v>229</v>
      </c>
      <c r="G107" s="12" t="s">
        <v>210</v>
      </c>
      <c r="H107" s="10" t="s">
        <v>230</v>
      </c>
      <c r="I107" s="16" t="s">
        <v>231</v>
      </c>
      <c r="J107" s="6" t="s">
        <v>643</v>
      </c>
      <c r="K107" s="2">
        <v>1</v>
      </c>
    </row>
    <row r="108" spans="1:11" s="1" customFormat="1" ht="15" customHeight="1">
      <c r="A108" s="7">
        <f t="shared" si="3"/>
        <v>106</v>
      </c>
      <c r="B108" s="45">
        <v>2</v>
      </c>
      <c r="C108" s="45">
        <v>2</v>
      </c>
      <c r="D108" s="5">
        <f t="shared" si="2"/>
        <v>3</v>
      </c>
      <c r="E108" s="5" t="s">
        <v>863</v>
      </c>
      <c r="F108" s="8" t="s">
        <v>232</v>
      </c>
      <c r="G108" s="12" t="s">
        <v>210</v>
      </c>
      <c r="H108" s="10" t="s">
        <v>233</v>
      </c>
      <c r="I108" s="16" t="s">
        <v>234</v>
      </c>
      <c r="J108" s="6" t="s">
        <v>643</v>
      </c>
      <c r="K108" s="2">
        <v>2</v>
      </c>
    </row>
    <row r="109" spans="1:11" s="1" customFormat="1" ht="15" customHeight="1">
      <c r="A109" s="7">
        <f t="shared" si="3"/>
        <v>107</v>
      </c>
      <c r="B109" s="45">
        <v>2</v>
      </c>
      <c r="C109" s="45">
        <v>2</v>
      </c>
      <c r="D109" s="5">
        <f t="shared" si="2"/>
        <v>4</v>
      </c>
      <c r="E109" s="5"/>
      <c r="F109" s="8" t="s">
        <v>235</v>
      </c>
      <c r="G109" s="12" t="s">
        <v>236</v>
      </c>
      <c r="H109" s="10" t="s">
        <v>237</v>
      </c>
      <c r="I109" s="16" t="s">
        <v>561</v>
      </c>
      <c r="J109" s="77" t="s">
        <v>642</v>
      </c>
      <c r="K109" s="2">
        <v>1</v>
      </c>
    </row>
    <row r="110" spans="1:11" s="1" customFormat="1" ht="15" customHeight="1">
      <c r="A110" s="7">
        <f t="shared" si="3"/>
        <v>108</v>
      </c>
      <c r="B110" s="45">
        <v>2</v>
      </c>
      <c r="C110" s="45">
        <v>2</v>
      </c>
      <c r="D110" s="5">
        <f t="shared" si="2"/>
        <v>5</v>
      </c>
      <c r="E110" s="28" t="s">
        <v>862</v>
      </c>
      <c r="F110" s="8" t="s">
        <v>238</v>
      </c>
      <c r="G110" s="25" t="s">
        <v>239</v>
      </c>
      <c r="H110" s="10" t="s">
        <v>240</v>
      </c>
      <c r="I110" s="16" t="s">
        <v>713</v>
      </c>
      <c r="J110" s="77" t="s">
        <v>642</v>
      </c>
      <c r="K110" s="2">
        <v>1</v>
      </c>
    </row>
    <row r="111" spans="1:11" s="1" customFormat="1" ht="15" customHeight="1">
      <c r="A111" s="7">
        <f t="shared" si="3"/>
        <v>109</v>
      </c>
      <c r="B111" s="46">
        <v>2</v>
      </c>
      <c r="C111" s="46">
        <v>3</v>
      </c>
      <c r="D111" s="5">
        <f t="shared" si="2"/>
        <v>1</v>
      </c>
      <c r="E111" s="5" t="s">
        <v>863</v>
      </c>
      <c r="F111" s="8" t="s">
        <v>241</v>
      </c>
      <c r="G111" s="12" t="s">
        <v>242</v>
      </c>
      <c r="H111" s="10" t="s">
        <v>243</v>
      </c>
      <c r="I111" s="16" t="s">
        <v>565</v>
      </c>
      <c r="J111" s="6" t="s">
        <v>643</v>
      </c>
      <c r="K111" s="2">
        <v>1</v>
      </c>
    </row>
    <row r="112" spans="1:11" s="1" customFormat="1" ht="15" customHeight="1">
      <c r="A112" s="87">
        <f t="shared" si="3"/>
        <v>110</v>
      </c>
      <c r="B112" s="88">
        <v>2</v>
      </c>
      <c r="C112" s="88">
        <v>3</v>
      </c>
      <c r="D112" s="86">
        <f t="shared" si="2"/>
        <v>2</v>
      </c>
      <c r="E112" s="86"/>
      <c r="F112" s="89" t="s">
        <v>244</v>
      </c>
      <c r="G112" s="90" t="s">
        <v>242</v>
      </c>
      <c r="H112" s="91" t="s">
        <v>245</v>
      </c>
      <c r="I112" s="91" t="s">
        <v>809</v>
      </c>
      <c r="J112" s="82"/>
      <c r="K112" s="83"/>
    </row>
    <row r="113" spans="1:12" s="1" customFormat="1" ht="15" customHeight="1">
      <c r="A113" s="7">
        <f t="shared" si="3"/>
        <v>111</v>
      </c>
      <c r="B113" s="46">
        <v>2</v>
      </c>
      <c r="C113" s="46">
        <v>3</v>
      </c>
      <c r="D113" s="5">
        <f t="shared" si="2"/>
        <v>3</v>
      </c>
      <c r="E113" s="14"/>
      <c r="F113" s="15" t="s">
        <v>246</v>
      </c>
      <c r="G113" s="12" t="s">
        <v>242</v>
      </c>
      <c r="H113" s="10" t="s">
        <v>247</v>
      </c>
      <c r="I113" s="16" t="s">
        <v>716</v>
      </c>
      <c r="J113" s="6" t="s">
        <v>643</v>
      </c>
      <c r="K113" s="2">
        <v>1</v>
      </c>
    </row>
    <row r="114" spans="1:12" s="1" customFormat="1" ht="15" customHeight="1">
      <c r="A114" s="7">
        <f t="shared" si="3"/>
        <v>112</v>
      </c>
      <c r="B114" s="46">
        <v>2</v>
      </c>
      <c r="C114" s="46">
        <v>3</v>
      </c>
      <c r="D114" s="5">
        <f t="shared" si="2"/>
        <v>4</v>
      </c>
      <c r="E114" s="28" t="s">
        <v>862</v>
      </c>
      <c r="F114" s="15" t="s">
        <v>248</v>
      </c>
      <c r="G114" s="26" t="s">
        <v>249</v>
      </c>
      <c r="H114" s="16" t="s">
        <v>250</v>
      </c>
      <c r="I114" s="16" t="s">
        <v>717</v>
      </c>
      <c r="J114" s="6" t="s">
        <v>643</v>
      </c>
      <c r="K114" s="2">
        <v>2</v>
      </c>
    </row>
    <row r="115" spans="1:12" s="1" customFormat="1" ht="15" customHeight="1">
      <c r="A115" s="7">
        <f t="shared" si="3"/>
        <v>113</v>
      </c>
      <c r="B115" s="46">
        <v>2</v>
      </c>
      <c r="C115" s="46">
        <v>3</v>
      </c>
      <c r="D115" s="5">
        <f t="shared" si="2"/>
        <v>5</v>
      </c>
      <c r="E115" s="13"/>
      <c r="F115" s="15" t="s">
        <v>714</v>
      </c>
      <c r="G115" s="26" t="s">
        <v>249</v>
      </c>
      <c r="H115" s="16" t="s">
        <v>252</v>
      </c>
      <c r="I115" s="16" t="s">
        <v>715</v>
      </c>
      <c r="J115" s="6" t="s">
        <v>643</v>
      </c>
      <c r="K115" s="2">
        <v>0</v>
      </c>
    </row>
    <row r="116" spans="1:12" s="1" customFormat="1" ht="15" customHeight="1">
      <c r="A116" s="7">
        <f t="shared" si="3"/>
        <v>114</v>
      </c>
      <c r="B116" s="46">
        <v>2</v>
      </c>
      <c r="C116" s="46">
        <v>3</v>
      </c>
      <c r="D116" s="5">
        <f t="shared" si="2"/>
        <v>6</v>
      </c>
      <c r="E116" s="13"/>
      <c r="F116" s="15" t="s">
        <v>463</v>
      </c>
      <c r="G116" s="26" t="s">
        <v>242</v>
      </c>
      <c r="H116" s="16"/>
      <c r="I116" s="24" t="s">
        <v>461</v>
      </c>
      <c r="J116" s="78"/>
      <c r="K116" s="81"/>
    </row>
    <row r="117" spans="1:12" s="1" customFormat="1" ht="15" customHeight="1">
      <c r="A117" s="7">
        <f t="shared" si="3"/>
        <v>115</v>
      </c>
      <c r="B117" s="33">
        <v>2</v>
      </c>
      <c r="C117" s="33">
        <v>4</v>
      </c>
      <c r="D117" s="5">
        <f>IF(AND(B115=B117,C115=C117),D115+1,1)</f>
        <v>1</v>
      </c>
      <c r="E117" s="5" t="s">
        <v>863</v>
      </c>
      <c r="F117" s="8" t="s">
        <v>253</v>
      </c>
      <c r="G117" s="12" t="s">
        <v>254</v>
      </c>
      <c r="H117" s="10" t="s">
        <v>255</v>
      </c>
      <c r="I117" s="16" t="s">
        <v>719</v>
      </c>
      <c r="J117" s="6" t="s">
        <v>643</v>
      </c>
      <c r="K117" s="2">
        <v>3</v>
      </c>
    </row>
    <row r="118" spans="1:12" s="1" customFormat="1" ht="15" customHeight="1">
      <c r="A118" s="7">
        <f t="shared" si="3"/>
        <v>116</v>
      </c>
      <c r="B118" s="33">
        <v>2</v>
      </c>
      <c r="C118" s="33">
        <v>4</v>
      </c>
      <c r="D118" s="5">
        <f t="shared" si="2"/>
        <v>2</v>
      </c>
      <c r="E118" s="5"/>
      <c r="F118" s="8" t="s">
        <v>256</v>
      </c>
      <c r="G118" s="12" t="s">
        <v>257</v>
      </c>
      <c r="H118" s="10" t="s">
        <v>258</v>
      </c>
      <c r="I118" s="16" t="s">
        <v>566</v>
      </c>
      <c r="J118" s="77" t="s">
        <v>642</v>
      </c>
      <c r="K118" s="2">
        <v>0</v>
      </c>
      <c r="L118" s="1" t="s">
        <v>720</v>
      </c>
    </row>
    <row r="119" spans="1:12" s="1" customFormat="1" ht="15" customHeight="1">
      <c r="A119" s="7">
        <f t="shared" si="3"/>
        <v>117</v>
      </c>
      <c r="B119" s="33">
        <v>2</v>
      </c>
      <c r="C119" s="33">
        <v>4</v>
      </c>
      <c r="D119" s="5">
        <f t="shared" si="2"/>
        <v>3</v>
      </c>
      <c r="E119" s="13"/>
      <c r="F119" s="15" t="s">
        <v>259</v>
      </c>
      <c r="G119" s="26" t="s">
        <v>254</v>
      </c>
      <c r="H119" s="16" t="s">
        <v>260</v>
      </c>
      <c r="I119" s="16" t="s">
        <v>722</v>
      </c>
      <c r="J119" s="77" t="s">
        <v>642</v>
      </c>
      <c r="K119" s="2">
        <v>1</v>
      </c>
    </row>
    <row r="120" spans="1:12" s="1" customFormat="1" ht="15" customHeight="1">
      <c r="A120" s="7">
        <f t="shared" si="3"/>
        <v>118</v>
      </c>
      <c r="B120" s="33">
        <v>2</v>
      </c>
      <c r="C120" s="33">
        <v>4</v>
      </c>
      <c r="D120" s="5">
        <f t="shared" si="2"/>
        <v>4</v>
      </c>
      <c r="E120" s="28" t="s">
        <v>862</v>
      </c>
      <c r="F120" s="15" t="s">
        <v>261</v>
      </c>
      <c r="G120" s="10" t="s">
        <v>262</v>
      </c>
      <c r="H120" s="10" t="s">
        <v>263</v>
      </c>
      <c r="I120" s="16" t="s">
        <v>721</v>
      </c>
      <c r="J120" s="6" t="s">
        <v>643</v>
      </c>
      <c r="K120" s="2">
        <v>5</v>
      </c>
    </row>
    <row r="121" spans="1:12" s="1" customFormat="1" ht="15" customHeight="1">
      <c r="A121" s="7">
        <f t="shared" si="3"/>
        <v>119</v>
      </c>
      <c r="B121" s="33">
        <v>2</v>
      </c>
      <c r="C121" s="33">
        <v>4</v>
      </c>
      <c r="D121" s="5">
        <f t="shared" si="2"/>
        <v>5</v>
      </c>
      <c r="E121" s="14"/>
      <c r="F121" s="8" t="s">
        <v>264</v>
      </c>
      <c r="G121" s="26" t="s">
        <v>257</v>
      </c>
      <c r="H121" s="10" t="s">
        <v>265</v>
      </c>
      <c r="I121" s="16" t="s">
        <v>718</v>
      </c>
      <c r="J121" s="77" t="s">
        <v>642</v>
      </c>
      <c r="K121" s="2">
        <v>1</v>
      </c>
    </row>
    <row r="122" spans="1:12" s="1" customFormat="1" ht="15" customHeight="1">
      <c r="A122" s="7">
        <f t="shared" si="3"/>
        <v>120</v>
      </c>
      <c r="B122" s="44">
        <v>2</v>
      </c>
      <c r="C122" s="44">
        <v>5</v>
      </c>
      <c r="D122" s="5">
        <f t="shared" si="2"/>
        <v>1</v>
      </c>
      <c r="E122" s="5"/>
      <c r="F122" s="8" t="s">
        <v>435</v>
      </c>
      <c r="G122" s="26" t="s">
        <v>266</v>
      </c>
      <c r="H122" s="10" t="s">
        <v>267</v>
      </c>
      <c r="I122" s="16" t="s">
        <v>723</v>
      </c>
      <c r="J122" s="6" t="s">
        <v>643</v>
      </c>
      <c r="K122" s="2">
        <v>2</v>
      </c>
    </row>
    <row r="123" spans="1:12" s="1" customFormat="1" ht="15" customHeight="1">
      <c r="A123" s="7">
        <f t="shared" si="3"/>
        <v>121</v>
      </c>
      <c r="B123" s="44">
        <v>2</v>
      </c>
      <c r="C123" s="44">
        <v>5</v>
      </c>
      <c r="D123" s="5">
        <f t="shared" si="2"/>
        <v>2</v>
      </c>
      <c r="E123" s="28" t="s">
        <v>862</v>
      </c>
      <c r="F123" s="8" t="s">
        <v>268</v>
      </c>
      <c r="G123" s="26" t="s">
        <v>266</v>
      </c>
      <c r="H123" s="10" t="s">
        <v>269</v>
      </c>
      <c r="I123" s="16" t="s">
        <v>727</v>
      </c>
      <c r="J123" s="6" t="s">
        <v>643</v>
      </c>
      <c r="K123" s="2">
        <v>2</v>
      </c>
    </row>
    <row r="124" spans="1:12" s="1" customFormat="1" ht="15" customHeight="1">
      <c r="A124" s="7">
        <f t="shared" si="3"/>
        <v>122</v>
      </c>
      <c r="B124" s="44">
        <v>2</v>
      </c>
      <c r="C124" s="44">
        <v>5</v>
      </c>
      <c r="D124" s="5">
        <f t="shared" si="2"/>
        <v>3</v>
      </c>
      <c r="E124" s="5"/>
      <c r="F124" s="8" t="s">
        <v>271</v>
      </c>
      <c r="G124" s="26" t="s">
        <v>254</v>
      </c>
      <c r="H124" s="10" t="s">
        <v>272</v>
      </c>
      <c r="I124" s="16" t="s">
        <v>725</v>
      </c>
      <c r="J124" s="6" t="s">
        <v>643</v>
      </c>
      <c r="K124" s="2">
        <v>1</v>
      </c>
    </row>
    <row r="125" spans="1:12" s="1" customFormat="1" ht="15" customHeight="1">
      <c r="A125" s="7">
        <f t="shared" si="3"/>
        <v>123</v>
      </c>
      <c r="B125" s="44">
        <v>2</v>
      </c>
      <c r="C125" s="44">
        <v>5</v>
      </c>
      <c r="D125" s="5">
        <f t="shared" si="2"/>
        <v>4</v>
      </c>
      <c r="E125" s="5" t="s">
        <v>863</v>
      </c>
      <c r="F125" s="8" t="s">
        <v>273</v>
      </c>
      <c r="G125" s="26" t="s">
        <v>266</v>
      </c>
      <c r="H125" s="10" t="s">
        <v>274</v>
      </c>
      <c r="I125" s="16" t="s">
        <v>729</v>
      </c>
      <c r="J125" s="77" t="s">
        <v>642</v>
      </c>
      <c r="K125" s="2">
        <v>1</v>
      </c>
    </row>
    <row r="126" spans="1:12" s="1" customFormat="1" ht="15" customHeight="1">
      <c r="A126" s="7">
        <f t="shared" si="3"/>
        <v>124</v>
      </c>
      <c r="B126" s="44">
        <v>2</v>
      </c>
      <c r="C126" s="44">
        <v>5</v>
      </c>
      <c r="D126" s="5">
        <f t="shared" si="2"/>
        <v>5</v>
      </c>
      <c r="E126" s="13"/>
      <c r="F126" s="8" t="s">
        <v>275</v>
      </c>
      <c r="G126" s="26" t="s">
        <v>254</v>
      </c>
      <c r="H126" s="10" t="s">
        <v>276</v>
      </c>
      <c r="I126" s="16" t="s">
        <v>726</v>
      </c>
      <c r="J126" s="6" t="s">
        <v>643</v>
      </c>
      <c r="K126" s="2">
        <v>3</v>
      </c>
    </row>
    <row r="127" spans="1:12" s="1" customFormat="1" ht="15" customHeight="1">
      <c r="A127" s="7">
        <f t="shared" si="3"/>
        <v>125</v>
      </c>
      <c r="B127" s="44">
        <v>2</v>
      </c>
      <c r="C127" s="44">
        <v>5</v>
      </c>
      <c r="D127" s="5">
        <f t="shared" si="2"/>
        <v>6</v>
      </c>
      <c r="E127" s="14"/>
      <c r="F127" s="8" t="s">
        <v>277</v>
      </c>
      <c r="G127" s="26" t="s">
        <v>266</v>
      </c>
      <c r="H127" s="10" t="s">
        <v>278</v>
      </c>
      <c r="I127" s="16" t="s">
        <v>728</v>
      </c>
      <c r="J127" s="6" t="s">
        <v>643</v>
      </c>
      <c r="K127" s="2">
        <v>1</v>
      </c>
    </row>
    <row r="128" spans="1:12" s="1" customFormat="1" ht="15" customHeight="1">
      <c r="A128" s="7">
        <f t="shared" si="3"/>
        <v>126</v>
      </c>
      <c r="B128" s="44">
        <v>2</v>
      </c>
      <c r="C128" s="44">
        <v>5</v>
      </c>
      <c r="D128" s="5">
        <f t="shared" si="2"/>
        <v>7</v>
      </c>
      <c r="E128" s="5"/>
      <c r="F128" s="8" t="s">
        <v>279</v>
      </c>
      <c r="G128" s="26" t="s">
        <v>266</v>
      </c>
      <c r="H128" s="10" t="s">
        <v>280</v>
      </c>
      <c r="I128" s="16" t="s">
        <v>724</v>
      </c>
      <c r="J128" s="6" t="s">
        <v>643</v>
      </c>
      <c r="K128" s="2">
        <v>1</v>
      </c>
    </row>
    <row r="129" spans="1:12" s="1" customFormat="1" ht="15" customHeight="1">
      <c r="A129" s="7">
        <f t="shared" si="3"/>
        <v>127</v>
      </c>
      <c r="B129" s="44">
        <v>2</v>
      </c>
      <c r="C129" s="44">
        <v>5</v>
      </c>
      <c r="D129" s="5">
        <f t="shared" si="2"/>
        <v>8</v>
      </c>
      <c r="E129" s="13"/>
      <c r="F129" s="8" t="s">
        <v>281</v>
      </c>
      <c r="G129" s="26" t="s">
        <v>254</v>
      </c>
      <c r="H129" s="10" t="s">
        <v>282</v>
      </c>
      <c r="I129" s="16"/>
      <c r="J129" s="78"/>
      <c r="K129" s="81"/>
    </row>
    <row r="130" spans="1:12" s="1" customFormat="1" ht="15" customHeight="1">
      <c r="A130" s="7">
        <f t="shared" si="3"/>
        <v>128</v>
      </c>
      <c r="B130" s="44">
        <v>2</v>
      </c>
      <c r="C130" s="44">
        <v>5</v>
      </c>
      <c r="D130" s="5">
        <f t="shared" si="2"/>
        <v>9</v>
      </c>
      <c r="E130" s="14"/>
      <c r="F130" s="8" t="s">
        <v>283</v>
      </c>
      <c r="G130" s="38"/>
      <c r="H130" s="37"/>
      <c r="I130" s="24" t="s">
        <v>284</v>
      </c>
      <c r="J130" s="84" t="s">
        <v>285</v>
      </c>
      <c r="K130" s="81"/>
    </row>
    <row r="131" spans="1:12" s="1" customFormat="1" ht="15" customHeight="1">
      <c r="A131" s="7">
        <f t="shared" si="3"/>
        <v>129</v>
      </c>
      <c r="B131" s="46">
        <v>2</v>
      </c>
      <c r="C131" s="46">
        <v>6</v>
      </c>
      <c r="D131" s="5">
        <f>IF(AND(B129=B131,C129=C131),D129+1,1)</f>
        <v>1</v>
      </c>
      <c r="E131" s="28" t="s">
        <v>862</v>
      </c>
      <c r="F131" s="8" t="s">
        <v>286</v>
      </c>
      <c r="G131" s="12" t="s">
        <v>287</v>
      </c>
      <c r="H131" s="10" t="s">
        <v>288</v>
      </c>
      <c r="I131" s="16" t="s">
        <v>735</v>
      </c>
      <c r="J131" s="6" t="s">
        <v>643</v>
      </c>
      <c r="K131" s="2">
        <v>3</v>
      </c>
    </row>
    <row r="132" spans="1:12" s="1" customFormat="1" ht="15" customHeight="1">
      <c r="A132" s="7">
        <f t="shared" si="3"/>
        <v>130</v>
      </c>
      <c r="B132" s="46">
        <v>2</v>
      </c>
      <c r="C132" s="46">
        <v>6</v>
      </c>
      <c r="D132" s="5">
        <f t="shared" si="2"/>
        <v>2</v>
      </c>
      <c r="E132" s="11"/>
      <c r="F132" s="8" t="s">
        <v>289</v>
      </c>
      <c r="G132" s="12" t="s">
        <v>287</v>
      </c>
      <c r="H132" s="10" t="s">
        <v>290</v>
      </c>
      <c r="I132" s="16" t="s">
        <v>732</v>
      </c>
      <c r="J132" s="6" t="s">
        <v>643</v>
      </c>
      <c r="K132" s="2">
        <v>2</v>
      </c>
    </row>
    <row r="133" spans="1:12" s="1" customFormat="1" ht="15" customHeight="1">
      <c r="A133" s="7">
        <f t="shared" si="3"/>
        <v>131</v>
      </c>
      <c r="B133" s="46">
        <v>2</v>
      </c>
      <c r="C133" s="46">
        <v>6</v>
      </c>
      <c r="D133" s="5">
        <f t="shared" ref="D133:D189" si="4">IF(AND(B132=B133,C132=C133),D132+1,1)</f>
        <v>3</v>
      </c>
      <c r="E133" s="14"/>
      <c r="F133" s="8" t="s">
        <v>730</v>
      </c>
      <c r="G133" s="12" t="s">
        <v>287</v>
      </c>
      <c r="H133" s="10" t="s">
        <v>292</v>
      </c>
      <c r="I133" s="16" t="s">
        <v>731</v>
      </c>
      <c r="J133" s="6" t="s">
        <v>643</v>
      </c>
      <c r="K133" s="2">
        <v>3</v>
      </c>
    </row>
    <row r="134" spans="1:12" s="1" customFormat="1" ht="15" customHeight="1">
      <c r="A134" s="7">
        <f t="shared" si="3"/>
        <v>132</v>
      </c>
      <c r="B134" s="46">
        <v>2</v>
      </c>
      <c r="C134" s="46">
        <v>6</v>
      </c>
      <c r="D134" s="5">
        <f t="shared" si="4"/>
        <v>4</v>
      </c>
      <c r="E134" s="5"/>
      <c r="F134" s="8" t="s">
        <v>293</v>
      </c>
      <c r="G134" s="12" t="s">
        <v>287</v>
      </c>
      <c r="H134" s="10" t="s">
        <v>294</v>
      </c>
      <c r="I134" s="16" t="s">
        <v>733</v>
      </c>
      <c r="J134" s="6" t="s">
        <v>643</v>
      </c>
      <c r="K134" s="2">
        <v>2</v>
      </c>
    </row>
    <row r="135" spans="1:12" s="1" customFormat="1" ht="15" customHeight="1">
      <c r="A135" s="7">
        <f t="shared" si="3"/>
        <v>133</v>
      </c>
      <c r="B135" s="46">
        <v>2</v>
      </c>
      <c r="C135" s="46">
        <v>6</v>
      </c>
      <c r="D135" s="5">
        <f t="shared" si="4"/>
        <v>5</v>
      </c>
      <c r="E135" s="5" t="s">
        <v>863</v>
      </c>
      <c r="F135" s="8" t="s">
        <v>295</v>
      </c>
      <c r="G135" s="12" t="s">
        <v>296</v>
      </c>
      <c r="H135" s="10" t="s">
        <v>297</v>
      </c>
      <c r="I135" s="16" t="s">
        <v>734</v>
      </c>
      <c r="J135" s="6" t="s">
        <v>643</v>
      </c>
      <c r="K135" s="2">
        <v>0</v>
      </c>
    </row>
    <row r="136" spans="1:12" s="1" customFormat="1" ht="15" customHeight="1">
      <c r="A136" s="7">
        <f t="shared" ref="A136:A191" si="5">ROW()-2</f>
        <v>134</v>
      </c>
      <c r="B136" s="46">
        <v>2</v>
      </c>
      <c r="C136" s="46">
        <v>6</v>
      </c>
      <c r="D136" s="5">
        <f t="shared" si="4"/>
        <v>6</v>
      </c>
      <c r="E136" s="13"/>
      <c r="F136" s="8" t="s">
        <v>299</v>
      </c>
      <c r="G136" s="12" t="s">
        <v>296</v>
      </c>
      <c r="H136" s="10" t="s">
        <v>300</v>
      </c>
      <c r="I136" s="16"/>
      <c r="J136" s="78"/>
      <c r="K136" s="81"/>
    </row>
    <row r="137" spans="1:12" s="1" customFormat="1" ht="15" customHeight="1">
      <c r="A137" s="7">
        <f t="shared" si="5"/>
        <v>135</v>
      </c>
      <c r="B137" s="29">
        <v>2</v>
      </c>
      <c r="C137" s="29">
        <v>7</v>
      </c>
      <c r="D137" s="5">
        <f t="shared" si="4"/>
        <v>1</v>
      </c>
      <c r="E137" s="28" t="s">
        <v>862</v>
      </c>
      <c r="F137" s="8" t="s">
        <v>301</v>
      </c>
      <c r="G137" s="12" t="s">
        <v>239</v>
      </c>
      <c r="H137" s="16" t="s">
        <v>448</v>
      </c>
      <c r="I137" s="16" t="s">
        <v>743</v>
      </c>
      <c r="J137" s="6" t="s">
        <v>643</v>
      </c>
      <c r="K137" s="2">
        <v>3</v>
      </c>
    </row>
    <row r="138" spans="1:12" s="1" customFormat="1" ht="15" customHeight="1">
      <c r="A138" s="7">
        <f t="shared" si="5"/>
        <v>136</v>
      </c>
      <c r="B138" s="29">
        <v>2</v>
      </c>
      <c r="C138" s="29">
        <v>7</v>
      </c>
      <c r="D138" s="5">
        <f t="shared" si="4"/>
        <v>2</v>
      </c>
      <c r="E138" s="5" t="s">
        <v>863</v>
      </c>
      <c r="F138" s="8" t="s">
        <v>302</v>
      </c>
      <c r="G138" s="12" t="s">
        <v>239</v>
      </c>
      <c r="H138" s="10" t="s">
        <v>303</v>
      </c>
      <c r="I138" s="10" t="s">
        <v>741</v>
      </c>
      <c r="J138" s="6" t="s">
        <v>643</v>
      </c>
      <c r="K138" s="2">
        <v>0</v>
      </c>
    </row>
    <row r="139" spans="1:12" s="1" customFormat="1" ht="15" customHeight="1">
      <c r="A139" s="7">
        <f t="shared" si="5"/>
        <v>137</v>
      </c>
      <c r="B139" s="29">
        <v>2</v>
      </c>
      <c r="C139" s="29">
        <v>7</v>
      </c>
      <c r="D139" s="5">
        <f t="shared" si="4"/>
        <v>3</v>
      </c>
      <c r="E139" s="5"/>
      <c r="F139" s="8" t="s">
        <v>304</v>
      </c>
      <c r="G139" s="12" t="s">
        <v>239</v>
      </c>
      <c r="H139" s="10" t="s">
        <v>305</v>
      </c>
      <c r="I139" s="10" t="s">
        <v>744</v>
      </c>
      <c r="J139" s="6" t="s">
        <v>643</v>
      </c>
      <c r="K139" s="2">
        <v>2</v>
      </c>
    </row>
    <row r="140" spans="1:12" s="1" customFormat="1" ht="15" customHeight="1">
      <c r="A140" s="7">
        <f t="shared" si="5"/>
        <v>138</v>
      </c>
      <c r="B140" s="29">
        <v>2</v>
      </c>
      <c r="C140" s="29">
        <v>7</v>
      </c>
      <c r="D140" s="5">
        <f t="shared" si="4"/>
        <v>4</v>
      </c>
      <c r="E140" s="5"/>
      <c r="F140" s="8" t="s">
        <v>306</v>
      </c>
      <c r="G140" s="12" t="s">
        <v>307</v>
      </c>
      <c r="H140" s="10" t="s">
        <v>308</v>
      </c>
      <c r="I140" s="10" t="s">
        <v>736</v>
      </c>
      <c r="J140" s="6" t="s">
        <v>643</v>
      </c>
      <c r="K140" s="2">
        <v>3</v>
      </c>
    </row>
    <row r="141" spans="1:12" s="1" customFormat="1" ht="15" customHeight="1">
      <c r="A141" s="7">
        <f t="shared" si="5"/>
        <v>139</v>
      </c>
      <c r="B141" s="29">
        <v>2</v>
      </c>
      <c r="C141" s="29">
        <v>7</v>
      </c>
      <c r="D141" s="5">
        <f t="shared" si="4"/>
        <v>5</v>
      </c>
      <c r="E141" s="13"/>
      <c r="F141" s="8" t="s">
        <v>309</v>
      </c>
      <c r="G141" s="12" t="s">
        <v>239</v>
      </c>
      <c r="H141" s="10" t="s">
        <v>310</v>
      </c>
      <c r="I141" s="10" t="s">
        <v>742</v>
      </c>
      <c r="J141" s="6" t="s">
        <v>643</v>
      </c>
      <c r="K141" s="2">
        <v>3</v>
      </c>
    </row>
    <row r="142" spans="1:12" s="1" customFormat="1" ht="15" customHeight="1">
      <c r="A142" s="7">
        <f t="shared" si="5"/>
        <v>140</v>
      </c>
      <c r="B142" s="29">
        <v>2</v>
      </c>
      <c r="C142" s="29">
        <v>7</v>
      </c>
      <c r="D142" s="5">
        <f t="shared" si="4"/>
        <v>6</v>
      </c>
      <c r="E142" s="5"/>
      <c r="F142" s="8" t="s">
        <v>311</v>
      </c>
      <c r="G142" s="26" t="s">
        <v>324</v>
      </c>
      <c r="H142" s="10" t="s">
        <v>312</v>
      </c>
      <c r="I142" s="10" t="s">
        <v>738</v>
      </c>
      <c r="J142" s="77" t="s">
        <v>642</v>
      </c>
      <c r="K142" s="2">
        <v>0</v>
      </c>
    </row>
    <row r="143" spans="1:12" s="1" customFormat="1" ht="15" customHeight="1">
      <c r="A143" s="7">
        <f t="shared" si="5"/>
        <v>141</v>
      </c>
      <c r="B143" s="29">
        <v>2</v>
      </c>
      <c r="C143" s="29">
        <v>7</v>
      </c>
      <c r="D143" s="5">
        <f t="shared" si="4"/>
        <v>7</v>
      </c>
      <c r="E143" s="14"/>
      <c r="F143" s="8" t="s">
        <v>313</v>
      </c>
      <c r="G143" s="26" t="s">
        <v>573</v>
      </c>
      <c r="H143" s="16" t="s">
        <v>314</v>
      </c>
      <c r="I143" s="16" t="s">
        <v>739</v>
      </c>
      <c r="J143" s="77" t="s">
        <v>642</v>
      </c>
      <c r="K143" s="2">
        <v>3</v>
      </c>
      <c r="L143" s="1" t="s">
        <v>740</v>
      </c>
    </row>
    <row r="144" spans="1:12" s="1" customFormat="1" ht="15" customHeight="1">
      <c r="A144" s="7">
        <f t="shared" si="5"/>
        <v>142</v>
      </c>
      <c r="B144" s="29">
        <v>2</v>
      </c>
      <c r="C144" s="29">
        <v>7</v>
      </c>
      <c r="D144" s="5">
        <f t="shared" si="4"/>
        <v>8</v>
      </c>
      <c r="E144" s="13"/>
      <c r="F144" s="8" t="s">
        <v>318</v>
      </c>
      <c r="G144" s="26" t="s">
        <v>319</v>
      </c>
      <c r="H144" s="10" t="s">
        <v>320</v>
      </c>
      <c r="I144" s="10" t="s">
        <v>737</v>
      </c>
      <c r="J144" s="6" t="s">
        <v>643</v>
      </c>
      <c r="K144" s="2">
        <v>5</v>
      </c>
    </row>
    <row r="145" spans="1:12" s="1" customFormat="1" ht="15" customHeight="1">
      <c r="A145" s="7">
        <f t="shared" si="5"/>
        <v>143</v>
      </c>
      <c r="B145" s="29">
        <v>2</v>
      </c>
      <c r="C145" s="29">
        <v>7</v>
      </c>
      <c r="D145" s="5">
        <f t="shared" si="4"/>
        <v>9</v>
      </c>
      <c r="E145" s="13"/>
      <c r="F145" s="8" t="s">
        <v>472</v>
      </c>
      <c r="G145" s="73"/>
      <c r="H145" s="37"/>
      <c r="I145" s="10" t="s">
        <v>476</v>
      </c>
      <c r="J145" s="78"/>
      <c r="K145" s="81"/>
    </row>
    <row r="146" spans="1:12" s="1" customFormat="1" ht="15" customHeight="1">
      <c r="A146" s="7">
        <f t="shared" si="5"/>
        <v>144</v>
      </c>
      <c r="B146" s="46">
        <v>2</v>
      </c>
      <c r="C146" s="46">
        <v>8</v>
      </c>
      <c r="D146" s="5">
        <f>IF(AND(B145=B146,C145=C146),D145+1,1)</f>
        <v>1</v>
      </c>
      <c r="E146" s="28" t="s">
        <v>862</v>
      </c>
      <c r="F146" s="8" t="s">
        <v>749</v>
      </c>
      <c r="G146" s="26" t="s">
        <v>239</v>
      </c>
      <c r="H146" s="10" t="s">
        <v>322</v>
      </c>
      <c r="I146" s="10" t="s">
        <v>750</v>
      </c>
      <c r="J146" s="6" t="s">
        <v>643</v>
      </c>
      <c r="K146" s="2">
        <v>2</v>
      </c>
    </row>
    <row r="147" spans="1:12" s="1" customFormat="1" ht="15" customHeight="1">
      <c r="A147" s="7">
        <f t="shared" si="5"/>
        <v>145</v>
      </c>
      <c r="B147" s="46">
        <v>2</v>
      </c>
      <c r="C147" s="46">
        <v>8</v>
      </c>
      <c r="D147" s="5">
        <f t="shared" si="4"/>
        <v>2</v>
      </c>
      <c r="E147" s="5" t="s">
        <v>863</v>
      </c>
      <c r="F147" s="8" t="s">
        <v>323</v>
      </c>
      <c r="G147" s="26" t="s">
        <v>574</v>
      </c>
      <c r="H147" s="10" t="s">
        <v>325</v>
      </c>
      <c r="I147" s="16"/>
      <c r="J147" s="78"/>
      <c r="K147" s="81"/>
    </row>
    <row r="148" spans="1:12" s="1" customFormat="1" ht="15" customHeight="1">
      <c r="A148" s="7">
        <f t="shared" si="5"/>
        <v>146</v>
      </c>
      <c r="B148" s="46">
        <v>2</v>
      </c>
      <c r="C148" s="46">
        <v>8</v>
      </c>
      <c r="D148" s="5">
        <f t="shared" si="4"/>
        <v>3</v>
      </c>
      <c r="E148" s="5"/>
      <c r="F148" s="8" t="s">
        <v>326</v>
      </c>
      <c r="G148" s="26" t="s">
        <v>324</v>
      </c>
      <c r="H148" s="10" t="s">
        <v>327</v>
      </c>
      <c r="I148" s="16" t="s">
        <v>747</v>
      </c>
      <c r="J148" s="6" t="s">
        <v>643</v>
      </c>
      <c r="K148" s="2">
        <v>0</v>
      </c>
    </row>
    <row r="149" spans="1:12" s="1" customFormat="1" ht="15" customHeight="1">
      <c r="A149" s="7">
        <f t="shared" si="5"/>
        <v>147</v>
      </c>
      <c r="B149" s="46">
        <v>2</v>
      </c>
      <c r="C149" s="46">
        <v>8</v>
      </c>
      <c r="D149" s="5">
        <f t="shared" si="4"/>
        <v>4</v>
      </c>
      <c r="E149" s="5"/>
      <c r="F149" s="8" t="s">
        <v>328</v>
      </c>
      <c r="G149" s="26" t="s">
        <v>324</v>
      </c>
      <c r="H149" s="10" t="s">
        <v>329</v>
      </c>
      <c r="I149" s="16" t="s">
        <v>748</v>
      </c>
      <c r="J149" s="6" t="s">
        <v>643</v>
      </c>
      <c r="K149" s="2">
        <v>3</v>
      </c>
    </row>
    <row r="150" spans="1:12" s="1" customFormat="1" ht="15" customHeight="1">
      <c r="A150" s="7">
        <f t="shared" si="5"/>
        <v>148</v>
      </c>
      <c r="B150" s="46">
        <v>2</v>
      </c>
      <c r="C150" s="46">
        <v>8</v>
      </c>
      <c r="D150" s="5">
        <f t="shared" si="4"/>
        <v>5</v>
      </c>
      <c r="E150" s="13"/>
      <c r="F150" s="8" t="s">
        <v>330</v>
      </c>
      <c r="G150" s="26" t="s">
        <v>324</v>
      </c>
      <c r="H150" s="10" t="s">
        <v>331</v>
      </c>
      <c r="I150" s="16" t="s">
        <v>745</v>
      </c>
      <c r="J150" s="6" t="s">
        <v>643</v>
      </c>
      <c r="K150" s="2">
        <v>2</v>
      </c>
    </row>
    <row r="151" spans="1:12" s="1" customFormat="1" ht="15" customHeight="1">
      <c r="A151" s="7">
        <f t="shared" si="5"/>
        <v>149</v>
      </c>
      <c r="B151" s="46">
        <v>2</v>
      </c>
      <c r="C151" s="46">
        <v>8</v>
      </c>
      <c r="D151" s="5">
        <f t="shared" si="4"/>
        <v>6</v>
      </c>
      <c r="E151" s="13"/>
      <c r="F151" s="8" t="s">
        <v>332</v>
      </c>
      <c r="G151" s="26" t="s">
        <v>575</v>
      </c>
      <c r="H151" s="10" t="s">
        <v>333</v>
      </c>
      <c r="I151" s="16" t="s">
        <v>746</v>
      </c>
      <c r="J151" s="6" t="s">
        <v>643</v>
      </c>
      <c r="K151" s="2">
        <v>0</v>
      </c>
    </row>
    <row r="152" spans="1:12" s="1" customFormat="1" ht="15" customHeight="1">
      <c r="A152" s="7">
        <f t="shared" si="5"/>
        <v>150</v>
      </c>
      <c r="B152" s="46">
        <v>2</v>
      </c>
      <c r="C152" s="46">
        <v>8</v>
      </c>
      <c r="D152" s="5">
        <f t="shared" si="4"/>
        <v>7</v>
      </c>
      <c r="E152" s="13"/>
      <c r="F152" s="8" t="s">
        <v>473</v>
      </c>
      <c r="G152" s="38"/>
      <c r="H152" s="37"/>
      <c r="I152" s="10" t="s">
        <v>474</v>
      </c>
      <c r="J152" s="78"/>
      <c r="K152" s="81"/>
    </row>
    <row r="153" spans="1:12" s="1" customFormat="1" ht="15" customHeight="1">
      <c r="A153" s="7">
        <f t="shared" si="5"/>
        <v>151</v>
      </c>
      <c r="B153" s="45">
        <v>2</v>
      </c>
      <c r="C153" s="45">
        <v>9</v>
      </c>
      <c r="D153" s="5">
        <f>IF(AND(B151=B153,C151=C153),D151+1,1)</f>
        <v>1</v>
      </c>
      <c r="E153" s="13"/>
      <c r="F153" s="8" t="s">
        <v>334</v>
      </c>
      <c r="G153" s="12" t="s">
        <v>324</v>
      </c>
      <c r="H153" s="10" t="s">
        <v>335</v>
      </c>
      <c r="I153" s="16" t="s">
        <v>755</v>
      </c>
      <c r="J153" s="6" t="s">
        <v>643</v>
      </c>
      <c r="K153" s="2">
        <v>2</v>
      </c>
    </row>
    <row r="154" spans="1:12" s="1" customFormat="1" ht="15" customHeight="1">
      <c r="A154" s="7">
        <f t="shared" si="5"/>
        <v>152</v>
      </c>
      <c r="B154" s="45">
        <v>2</v>
      </c>
      <c r="C154" s="45">
        <v>9</v>
      </c>
      <c r="D154" s="5">
        <f t="shared" si="4"/>
        <v>2</v>
      </c>
      <c r="E154" s="14"/>
      <c r="F154" s="8" t="s">
        <v>336</v>
      </c>
      <c r="G154" s="12" t="s">
        <v>324</v>
      </c>
      <c r="H154" s="10" t="s">
        <v>337</v>
      </c>
      <c r="I154" s="16" t="s">
        <v>757</v>
      </c>
      <c r="J154" s="6" t="s">
        <v>643</v>
      </c>
      <c r="K154" s="2">
        <v>2</v>
      </c>
    </row>
    <row r="155" spans="1:12" s="1" customFormat="1" ht="15" customHeight="1">
      <c r="A155" s="7">
        <f t="shared" si="5"/>
        <v>153</v>
      </c>
      <c r="B155" s="45">
        <v>2</v>
      </c>
      <c r="C155" s="45">
        <v>9</v>
      </c>
      <c r="D155" s="5">
        <f t="shared" si="4"/>
        <v>3</v>
      </c>
      <c r="E155" s="28" t="s">
        <v>862</v>
      </c>
      <c r="F155" s="8" t="s">
        <v>338</v>
      </c>
      <c r="G155" s="12" t="s">
        <v>324</v>
      </c>
      <c r="H155" s="10" t="s">
        <v>339</v>
      </c>
      <c r="I155" s="16" t="s">
        <v>502</v>
      </c>
      <c r="J155" s="6" t="s">
        <v>643</v>
      </c>
      <c r="K155" s="2">
        <v>2</v>
      </c>
    </row>
    <row r="156" spans="1:12" s="1" customFormat="1" ht="15" customHeight="1">
      <c r="A156" s="7">
        <f t="shared" si="5"/>
        <v>154</v>
      </c>
      <c r="B156" s="45">
        <v>2</v>
      </c>
      <c r="C156" s="45">
        <v>9</v>
      </c>
      <c r="D156" s="5">
        <f t="shared" si="4"/>
        <v>4</v>
      </c>
      <c r="E156" s="5"/>
      <c r="F156" s="8" t="s">
        <v>753</v>
      </c>
      <c r="G156" s="12" t="s">
        <v>324</v>
      </c>
      <c r="H156" s="10" t="s">
        <v>341</v>
      </c>
      <c r="I156" s="16" t="s">
        <v>754</v>
      </c>
      <c r="J156" s="77" t="s">
        <v>642</v>
      </c>
      <c r="K156" s="2">
        <v>0</v>
      </c>
    </row>
    <row r="157" spans="1:12" s="1" customFormat="1" ht="15" customHeight="1">
      <c r="A157" s="7">
        <f t="shared" si="5"/>
        <v>155</v>
      </c>
      <c r="B157" s="45">
        <v>2</v>
      </c>
      <c r="C157" s="45">
        <v>9</v>
      </c>
      <c r="D157" s="5">
        <f t="shared" si="4"/>
        <v>5</v>
      </c>
      <c r="E157" s="5" t="s">
        <v>863</v>
      </c>
      <c r="F157" s="8" t="s">
        <v>342</v>
      </c>
      <c r="G157" s="12" t="s">
        <v>324</v>
      </c>
      <c r="H157" s="10" t="s">
        <v>343</v>
      </c>
      <c r="I157" s="16" t="s">
        <v>756</v>
      </c>
      <c r="J157" s="6" t="s">
        <v>643</v>
      </c>
      <c r="K157" s="2">
        <v>1</v>
      </c>
    </row>
    <row r="158" spans="1:12" s="1" customFormat="1" ht="15" customHeight="1">
      <c r="A158" s="7">
        <f t="shared" si="5"/>
        <v>156</v>
      </c>
      <c r="B158" s="45">
        <v>2</v>
      </c>
      <c r="C158" s="45">
        <v>9</v>
      </c>
      <c r="D158" s="5">
        <f t="shared" si="4"/>
        <v>6</v>
      </c>
      <c r="E158" s="11"/>
      <c r="F158" s="8" t="s">
        <v>505</v>
      </c>
      <c r="G158" s="12" t="s">
        <v>324</v>
      </c>
      <c r="H158" s="10" t="s">
        <v>344</v>
      </c>
      <c r="I158" s="16" t="s">
        <v>758</v>
      </c>
      <c r="J158" s="77" t="s">
        <v>642</v>
      </c>
      <c r="K158" s="2">
        <v>0</v>
      </c>
      <c r="L158" s="1" t="s">
        <v>759</v>
      </c>
    </row>
    <row r="159" spans="1:12" s="1" customFormat="1" ht="15" customHeight="1">
      <c r="A159" s="7">
        <f t="shared" si="5"/>
        <v>157</v>
      </c>
      <c r="B159" s="45">
        <v>2</v>
      </c>
      <c r="C159" s="45">
        <v>9</v>
      </c>
      <c r="D159" s="5">
        <f t="shared" si="4"/>
        <v>7</v>
      </c>
      <c r="E159" s="5"/>
      <c r="F159" s="8" t="s">
        <v>345</v>
      </c>
      <c r="G159" s="12" t="s">
        <v>346</v>
      </c>
      <c r="H159" s="10" t="s">
        <v>347</v>
      </c>
      <c r="I159" s="16" t="s">
        <v>751</v>
      </c>
      <c r="J159" s="6" t="s">
        <v>643</v>
      </c>
      <c r="K159" s="2">
        <v>1</v>
      </c>
    </row>
    <row r="160" spans="1:12" s="1" customFormat="1" ht="15" customHeight="1">
      <c r="A160" s="7">
        <f t="shared" si="5"/>
        <v>158</v>
      </c>
      <c r="B160" s="45">
        <v>2</v>
      </c>
      <c r="C160" s="45">
        <v>9</v>
      </c>
      <c r="D160" s="5">
        <f t="shared" si="4"/>
        <v>8</v>
      </c>
      <c r="E160" s="13"/>
      <c r="F160" s="8" t="s">
        <v>457</v>
      </c>
      <c r="G160" s="12" t="s">
        <v>348</v>
      </c>
      <c r="H160" s="10" t="s">
        <v>349</v>
      </c>
      <c r="I160" s="16" t="s">
        <v>752</v>
      </c>
      <c r="J160" s="6" t="s">
        <v>643</v>
      </c>
      <c r="K160" s="2">
        <v>0</v>
      </c>
    </row>
    <row r="161" spans="1:12" s="1" customFormat="1" ht="15" customHeight="1">
      <c r="A161" s="7">
        <f t="shared" si="5"/>
        <v>159</v>
      </c>
      <c r="B161" s="33">
        <v>2</v>
      </c>
      <c r="C161" s="33">
        <v>10</v>
      </c>
      <c r="D161" s="5">
        <f t="shared" si="4"/>
        <v>1</v>
      </c>
      <c r="E161" s="13"/>
      <c r="F161" s="8" t="s">
        <v>357</v>
      </c>
      <c r="G161" s="10" t="s">
        <v>358</v>
      </c>
      <c r="H161" s="10" t="s">
        <v>359</v>
      </c>
      <c r="I161" s="16" t="s">
        <v>769</v>
      </c>
      <c r="J161" s="6" t="s">
        <v>643</v>
      </c>
      <c r="K161" s="2">
        <v>1</v>
      </c>
    </row>
    <row r="162" spans="1:12" s="1" customFormat="1" ht="15" customHeight="1">
      <c r="A162" s="7">
        <f t="shared" si="5"/>
        <v>160</v>
      </c>
      <c r="B162" s="33">
        <v>2</v>
      </c>
      <c r="C162" s="33">
        <v>10</v>
      </c>
      <c r="D162" s="5">
        <f t="shared" si="4"/>
        <v>2</v>
      </c>
      <c r="E162" s="5"/>
      <c r="F162" s="15" t="s">
        <v>369</v>
      </c>
      <c r="G162" s="10" t="s">
        <v>370</v>
      </c>
      <c r="H162" s="10" t="s">
        <v>371</v>
      </c>
      <c r="I162" s="16" t="s">
        <v>770</v>
      </c>
      <c r="J162" s="6" t="s">
        <v>643</v>
      </c>
      <c r="K162" s="2">
        <v>1</v>
      </c>
    </row>
    <row r="163" spans="1:12" s="1" customFormat="1" ht="15" customHeight="1">
      <c r="A163" s="7">
        <f t="shared" si="5"/>
        <v>161</v>
      </c>
      <c r="B163" s="33">
        <v>2</v>
      </c>
      <c r="C163" s="33">
        <v>10</v>
      </c>
      <c r="D163" s="5">
        <f t="shared" si="4"/>
        <v>3</v>
      </c>
      <c r="E163" s="13"/>
      <c r="F163" s="8" t="s">
        <v>375</v>
      </c>
      <c r="G163" s="10" t="s">
        <v>376</v>
      </c>
      <c r="H163" s="10" t="s">
        <v>377</v>
      </c>
      <c r="I163" s="16" t="s">
        <v>762</v>
      </c>
      <c r="J163" s="77" t="s">
        <v>642</v>
      </c>
      <c r="K163" s="2">
        <v>0</v>
      </c>
    </row>
    <row r="164" spans="1:12" s="1" customFormat="1" ht="15" customHeight="1">
      <c r="A164" s="7">
        <f t="shared" si="5"/>
        <v>162</v>
      </c>
      <c r="B164" s="33">
        <v>2</v>
      </c>
      <c r="C164" s="33">
        <v>10</v>
      </c>
      <c r="D164" s="5">
        <f t="shared" si="4"/>
        <v>4</v>
      </c>
      <c r="E164" s="5"/>
      <c r="F164" s="8" t="s">
        <v>381</v>
      </c>
      <c r="G164" s="9" t="s">
        <v>382</v>
      </c>
      <c r="H164" s="10" t="s">
        <v>383</v>
      </c>
      <c r="I164" s="16" t="s">
        <v>763</v>
      </c>
      <c r="J164" s="77" t="s">
        <v>642</v>
      </c>
      <c r="K164" s="2">
        <v>4</v>
      </c>
      <c r="L164" s="1" t="s">
        <v>764</v>
      </c>
    </row>
    <row r="165" spans="1:12" s="1" customFormat="1" ht="15" customHeight="1">
      <c r="A165" s="7">
        <f t="shared" si="5"/>
        <v>163</v>
      </c>
      <c r="B165" s="33">
        <v>2</v>
      </c>
      <c r="C165" s="33">
        <v>10</v>
      </c>
      <c r="D165" s="5">
        <f t="shared" si="4"/>
        <v>5</v>
      </c>
      <c r="E165" s="14"/>
      <c r="F165" s="8" t="s">
        <v>363</v>
      </c>
      <c r="G165" s="12" t="s">
        <v>364</v>
      </c>
      <c r="H165" s="10" t="s">
        <v>365</v>
      </c>
      <c r="I165" s="16" t="s">
        <v>765</v>
      </c>
      <c r="J165" s="6" t="s">
        <v>643</v>
      </c>
      <c r="K165" s="2">
        <v>0</v>
      </c>
    </row>
    <row r="166" spans="1:12" s="1" customFormat="1" ht="15" customHeight="1">
      <c r="A166" s="7">
        <f t="shared" si="5"/>
        <v>164</v>
      </c>
      <c r="B166" s="33">
        <v>2</v>
      </c>
      <c r="C166" s="33">
        <v>10</v>
      </c>
      <c r="D166" s="5">
        <f t="shared" si="4"/>
        <v>6</v>
      </c>
      <c r="E166" s="5"/>
      <c r="F166" s="8" t="s">
        <v>360</v>
      </c>
      <c r="G166" s="10" t="s">
        <v>361</v>
      </c>
      <c r="H166" s="10" t="s">
        <v>362</v>
      </c>
      <c r="I166" s="16" t="s">
        <v>766</v>
      </c>
      <c r="J166" s="6" t="s">
        <v>643</v>
      </c>
      <c r="K166" s="2">
        <v>3</v>
      </c>
    </row>
    <row r="167" spans="1:12" s="1" customFormat="1" ht="15" customHeight="1">
      <c r="A167" s="7">
        <f t="shared" si="5"/>
        <v>165</v>
      </c>
      <c r="B167" s="33">
        <v>2</v>
      </c>
      <c r="C167" s="33">
        <v>10</v>
      </c>
      <c r="D167" s="5">
        <f t="shared" si="4"/>
        <v>7</v>
      </c>
      <c r="E167" s="5"/>
      <c r="F167" s="8" t="s">
        <v>372</v>
      </c>
      <c r="G167" s="10" t="s">
        <v>373</v>
      </c>
      <c r="H167" s="10" t="s">
        <v>374</v>
      </c>
      <c r="I167" s="16" t="s">
        <v>767</v>
      </c>
      <c r="J167" s="6" t="s">
        <v>643</v>
      </c>
      <c r="K167" s="2">
        <v>1</v>
      </c>
    </row>
    <row r="168" spans="1:12" s="1" customFormat="1" ht="15" customHeight="1">
      <c r="A168" s="7">
        <f t="shared" si="5"/>
        <v>166</v>
      </c>
      <c r="B168" s="33">
        <v>2</v>
      </c>
      <c r="C168" s="33">
        <v>10</v>
      </c>
      <c r="D168" s="5">
        <f t="shared" si="4"/>
        <v>8</v>
      </c>
      <c r="E168" s="14"/>
      <c r="F168" s="8" t="s">
        <v>378</v>
      </c>
      <c r="G168" s="10" t="s">
        <v>379</v>
      </c>
      <c r="H168" s="10" t="s">
        <v>380</v>
      </c>
      <c r="I168" s="16" t="s">
        <v>761</v>
      </c>
      <c r="J168" s="77" t="s">
        <v>642</v>
      </c>
      <c r="K168" s="2">
        <v>1</v>
      </c>
    </row>
    <row r="169" spans="1:12" s="1" customFormat="1" ht="15" customHeight="1">
      <c r="A169" s="7">
        <f t="shared" si="5"/>
        <v>167</v>
      </c>
      <c r="B169" s="33">
        <v>2</v>
      </c>
      <c r="C169" s="33">
        <v>10</v>
      </c>
      <c r="D169" s="5">
        <f t="shared" si="4"/>
        <v>9</v>
      </c>
      <c r="E169" s="28" t="s">
        <v>862</v>
      </c>
      <c r="F169" s="8" t="s">
        <v>366</v>
      </c>
      <c r="G169" s="10" t="s">
        <v>367</v>
      </c>
      <c r="H169" s="10" t="s">
        <v>368</v>
      </c>
      <c r="I169" s="16" t="s">
        <v>760</v>
      </c>
      <c r="J169" s="77" t="s">
        <v>642</v>
      </c>
      <c r="K169" s="2">
        <v>0</v>
      </c>
    </row>
    <row r="170" spans="1:12" s="1" customFormat="1" ht="15" customHeight="1">
      <c r="A170" s="7">
        <f t="shared" si="5"/>
        <v>168</v>
      </c>
      <c r="B170" s="33">
        <v>2</v>
      </c>
      <c r="C170" s="33">
        <v>10</v>
      </c>
      <c r="D170" s="5">
        <f t="shared" si="4"/>
        <v>10</v>
      </c>
      <c r="E170" s="5" t="s">
        <v>863</v>
      </c>
      <c r="F170" s="8" t="s">
        <v>354</v>
      </c>
      <c r="G170" s="12" t="s">
        <v>355</v>
      </c>
      <c r="H170" s="10" t="s">
        <v>356</v>
      </c>
      <c r="I170" s="16" t="s">
        <v>768</v>
      </c>
      <c r="J170" s="6" t="s">
        <v>643</v>
      </c>
      <c r="K170" s="2">
        <v>2</v>
      </c>
    </row>
    <row r="171" spans="1:12" s="1" customFormat="1" ht="15" customHeight="1">
      <c r="A171" s="7">
        <f t="shared" si="5"/>
        <v>169</v>
      </c>
      <c r="B171" s="33">
        <v>2</v>
      </c>
      <c r="C171" s="33">
        <v>10</v>
      </c>
      <c r="D171" s="5">
        <f t="shared" si="4"/>
        <v>11</v>
      </c>
      <c r="E171" s="5"/>
      <c r="F171" s="8" t="s">
        <v>351</v>
      </c>
      <c r="G171" s="12" t="s">
        <v>352</v>
      </c>
      <c r="H171" s="10" t="s">
        <v>353</v>
      </c>
      <c r="I171" s="16"/>
      <c r="J171" s="78"/>
      <c r="K171" s="81"/>
    </row>
    <row r="172" spans="1:12" s="58" customFormat="1" ht="15" customHeight="1">
      <c r="A172" s="7">
        <f t="shared" si="5"/>
        <v>170</v>
      </c>
      <c r="B172" s="29">
        <v>2</v>
      </c>
      <c r="C172" s="29">
        <v>11</v>
      </c>
      <c r="D172" s="5">
        <f t="shared" si="4"/>
        <v>1</v>
      </c>
      <c r="E172" s="14"/>
      <c r="F172" s="15" t="s">
        <v>467</v>
      </c>
      <c r="G172" s="26" t="s">
        <v>385</v>
      </c>
      <c r="H172" s="16" t="s">
        <v>460</v>
      </c>
      <c r="I172" s="16" t="s">
        <v>775</v>
      </c>
      <c r="J172" s="6" t="s">
        <v>643</v>
      </c>
      <c r="K172" s="2">
        <v>1</v>
      </c>
    </row>
    <row r="173" spans="1:12" s="1" customFormat="1" ht="15" customHeight="1">
      <c r="A173" s="7">
        <f t="shared" si="5"/>
        <v>171</v>
      </c>
      <c r="B173" s="29">
        <v>2</v>
      </c>
      <c r="C173" s="29">
        <v>11</v>
      </c>
      <c r="D173" s="5">
        <f t="shared" si="4"/>
        <v>2</v>
      </c>
      <c r="E173" s="5"/>
      <c r="F173" s="8" t="s">
        <v>386</v>
      </c>
      <c r="G173" s="12" t="s">
        <v>385</v>
      </c>
      <c r="H173" s="10" t="s">
        <v>387</v>
      </c>
      <c r="I173" s="16" t="s">
        <v>771</v>
      </c>
      <c r="J173" s="6" t="s">
        <v>643</v>
      </c>
      <c r="K173" s="2">
        <v>1</v>
      </c>
    </row>
    <row r="174" spans="1:12" s="1" customFormat="1" ht="15" customHeight="1">
      <c r="A174" s="7">
        <f t="shared" si="5"/>
        <v>172</v>
      </c>
      <c r="B174" s="29">
        <v>2</v>
      </c>
      <c r="C174" s="29">
        <v>11</v>
      </c>
      <c r="D174" s="5">
        <f t="shared" si="4"/>
        <v>3</v>
      </c>
      <c r="E174" s="28" t="s">
        <v>862</v>
      </c>
      <c r="F174" s="8" t="s">
        <v>388</v>
      </c>
      <c r="G174" s="12" t="s">
        <v>385</v>
      </c>
      <c r="H174" s="10" t="s">
        <v>447</v>
      </c>
      <c r="I174" s="16" t="s">
        <v>773</v>
      </c>
      <c r="J174" s="6" t="s">
        <v>643</v>
      </c>
      <c r="K174" s="2">
        <v>3</v>
      </c>
    </row>
    <row r="175" spans="1:12" s="1" customFormat="1" ht="15" customHeight="1">
      <c r="A175" s="7">
        <f t="shared" si="5"/>
        <v>173</v>
      </c>
      <c r="B175" s="29">
        <v>2</v>
      </c>
      <c r="C175" s="29">
        <v>11</v>
      </c>
      <c r="D175" s="5">
        <f t="shared" si="4"/>
        <v>4</v>
      </c>
      <c r="E175" s="5" t="s">
        <v>863</v>
      </c>
      <c r="F175" s="8" t="s">
        <v>389</v>
      </c>
      <c r="G175" s="12" t="s">
        <v>385</v>
      </c>
      <c r="H175" s="10" t="s">
        <v>390</v>
      </c>
      <c r="I175" s="16" t="s">
        <v>779</v>
      </c>
      <c r="J175" s="77" t="s">
        <v>642</v>
      </c>
      <c r="K175" s="2">
        <v>2</v>
      </c>
    </row>
    <row r="176" spans="1:12" s="1" customFormat="1" ht="15" customHeight="1">
      <c r="A176" s="7">
        <f t="shared" si="5"/>
        <v>174</v>
      </c>
      <c r="B176" s="29">
        <v>2</v>
      </c>
      <c r="C176" s="29">
        <v>11</v>
      </c>
      <c r="D176" s="5">
        <f t="shared" si="4"/>
        <v>5</v>
      </c>
      <c r="E176" s="5"/>
      <c r="F176" s="8" t="s">
        <v>391</v>
      </c>
      <c r="G176" s="12" t="s">
        <v>324</v>
      </c>
      <c r="H176" s="10" t="s">
        <v>392</v>
      </c>
      <c r="I176" s="16" t="s">
        <v>774</v>
      </c>
      <c r="J176" s="6" t="s">
        <v>643</v>
      </c>
      <c r="K176" s="2">
        <v>5</v>
      </c>
    </row>
    <row r="177" spans="1:12" s="1" customFormat="1" ht="15" customHeight="1">
      <c r="A177" s="7">
        <f t="shared" si="5"/>
        <v>175</v>
      </c>
      <c r="B177" s="29">
        <v>2</v>
      </c>
      <c r="C177" s="29">
        <v>11</v>
      </c>
      <c r="D177" s="5">
        <f t="shared" si="4"/>
        <v>6</v>
      </c>
      <c r="E177" s="5"/>
      <c r="F177" s="8" t="s">
        <v>393</v>
      </c>
      <c r="G177" s="12" t="s">
        <v>324</v>
      </c>
      <c r="H177" s="10" t="s">
        <v>394</v>
      </c>
      <c r="I177" s="16" t="s">
        <v>777</v>
      </c>
      <c r="J177" s="77" t="s">
        <v>642</v>
      </c>
      <c r="K177" s="2">
        <v>1</v>
      </c>
      <c r="L177" s="1" t="s">
        <v>778</v>
      </c>
    </row>
    <row r="178" spans="1:12" s="1" customFormat="1" ht="15" customHeight="1">
      <c r="A178" s="7">
        <f t="shared" si="5"/>
        <v>176</v>
      </c>
      <c r="B178" s="29">
        <v>2</v>
      </c>
      <c r="C178" s="29">
        <v>11</v>
      </c>
      <c r="D178" s="5">
        <f t="shared" si="4"/>
        <v>7</v>
      </c>
      <c r="E178" s="13"/>
      <c r="F178" s="8" t="s">
        <v>396</v>
      </c>
      <c r="G178" s="12" t="s">
        <v>397</v>
      </c>
      <c r="H178" s="10" t="s">
        <v>398</v>
      </c>
      <c r="I178" s="16" t="s">
        <v>776</v>
      </c>
      <c r="J178" s="77" t="s">
        <v>642</v>
      </c>
      <c r="K178" s="2">
        <v>2</v>
      </c>
    </row>
    <row r="179" spans="1:12" s="1" customFormat="1" ht="15" customHeight="1">
      <c r="A179" s="7">
        <f t="shared" si="5"/>
        <v>177</v>
      </c>
      <c r="B179" s="29">
        <v>2</v>
      </c>
      <c r="C179" s="29">
        <v>11</v>
      </c>
      <c r="D179" s="5">
        <f t="shared" si="4"/>
        <v>8</v>
      </c>
      <c r="E179" s="14"/>
      <c r="F179" s="8" t="s">
        <v>399</v>
      </c>
      <c r="G179" s="12" t="s">
        <v>397</v>
      </c>
      <c r="H179" s="10" t="s">
        <v>400</v>
      </c>
      <c r="I179" s="16" t="s">
        <v>772</v>
      </c>
      <c r="J179" s="6" t="s">
        <v>643</v>
      </c>
      <c r="K179" s="2">
        <v>2</v>
      </c>
    </row>
    <row r="180" spans="1:12" s="1" customFormat="1" ht="15" customHeight="1">
      <c r="A180" s="7">
        <f t="shared" si="5"/>
        <v>178</v>
      </c>
      <c r="B180" s="29">
        <v>2</v>
      </c>
      <c r="C180" s="29">
        <v>11</v>
      </c>
      <c r="D180" s="5">
        <f t="shared" si="4"/>
        <v>9</v>
      </c>
      <c r="E180" s="13"/>
      <c r="F180" s="8" t="s">
        <v>401</v>
      </c>
      <c r="G180" s="26" t="s">
        <v>571</v>
      </c>
      <c r="H180" s="10" t="s">
        <v>402</v>
      </c>
      <c r="I180" s="16" t="s">
        <v>579</v>
      </c>
      <c r="J180" s="6" t="s">
        <v>643</v>
      </c>
      <c r="K180" s="2">
        <v>3</v>
      </c>
    </row>
    <row r="181" spans="1:12" s="1" customFormat="1" ht="15" customHeight="1">
      <c r="A181" s="7">
        <f t="shared" si="5"/>
        <v>179</v>
      </c>
      <c r="B181" s="29">
        <v>2</v>
      </c>
      <c r="C181" s="29">
        <v>11</v>
      </c>
      <c r="D181" s="5">
        <f t="shared" si="4"/>
        <v>10</v>
      </c>
      <c r="E181" s="5"/>
      <c r="F181" s="10" t="s">
        <v>405</v>
      </c>
      <c r="G181" s="26" t="s">
        <v>397</v>
      </c>
      <c r="H181" s="52" t="s">
        <v>403</v>
      </c>
      <c r="I181" s="24" t="s">
        <v>404</v>
      </c>
      <c r="J181" s="84" t="s">
        <v>458</v>
      </c>
      <c r="K181" s="81"/>
    </row>
    <row r="182" spans="1:12" s="1" customFormat="1" ht="15" customHeight="1">
      <c r="A182" s="7">
        <f t="shared" si="5"/>
        <v>180</v>
      </c>
      <c r="B182" s="33">
        <v>2</v>
      </c>
      <c r="C182" s="33">
        <v>12</v>
      </c>
      <c r="D182" s="5">
        <f t="shared" si="4"/>
        <v>1</v>
      </c>
      <c r="E182" s="5"/>
      <c r="F182" s="8" t="s">
        <v>406</v>
      </c>
      <c r="G182" s="10" t="s">
        <v>407</v>
      </c>
      <c r="H182" s="16" t="s">
        <v>408</v>
      </c>
      <c r="I182" s="16" t="s">
        <v>781</v>
      </c>
      <c r="J182" s="77" t="s">
        <v>642</v>
      </c>
      <c r="K182" s="2">
        <v>1</v>
      </c>
    </row>
    <row r="183" spans="1:12" s="1" customFormat="1" ht="15" customHeight="1">
      <c r="A183" s="7">
        <f t="shared" si="5"/>
        <v>181</v>
      </c>
      <c r="B183" s="33">
        <v>2</v>
      </c>
      <c r="C183" s="33">
        <v>12</v>
      </c>
      <c r="D183" s="5">
        <f t="shared" si="4"/>
        <v>2</v>
      </c>
      <c r="E183" s="13"/>
      <c r="F183" s="8" t="s">
        <v>409</v>
      </c>
      <c r="G183" s="10" t="s">
        <v>606</v>
      </c>
      <c r="H183" s="10" t="s">
        <v>410</v>
      </c>
      <c r="I183" s="16" t="s">
        <v>784</v>
      </c>
      <c r="J183" s="6" t="s">
        <v>643</v>
      </c>
      <c r="K183" s="2">
        <v>2</v>
      </c>
    </row>
    <row r="184" spans="1:12" s="1" customFormat="1" ht="15" customHeight="1">
      <c r="A184" s="7">
        <f t="shared" si="5"/>
        <v>182</v>
      </c>
      <c r="B184" s="33">
        <v>2</v>
      </c>
      <c r="C184" s="33">
        <v>12</v>
      </c>
      <c r="D184" s="5">
        <f t="shared" si="4"/>
        <v>3</v>
      </c>
      <c r="E184" s="13"/>
      <c r="F184" s="8" t="s">
        <v>411</v>
      </c>
      <c r="G184" s="10" t="s">
        <v>412</v>
      </c>
      <c r="H184" s="10" t="s">
        <v>413</v>
      </c>
      <c r="I184" s="16" t="s">
        <v>586</v>
      </c>
      <c r="J184" s="6" t="s">
        <v>643</v>
      </c>
      <c r="K184" s="2">
        <v>5</v>
      </c>
    </row>
    <row r="185" spans="1:12" s="1" customFormat="1" ht="15" customHeight="1">
      <c r="A185" s="7">
        <f t="shared" si="5"/>
        <v>183</v>
      </c>
      <c r="B185" s="33">
        <v>2</v>
      </c>
      <c r="C185" s="33">
        <v>12</v>
      </c>
      <c r="D185" s="5">
        <f t="shared" si="4"/>
        <v>4</v>
      </c>
      <c r="E185" s="5"/>
      <c r="F185" s="8" t="s">
        <v>414</v>
      </c>
      <c r="G185" s="10" t="s">
        <v>415</v>
      </c>
      <c r="H185" s="10" t="s">
        <v>416</v>
      </c>
      <c r="I185" s="16" t="s">
        <v>780</v>
      </c>
      <c r="J185" s="6" t="s">
        <v>643</v>
      </c>
      <c r="K185" s="2">
        <v>1</v>
      </c>
    </row>
    <row r="186" spans="1:12" s="1" customFormat="1" ht="15" customHeight="1">
      <c r="A186" s="7">
        <f t="shared" si="5"/>
        <v>184</v>
      </c>
      <c r="B186" s="33">
        <v>2</v>
      </c>
      <c r="C186" s="33">
        <v>12</v>
      </c>
      <c r="D186" s="5">
        <f t="shared" si="4"/>
        <v>5</v>
      </c>
      <c r="E186" s="5"/>
      <c r="F186" s="8" t="s">
        <v>786</v>
      </c>
      <c r="G186" s="10" t="s">
        <v>418</v>
      </c>
      <c r="H186" s="10" t="s">
        <v>419</v>
      </c>
      <c r="I186" s="16" t="s">
        <v>787</v>
      </c>
      <c r="J186" s="6" t="s">
        <v>643</v>
      </c>
      <c r="K186" s="2">
        <v>0</v>
      </c>
    </row>
    <row r="187" spans="1:12" s="1" customFormat="1" ht="15" customHeight="1">
      <c r="A187" s="7">
        <f t="shared" si="5"/>
        <v>185</v>
      </c>
      <c r="B187" s="33">
        <v>2</v>
      </c>
      <c r="C187" s="33">
        <v>12</v>
      </c>
      <c r="D187" s="5">
        <f t="shared" si="4"/>
        <v>6</v>
      </c>
      <c r="E187" s="5"/>
      <c r="F187" s="8" t="s">
        <v>420</v>
      </c>
      <c r="G187" s="37" t="s">
        <v>418</v>
      </c>
      <c r="H187" s="37"/>
      <c r="I187" s="42" t="s">
        <v>788</v>
      </c>
      <c r="J187" s="77" t="s">
        <v>642</v>
      </c>
      <c r="K187" s="2">
        <v>0</v>
      </c>
    </row>
    <row r="188" spans="1:12" s="58" customFormat="1" ht="15" customHeight="1">
      <c r="A188" s="7">
        <f t="shared" si="5"/>
        <v>186</v>
      </c>
      <c r="B188" s="33">
        <v>2</v>
      </c>
      <c r="C188" s="33">
        <v>12</v>
      </c>
      <c r="D188" s="14">
        <f t="shared" si="4"/>
        <v>7</v>
      </c>
      <c r="E188" s="5" t="s">
        <v>863</v>
      </c>
      <c r="F188" s="15" t="s">
        <v>422</v>
      </c>
      <c r="G188" s="16" t="s">
        <v>423</v>
      </c>
      <c r="H188" s="16" t="s">
        <v>424</v>
      </c>
      <c r="I188" s="16" t="s">
        <v>782</v>
      </c>
      <c r="J188" s="6" t="s">
        <v>643</v>
      </c>
      <c r="K188" s="2">
        <v>4</v>
      </c>
    </row>
    <row r="189" spans="1:12" s="1" customFormat="1" ht="15" customHeight="1">
      <c r="A189" s="7">
        <f t="shared" si="5"/>
        <v>187</v>
      </c>
      <c r="B189" s="33">
        <v>2</v>
      </c>
      <c r="C189" s="33">
        <v>12</v>
      </c>
      <c r="D189" s="5">
        <f t="shared" si="4"/>
        <v>8</v>
      </c>
      <c r="E189" s="28" t="s">
        <v>862</v>
      </c>
      <c r="F189" s="8" t="s">
        <v>425</v>
      </c>
      <c r="G189" s="10" t="s">
        <v>426</v>
      </c>
      <c r="H189" s="10" t="s">
        <v>446</v>
      </c>
      <c r="I189" s="16" t="s">
        <v>783</v>
      </c>
      <c r="J189" s="6" t="s">
        <v>643</v>
      </c>
      <c r="K189" s="2">
        <v>4</v>
      </c>
    </row>
    <row r="190" spans="1:12" s="1" customFormat="1" ht="15" customHeight="1">
      <c r="A190" s="7">
        <f t="shared" si="5"/>
        <v>188</v>
      </c>
      <c r="B190" s="33">
        <v>2</v>
      </c>
      <c r="C190" s="33">
        <v>12</v>
      </c>
      <c r="D190" s="14">
        <f>IF(AND(B189=B190,C189=C190),D189+1,1)</f>
        <v>9</v>
      </c>
      <c r="E190" s="14"/>
      <c r="F190" s="15" t="s">
        <v>478</v>
      </c>
      <c r="G190" s="16" t="s">
        <v>479</v>
      </c>
      <c r="H190" s="16" t="s">
        <v>480</v>
      </c>
      <c r="I190" s="16" t="s">
        <v>785</v>
      </c>
      <c r="J190" s="6" t="s">
        <v>643</v>
      </c>
      <c r="K190" s="2">
        <v>1</v>
      </c>
    </row>
    <row r="191" spans="1:12" s="1" customFormat="1" ht="15" customHeight="1">
      <c r="A191" s="7">
        <f t="shared" si="5"/>
        <v>189</v>
      </c>
      <c r="B191" s="33">
        <v>2</v>
      </c>
      <c r="C191" s="33">
        <v>12</v>
      </c>
      <c r="D191" s="14">
        <f>IF(AND(B190=B191,C190=C191),D190+1,1)</f>
        <v>10</v>
      </c>
      <c r="E191" s="14"/>
      <c r="F191" s="50" t="s">
        <v>860</v>
      </c>
      <c r="G191" s="42"/>
      <c r="H191" s="42"/>
      <c r="I191" s="42"/>
      <c r="J191" s="6" t="s">
        <v>643</v>
      </c>
      <c r="K191" s="2">
        <v>1</v>
      </c>
    </row>
    <row r="193" spans="1:11" s="3" customFormat="1">
      <c r="A193" t="s">
        <v>431</v>
      </c>
      <c r="B193"/>
      <c r="C193"/>
      <c r="D193" s="28" t="s">
        <v>21</v>
      </c>
      <c r="E193" t="s">
        <v>861</v>
      </c>
      <c r="H193" s="49"/>
      <c r="I193"/>
      <c r="J193" s="28"/>
      <c r="K193" s="28"/>
    </row>
    <row r="194" spans="1:11" s="3" customFormat="1">
      <c r="A194"/>
      <c r="B194"/>
      <c r="C194"/>
      <c r="D194" s="28" t="s">
        <v>862</v>
      </c>
      <c r="E194" t="s">
        <v>450</v>
      </c>
      <c r="H194" s="49"/>
      <c r="I194"/>
      <c r="J194" s="28"/>
      <c r="K194" s="28"/>
    </row>
    <row r="195" spans="1:11" s="3" customFormat="1">
      <c r="A195"/>
      <c r="B195"/>
      <c r="C195"/>
      <c r="D195" s="35"/>
      <c r="E195" s="31" t="s">
        <v>432</v>
      </c>
      <c r="H195" s="24"/>
      <c r="I195" t="s">
        <v>572</v>
      </c>
      <c r="J195" s="28"/>
      <c r="K195" s="28"/>
    </row>
    <row r="196" spans="1:11" s="3" customFormat="1">
      <c r="A196"/>
      <c r="B196"/>
      <c r="C196"/>
      <c r="D196" s="43"/>
      <c r="E196" t="s">
        <v>441</v>
      </c>
      <c r="I196"/>
      <c r="J196" s="28"/>
      <c r="K196" s="28"/>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BCC4-B46C-47E0-A1FF-8AA599FFFB69}">
  <sheetPr filterMode="1"/>
  <dimension ref="A1:K193"/>
  <sheetViews>
    <sheetView view="pageBreakPreview" zoomScaleNormal="120" zoomScaleSheetLayoutView="100" workbookViewId="0">
      <pane xSplit="4" ySplit="2" topLeftCell="E3" activePane="bottomRight" state="frozen"/>
      <selection pane="topRight" activeCell="G1" sqref="G1"/>
      <selection pane="bottomLeft" activeCell="A3" sqref="A3"/>
      <selection pane="bottomRight" activeCell="A194" sqref="A194"/>
    </sheetView>
  </sheetViews>
  <sheetFormatPr defaultColWidth="8.77734375" defaultRowHeight="13.2"/>
  <cols>
    <col min="1" max="1" width="4.6640625" customWidth="1"/>
    <col min="2" max="2" width="4.109375" customWidth="1"/>
    <col min="3" max="3" width="4.6640625" customWidth="1"/>
    <col min="4" max="4" width="23.88671875" style="3" bestFit="1" customWidth="1"/>
    <col min="5" max="5" width="15" style="3" hidden="1" customWidth="1"/>
    <col min="6" max="6" width="53.88671875" bestFit="1" customWidth="1"/>
    <col min="7" max="7" width="31.109375" style="3" bestFit="1" customWidth="1"/>
    <col min="8" max="8" width="5.33203125" style="28" customWidth="1"/>
    <col min="9" max="9" width="5.21875" style="28" bestFit="1" customWidth="1"/>
    <col min="10" max="10" width="15" style="3" bestFit="1" customWidth="1"/>
  </cols>
  <sheetData>
    <row r="1" spans="1:11" ht="40.5" customHeight="1">
      <c r="A1" s="108" t="s">
        <v>810</v>
      </c>
      <c r="B1" s="100"/>
      <c r="C1" s="100"/>
      <c r="D1" s="100"/>
      <c r="E1" s="99"/>
      <c r="F1" s="100"/>
      <c r="G1" s="100"/>
      <c r="H1" s="75" t="s">
        <v>641</v>
      </c>
      <c r="I1" s="75" t="s">
        <v>644</v>
      </c>
      <c r="J1" s="100"/>
    </row>
    <row r="2" spans="1:11" s="2" customFormat="1" ht="21" hidden="1" customHeight="1">
      <c r="A2" s="5" t="s">
        <v>0</v>
      </c>
      <c r="B2" s="5" t="s">
        <v>1</v>
      </c>
      <c r="C2" s="5" t="s">
        <v>2</v>
      </c>
      <c r="D2" s="5" t="s">
        <v>5</v>
      </c>
      <c r="E2" s="102" t="s">
        <v>7</v>
      </c>
      <c r="F2" s="5" t="s">
        <v>818</v>
      </c>
      <c r="G2" s="5" t="s">
        <v>8</v>
      </c>
      <c r="H2" s="5" t="s">
        <v>856</v>
      </c>
      <c r="I2" s="5" t="s">
        <v>857</v>
      </c>
      <c r="J2" s="5" t="s">
        <v>7</v>
      </c>
    </row>
    <row r="3" spans="1:11" s="1" customFormat="1" ht="15" customHeight="1">
      <c r="A3" s="7">
        <v>1</v>
      </c>
      <c r="B3" s="46">
        <v>1</v>
      </c>
      <c r="C3" s="46">
        <v>1</v>
      </c>
      <c r="D3" s="8" t="s">
        <v>9</v>
      </c>
      <c r="E3" s="103" t="s">
        <v>11</v>
      </c>
      <c r="F3" s="10" t="s">
        <v>820</v>
      </c>
      <c r="G3" s="7"/>
      <c r="H3" s="148" t="s">
        <v>642</v>
      </c>
      <c r="I3" s="150">
        <v>2</v>
      </c>
      <c r="J3" s="10" t="s">
        <v>11</v>
      </c>
      <c r="K3" s="1">
        <v>1</v>
      </c>
    </row>
    <row r="4" spans="1:11" s="1" customFormat="1" ht="15" hidden="1" customHeight="1">
      <c r="A4" s="128">
        <f t="shared" ref="A4:A67" si="0">ROW()-2</f>
        <v>2</v>
      </c>
      <c r="B4" s="129">
        <v>1</v>
      </c>
      <c r="C4" s="129">
        <v>1</v>
      </c>
      <c r="D4" s="130" t="s">
        <v>12</v>
      </c>
      <c r="E4" s="10" t="s">
        <v>13</v>
      </c>
      <c r="F4" s="131" t="s">
        <v>794</v>
      </c>
      <c r="G4" s="130"/>
      <c r="H4" s="6" t="s">
        <v>643</v>
      </c>
      <c r="I4" s="2">
        <v>0</v>
      </c>
      <c r="J4" s="131" t="s">
        <v>13</v>
      </c>
    </row>
    <row r="5" spans="1:11" s="1" customFormat="1" ht="15" hidden="1" customHeight="1">
      <c r="A5" s="7">
        <f t="shared" si="0"/>
        <v>3</v>
      </c>
      <c r="B5" s="46">
        <v>1</v>
      </c>
      <c r="C5" s="46">
        <v>1</v>
      </c>
      <c r="D5" s="8" t="s">
        <v>14</v>
      </c>
      <c r="E5" s="10" t="s">
        <v>15</v>
      </c>
      <c r="F5" s="10" t="s">
        <v>792</v>
      </c>
      <c r="G5" s="8"/>
      <c r="H5" s="6" t="s">
        <v>643</v>
      </c>
      <c r="I5" s="2">
        <v>3</v>
      </c>
      <c r="J5" s="10" t="s">
        <v>15</v>
      </c>
    </row>
    <row r="6" spans="1:11" s="1" customFormat="1" ht="15" hidden="1" customHeight="1">
      <c r="A6" s="7">
        <f t="shared" si="0"/>
        <v>4</v>
      </c>
      <c r="B6" s="46">
        <v>1</v>
      </c>
      <c r="C6" s="46">
        <v>1</v>
      </c>
      <c r="D6" s="8" t="s">
        <v>16</v>
      </c>
      <c r="E6" s="10" t="s">
        <v>17</v>
      </c>
      <c r="F6" s="10" t="s">
        <v>529</v>
      </c>
      <c r="G6" s="8"/>
      <c r="H6" s="6" t="s">
        <v>643</v>
      </c>
      <c r="I6" s="2"/>
      <c r="J6" s="10" t="s">
        <v>17</v>
      </c>
    </row>
    <row r="7" spans="1:11" s="1" customFormat="1" ht="15" hidden="1" customHeight="1">
      <c r="A7" s="7">
        <f t="shared" si="0"/>
        <v>5</v>
      </c>
      <c r="B7" s="46">
        <v>1</v>
      </c>
      <c r="C7" s="46">
        <v>1</v>
      </c>
      <c r="D7" s="15" t="s">
        <v>18</v>
      </c>
      <c r="E7" s="16" t="s">
        <v>19</v>
      </c>
      <c r="F7" s="10" t="s">
        <v>795</v>
      </c>
      <c r="G7" s="8"/>
      <c r="H7" s="6" t="s">
        <v>643</v>
      </c>
      <c r="I7" s="2">
        <v>0</v>
      </c>
      <c r="J7" s="16" t="s">
        <v>19</v>
      </c>
    </row>
    <row r="8" spans="1:11" s="1" customFormat="1" ht="15" hidden="1" customHeight="1">
      <c r="A8" s="7">
        <f t="shared" si="0"/>
        <v>6</v>
      </c>
      <c r="B8" s="46">
        <v>1</v>
      </c>
      <c r="C8" s="46">
        <v>1</v>
      </c>
      <c r="D8" s="15" t="s">
        <v>578</v>
      </c>
      <c r="E8" s="42"/>
      <c r="F8" s="10" t="s">
        <v>790</v>
      </c>
      <c r="G8" s="8"/>
      <c r="H8" s="6" t="s">
        <v>643</v>
      </c>
      <c r="I8" s="2">
        <v>0</v>
      </c>
      <c r="J8" s="42"/>
    </row>
    <row r="9" spans="1:11" s="1" customFormat="1" ht="15" hidden="1" customHeight="1">
      <c r="A9" s="7">
        <f t="shared" si="0"/>
        <v>7</v>
      </c>
      <c r="B9" s="46">
        <v>1</v>
      </c>
      <c r="C9" s="46">
        <v>1</v>
      </c>
      <c r="D9" s="15" t="s">
        <v>22</v>
      </c>
      <c r="E9" s="16" t="s">
        <v>24</v>
      </c>
      <c r="F9" s="10" t="s">
        <v>645</v>
      </c>
      <c r="G9" s="8"/>
      <c r="H9" s="6" t="s">
        <v>643</v>
      </c>
      <c r="I9" s="2">
        <v>0</v>
      </c>
      <c r="J9" s="16" t="s">
        <v>24</v>
      </c>
    </row>
    <row r="10" spans="1:11" s="1" customFormat="1" ht="15" hidden="1" customHeight="1">
      <c r="A10" s="109">
        <f t="shared" si="0"/>
        <v>8</v>
      </c>
      <c r="B10" s="110">
        <v>1</v>
      </c>
      <c r="C10" s="110">
        <v>1</v>
      </c>
      <c r="D10" s="111" t="s">
        <v>25</v>
      </c>
      <c r="E10" s="16" t="s">
        <v>26</v>
      </c>
      <c r="F10" s="95" t="s">
        <v>791</v>
      </c>
      <c r="G10" s="112"/>
      <c r="H10" s="6" t="s">
        <v>643</v>
      </c>
      <c r="I10" s="2">
        <v>2</v>
      </c>
      <c r="J10" s="113" t="s">
        <v>26</v>
      </c>
    </row>
    <row r="11" spans="1:11" s="1" customFormat="1" ht="15" customHeight="1">
      <c r="A11" s="7">
        <v>2</v>
      </c>
      <c r="B11" s="46">
        <v>1</v>
      </c>
      <c r="C11" s="46">
        <v>1</v>
      </c>
      <c r="D11" s="15" t="s">
        <v>28</v>
      </c>
      <c r="E11" s="104" t="s">
        <v>29</v>
      </c>
      <c r="F11" s="10" t="s">
        <v>819</v>
      </c>
      <c r="G11" s="7"/>
      <c r="H11" s="148" t="s">
        <v>642</v>
      </c>
      <c r="I11" s="150">
        <v>2</v>
      </c>
      <c r="J11" s="16" t="s">
        <v>29</v>
      </c>
      <c r="K11" s="1">
        <v>1</v>
      </c>
    </row>
    <row r="12" spans="1:11" s="1" customFormat="1" ht="15" hidden="1" customHeight="1">
      <c r="A12" s="128">
        <f t="shared" si="0"/>
        <v>10</v>
      </c>
      <c r="B12" s="129">
        <v>1</v>
      </c>
      <c r="C12" s="129">
        <v>1</v>
      </c>
      <c r="D12" s="132" t="s">
        <v>632</v>
      </c>
      <c r="E12" s="26" t="s">
        <v>633</v>
      </c>
      <c r="F12" s="97" t="s">
        <v>634</v>
      </c>
      <c r="G12" s="130"/>
      <c r="H12" s="78"/>
      <c r="I12" s="2"/>
      <c r="J12" s="133" t="s">
        <v>633</v>
      </c>
      <c r="K12" s="1">
        <v>1</v>
      </c>
    </row>
    <row r="13" spans="1:11" s="1" customFormat="1" ht="15" hidden="1" customHeight="1">
      <c r="A13" s="7">
        <f t="shared" si="0"/>
        <v>11</v>
      </c>
      <c r="B13" s="44">
        <v>1</v>
      </c>
      <c r="C13" s="44">
        <v>2</v>
      </c>
      <c r="D13" s="8" t="s">
        <v>30</v>
      </c>
      <c r="E13" s="10" t="s">
        <v>32</v>
      </c>
      <c r="F13" s="10"/>
      <c r="G13" s="8"/>
      <c r="H13" s="6" t="s">
        <v>643</v>
      </c>
      <c r="I13" s="2"/>
      <c r="J13" s="10" t="s">
        <v>32</v>
      </c>
    </row>
    <row r="14" spans="1:11" s="1" customFormat="1" ht="15" hidden="1" customHeight="1">
      <c r="A14" s="109">
        <f t="shared" si="0"/>
        <v>12</v>
      </c>
      <c r="B14" s="114">
        <v>1</v>
      </c>
      <c r="C14" s="114">
        <v>2</v>
      </c>
      <c r="D14" s="112" t="s">
        <v>33</v>
      </c>
      <c r="E14" s="10" t="s">
        <v>35</v>
      </c>
      <c r="F14" s="95" t="s">
        <v>649</v>
      </c>
      <c r="G14" s="112"/>
      <c r="H14" s="6" t="s">
        <v>643</v>
      </c>
      <c r="I14" s="2">
        <v>0</v>
      </c>
      <c r="J14" s="95" t="s">
        <v>35</v>
      </c>
    </row>
    <row r="15" spans="1:11" s="1" customFormat="1" ht="15" customHeight="1">
      <c r="A15" s="7">
        <v>3</v>
      </c>
      <c r="B15" s="44">
        <v>1</v>
      </c>
      <c r="C15" s="44">
        <v>2</v>
      </c>
      <c r="D15" s="8" t="s">
        <v>37</v>
      </c>
      <c r="E15" s="103" t="s">
        <v>38</v>
      </c>
      <c r="F15" s="10" t="s">
        <v>821</v>
      </c>
      <c r="G15" s="7"/>
      <c r="H15" s="148" t="s">
        <v>642</v>
      </c>
      <c r="I15" s="150">
        <v>6</v>
      </c>
      <c r="J15" s="10" t="s">
        <v>38</v>
      </c>
      <c r="K15" s="1">
        <v>1</v>
      </c>
    </row>
    <row r="16" spans="1:11" s="1" customFormat="1" ht="15" hidden="1" customHeight="1">
      <c r="A16" s="128">
        <f t="shared" si="0"/>
        <v>14</v>
      </c>
      <c r="B16" s="134">
        <v>1</v>
      </c>
      <c r="C16" s="134">
        <v>2</v>
      </c>
      <c r="D16" s="130" t="s">
        <v>39</v>
      </c>
      <c r="E16" s="10" t="s">
        <v>40</v>
      </c>
      <c r="F16" s="131" t="s">
        <v>796</v>
      </c>
      <c r="G16" s="130"/>
      <c r="H16" s="6" t="s">
        <v>643</v>
      </c>
      <c r="I16" s="2">
        <v>1</v>
      </c>
      <c r="J16" s="131" t="s">
        <v>40</v>
      </c>
    </row>
    <row r="17" spans="1:11" s="1" customFormat="1" ht="15" hidden="1" customHeight="1">
      <c r="A17" s="7">
        <f t="shared" si="0"/>
        <v>15</v>
      </c>
      <c r="B17" s="44">
        <v>1</v>
      </c>
      <c r="C17" s="44">
        <v>2</v>
      </c>
      <c r="D17" s="8" t="s">
        <v>41</v>
      </c>
      <c r="E17" s="10" t="s">
        <v>42</v>
      </c>
      <c r="F17" s="10" t="s">
        <v>535</v>
      </c>
      <c r="G17" s="8"/>
      <c r="H17" s="78"/>
      <c r="I17" s="2"/>
      <c r="J17" s="10" t="s">
        <v>42</v>
      </c>
      <c r="K17" s="1">
        <v>1</v>
      </c>
    </row>
    <row r="18" spans="1:11" s="1" customFormat="1" ht="15" hidden="1" customHeight="1">
      <c r="A18" s="7">
        <f t="shared" si="0"/>
        <v>16</v>
      </c>
      <c r="B18" s="44">
        <v>1</v>
      </c>
      <c r="C18" s="44">
        <v>2</v>
      </c>
      <c r="D18" s="8" t="s">
        <v>43</v>
      </c>
      <c r="E18" s="10" t="s">
        <v>44</v>
      </c>
      <c r="F18" s="10"/>
      <c r="G18" s="8"/>
      <c r="H18" s="78"/>
      <c r="I18" s="2"/>
      <c r="J18" s="10" t="s">
        <v>44</v>
      </c>
      <c r="K18" s="1">
        <v>1</v>
      </c>
    </row>
    <row r="19" spans="1:11" s="1" customFormat="1" ht="15" hidden="1" customHeight="1">
      <c r="A19" s="7">
        <f t="shared" si="0"/>
        <v>17</v>
      </c>
      <c r="B19" s="44">
        <v>1</v>
      </c>
      <c r="C19" s="44">
        <v>2</v>
      </c>
      <c r="D19" s="8" t="s">
        <v>45</v>
      </c>
      <c r="E19" s="10" t="s">
        <v>46</v>
      </c>
      <c r="F19" s="10" t="s">
        <v>648</v>
      </c>
      <c r="G19" s="8"/>
      <c r="H19" s="6" t="s">
        <v>643</v>
      </c>
      <c r="I19" s="2">
        <v>0</v>
      </c>
      <c r="J19" s="10" t="s">
        <v>46</v>
      </c>
    </row>
    <row r="20" spans="1:11" s="1" customFormat="1" ht="15" hidden="1" customHeight="1">
      <c r="A20" s="7">
        <f t="shared" si="0"/>
        <v>18</v>
      </c>
      <c r="B20" s="44">
        <v>1</v>
      </c>
      <c r="C20" s="44">
        <v>2</v>
      </c>
      <c r="D20" s="15" t="s">
        <v>468</v>
      </c>
      <c r="E20" s="26" t="s">
        <v>471</v>
      </c>
      <c r="F20" s="16" t="s">
        <v>650</v>
      </c>
      <c r="G20" s="8"/>
      <c r="H20" s="6" t="s">
        <v>643</v>
      </c>
      <c r="I20" s="2">
        <v>3</v>
      </c>
      <c r="J20" s="26" t="s">
        <v>471</v>
      </c>
    </row>
    <row r="21" spans="1:11" s="1" customFormat="1" ht="15" hidden="1" customHeight="1">
      <c r="A21" s="7">
        <f t="shared" si="0"/>
        <v>19</v>
      </c>
      <c r="B21" s="44">
        <v>1</v>
      </c>
      <c r="C21" s="44">
        <v>2</v>
      </c>
      <c r="D21" s="15" t="s">
        <v>635</v>
      </c>
      <c r="E21" s="26" t="s">
        <v>636</v>
      </c>
      <c r="F21" s="16" t="s">
        <v>647</v>
      </c>
      <c r="G21" s="8"/>
      <c r="H21" s="6" t="s">
        <v>643</v>
      </c>
      <c r="I21" s="2">
        <v>1</v>
      </c>
      <c r="J21" s="26" t="s">
        <v>636</v>
      </c>
    </row>
    <row r="22" spans="1:11" s="1" customFormat="1" ht="15" hidden="1" customHeight="1">
      <c r="A22" s="109">
        <f t="shared" si="0"/>
        <v>20</v>
      </c>
      <c r="B22" s="115">
        <v>1</v>
      </c>
      <c r="C22" s="115">
        <v>3</v>
      </c>
      <c r="D22" s="112" t="s">
        <v>47</v>
      </c>
      <c r="E22" s="10" t="s">
        <v>48</v>
      </c>
      <c r="F22" s="95" t="s">
        <v>801</v>
      </c>
      <c r="G22" s="112"/>
      <c r="H22" s="6" t="s">
        <v>643</v>
      </c>
      <c r="I22" s="2">
        <v>7</v>
      </c>
      <c r="J22" s="95" t="s">
        <v>48</v>
      </c>
    </row>
    <row r="23" spans="1:11" s="1" customFormat="1" ht="15" customHeight="1">
      <c r="A23" s="7">
        <v>4</v>
      </c>
      <c r="B23" s="45">
        <v>1</v>
      </c>
      <c r="C23" s="45">
        <v>3</v>
      </c>
      <c r="D23" s="8" t="s">
        <v>49</v>
      </c>
      <c r="E23" s="103" t="s">
        <v>51</v>
      </c>
      <c r="F23" s="10" t="s">
        <v>855</v>
      </c>
      <c r="G23" s="7"/>
      <c r="H23" s="148" t="s">
        <v>642</v>
      </c>
      <c r="I23" s="150">
        <v>1</v>
      </c>
      <c r="J23" s="10" t="s">
        <v>51</v>
      </c>
      <c r="K23" s="1">
        <v>1</v>
      </c>
    </row>
    <row r="24" spans="1:11" s="1" customFormat="1" ht="15" hidden="1" customHeight="1">
      <c r="A24" s="128">
        <f t="shared" si="0"/>
        <v>22</v>
      </c>
      <c r="B24" s="135">
        <v>1</v>
      </c>
      <c r="C24" s="135">
        <v>3</v>
      </c>
      <c r="D24" s="130" t="s">
        <v>52</v>
      </c>
      <c r="E24" s="10" t="s">
        <v>53</v>
      </c>
      <c r="F24" s="131" t="s">
        <v>797</v>
      </c>
      <c r="G24" s="130"/>
      <c r="H24" s="6" t="s">
        <v>643</v>
      </c>
      <c r="I24" s="2">
        <v>1</v>
      </c>
      <c r="J24" s="131" t="s">
        <v>53</v>
      </c>
    </row>
    <row r="25" spans="1:11" s="1" customFormat="1" ht="15" hidden="1" customHeight="1">
      <c r="A25" s="7">
        <f t="shared" si="0"/>
        <v>23</v>
      </c>
      <c r="B25" s="45">
        <v>1</v>
      </c>
      <c r="C25" s="45">
        <v>3</v>
      </c>
      <c r="D25" s="8" t="s">
        <v>54</v>
      </c>
      <c r="E25" s="10" t="s">
        <v>55</v>
      </c>
      <c r="F25" s="16" t="s">
        <v>651</v>
      </c>
      <c r="G25" s="8"/>
      <c r="H25" s="6" t="s">
        <v>643</v>
      </c>
      <c r="I25" s="2">
        <v>1</v>
      </c>
      <c r="J25" s="10" t="s">
        <v>55</v>
      </c>
    </row>
    <row r="26" spans="1:11" s="1" customFormat="1" ht="15" hidden="1" customHeight="1">
      <c r="A26" s="7">
        <f t="shared" si="0"/>
        <v>24</v>
      </c>
      <c r="B26" s="45">
        <v>1</v>
      </c>
      <c r="C26" s="45">
        <v>3</v>
      </c>
      <c r="D26" s="8" t="s">
        <v>56</v>
      </c>
      <c r="E26" s="10" t="s">
        <v>57</v>
      </c>
      <c r="F26" s="16" t="s">
        <v>802</v>
      </c>
      <c r="G26" s="8"/>
      <c r="H26" s="6" t="s">
        <v>643</v>
      </c>
      <c r="I26" s="2">
        <v>1</v>
      </c>
      <c r="J26" s="10" t="s">
        <v>57</v>
      </c>
    </row>
    <row r="27" spans="1:11" s="1" customFormat="1" ht="15" hidden="1" customHeight="1">
      <c r="A27" s="7">
        <f t="shared" si="0"/>
        <v>25</v>
      </c>
      <c r="B27" s="45">
        <v>1</v>
      </c>
      <c r="C27" s="45">
        <v>3</v>
      </c>
      <c r="D27" s="8" t="s">
        <v>59</v>
      </c>
      <c r="E27" s="10" t="s">
        <v>60</v>
      </c>
      <c r="F27" s="10" t="s">
        <v>798</v>
      </c>
      <c r="G27" s="8"/>
      <c r="H27" s="6" t="s">
        <v>643</v>
      </c>
      <c r="I27" s="2">
        <v>4</v>
      </c>
      <c r="J27" s="10" t="s">
        <v>60</v>
      </c>
    </row>
    <row r="28" spans="1:11" s="1" customFormat="1" ht="15" hidden="1" customHeight="1">
      <c r="A28" s="7">
        <f t="shared" si="0"/>
        <v>26</v>
      </c>
      <c r="B28" s="45">
        <v>1</v>
      </c>
      <c r="C28" s="45">
        <v>3</v>
      </c>
      <c r="D28" s="8" t="s">
        <v>61</v>
      </c>
      <c r="E28" s="10" t="s">
        <v>62</v>
      </c>
      <c r="F28" s="16" t="s">
        <v>799</v>
      </c>
      <c r="G28" s="8"/>
      <c r="H28" s="6" t="s">
        <v>643</v>
      </c>
      <c r="I28" s="2"/>
      <c r="J28" s="10" t="s">
        <v>62</v>
      </c>
    </row>
    <row r="29" spans="1:11" s="1" customFormat="1" ht="15" hidden="1" customHeight="1">
      <c r="A29" s="7">
        <f t="shared" si="0"/>
        <v>27</v>
      </c>
      <c r="B29" s="45">
        <v>1</v>
      </c>
      <c r="C29" s="45">
        <v>3</v>
      </c>
      <c r="D29" s="8" t="s">
        <v>455</v>
      </c>
      <c r="E29" s="10" t="s">
        <v>64</v>
      </c>
      <c r="F29" s="10" t="s">
        <v>800</v>
      </c>
      <c r="G29" s="8"/>
      <c r="H29" s="6" t="s">
        <v>643</v>
      </c>
      <c r="I29" s="2">
        <v>2</v>
      </c>
      <c r="J29" s="10" t="s">
        <v>64</v>
      </c>
    </row>
    <row r="30" spans="1:11" s="1" customFormat="1" ht="15" hidden="1" customHeight="1">
      <c r="A30" s="7">
        <f t="shared" si="0"/>
        <v>28</v>
      </c>
      <c r="B30" s="33">
        <v>1</v>
      </c>
      <c r="C30" s="33">
        <v>4</v>
      </c>
      <c r="D30" s="8" t="s">
        <v>456</v>
      </c>
      <c r="E30" s="10" t="s">
        <v>66</v>
      </c>
      <c r="F30" s="10" t="s">
        <v>652</v>
      </c>
      <c r="G30" s="8"/>
      <c r="H30" s="6" t="s">
        <v>643</v>
      </c>
      <c r="I30" s="2">
        <v>2</v>
      </c>
      <c r="J30" s="10" t="s">
        <v>66</v>
      </c>
    </row>
    <row r="31" spans="1:11" s="1" customFormat="1" ht="15" hidden="1" customHeight="1">
      <c r="A31" s="7">
        <f t="shared" si="0"/>
        <v>29</v>
      </c>
      <c r="B31" s="33">
        <v>1</v>
      </c>
      <c r="C31" s="33">
        <v>4</v>
      </c>
      <c r="D31" s="8" t="s">
        <v>68</v>
      </c>
      <c r="E31" s="10" t="s">
        <v>69</v>
      </c>
      <c r="F31" s="10" t="s">
        <v>653</v>
      </c>
      <c r="G31" s="8"/>
      <c r="H31" s="6" t="s">
        <v>643</v>
      </c>
      <c r="I31" s="2">
        <v>4</v>
      </c>
      <c r="J31" s="10" t="s">
        <v>69</v>
      </c>
    </row>
    <row r="32" spans="1:11" s="1" customFormat="1" ht="15" hidden="1" customHeight="1">
      <c r="A32" s="7">
        <f t="shared" si="0"/>
        <v>30</v>
      </c>
      <c r="B32" s="33">
        <v>1</v>
      </c>
      <c r="C32" s="33">
        <v>4</v>
      </c>
      <c r="D32" s="8" t="s">
        <v>70</v>
      </c>
      <c r="E32" s="10" t="s">
        <v>72</v>
      </c>
      <c r="F32" s="10" t="s">
        <v>541</v>
      </c>
      <c r="G32" s="8"/>
      <c r="H32" s="6" t="s">
        <v>643</v>
      </c>
      <c r="I32" s="2">
        <v>3</v>
      </c>
      <c r="J32" s="10" t="s">
        <v>72</v>
      </c>
    </row>
    <row r="33" spans="1:11" s="1" customFormat="1" ht="15" hidden="1" customHeight="1">
      <c r="A33" s="7">
        <f t="shared" si="0"/>
        <v>31</v>
      </c>
      <c r="B33" s="33">
        <v>1</v>
      </c>
      <c r="C33" s="33">
        <v>4</v>
      </c>
      <c r="D33" s="8" t="s">
        <v>73</v>
      </c>
      <c r="E33" s="10" t="s">
        <v>74</v>
      </c>
      <c r="F33" s="10" t="s">
        <v>527</v>
      </c>
      <c r="G33" s="8"/>
      <c r="H33" s="6" t="s">
        <v>643</v>
      </c>
      <c r="I33" s="2">
        <v>1</v>
      </c>
      <c r="J33" s="10" t="s">
        <v>74</v>
      </c>
    </row>
    <row r="34" spans="1:11" s="1" customFormat="1" ht="15" hidden="1" customHeight="1">
      <c r="A34" s="7">
        <f t="shared" si="0"/>
        <v>32</v>
      </c>
      <c r="B34" s="33">
        <v>1</v>
      </c>
      <c r="C34" s="33">
        <v>4</v>
      </c>
      <c r="D34" s="8" t="s">
        <v>75</v>
      </c>
      <c r="E34" s="10" t="s">
        <v>76</v>
      </c>
      <c r="F34" s="16" t="s">
        <v>540</v>
      </c>
      <c r="G34" s="8"/>
      <c r="H34" s="6" t="s">
        <v>643</v>
      </c>
      <c r="I34" s="2">
        <v>3</v>
      </c>
      <c r="J34" s="10" t="s">
        <v>76</v>
      </c>
    </row>
    <row r="35" spans="1:11" s="1" customFormat="1" ht="15" hidden="1" customHeight="1">
      <c r="A35" s="7">
        <f t="shared" si="0"/>
        <v>33</v>
      </c>
      <c r="B35" s="34">
        <v>1</v>
      </c>
      <c r="C35" s="34">
        <v>4</v>
      </c>
      <c r="D35" s="15" t="s">
        <v>77</v>
      </c>
      <c r="E35" s="16" t="s">
        <v>78</v>
      </c>
      <c r="F35" s="16" t="s">
        <v>654</v>
      </c>
      <c r="G35" s="8"/>
      <c r="H35" s="6" t="s">
        <v>643</v>
      </c>
      <c r="I35" s="2">
        <v>2</v>
      </c>
      <c r="J35" s="16" t="s">
        <v>78</v>
      </c>
    </row>
    <row r="36" spans="1:11" s="1" customFormat="1" ht="15.75" hidden="1" customHeight="1">
      <c r="A36" s="7">
        <f t="shared" si="0"/>
        <v>34</v>
      </c>
      <c r="B36" s="39">
        <v>1</v>
      </c>
      <c r="C36" s="39">
        <v>5</v>
      </c>
      <c r="D36" s="15" t="s">
        <v>79</v>
      </c>
      <c r="E36" s="16" t="s">
        <v>81</v>
      </c>
      <c r="F36" s="42" t="s">
        <v>655</v>
      </c>
      <c r="G36" s="8"/>
      <c r="H36" s="6" t="s">
        <v>643</v>
      </c>
      <c r="I36" s="2">
        <v>5</v>
      </c>
      <c r="J36" s="16" t="s">
        <v>81</v>
      </c>
    </row>
    <row r="37" spans="1:11" s="1" customFormat="1" ht="15" hidden="1" customHeight="1">
      <c r="A37" s="7">
        <f t="shared" si="0"/>
        <v>35</v>
      </c>
      <c r="B37" s="39">
        <v>1</v>
      </c>
      <c r="C37" s="39">
        <v>5</v>
      </c>
      <c r="D37" s="15" t="s">
        <v>82</v>
      </c>
      <c r="E37" s="16" t="s">
        <v>83</v>
      </c>
      <c r="F37" s="16" t="s">
        <v>656</v>
      </c>
      <c r="G37" s="8"/>
      <c r="H37" s="6" t="s">
        <v>643</v>
      </c>
      <c r="I37" s="2">
        <v>1</v>
      </c>
      <c r="J37" s="16" t="s">
        <v>83</v>
      </c>
    </row>
    <row r="38" spans="1:11" s="1" customFormat="1" ht="15" hidden="1" customHeight="1">
      <c r="A38" s="7">
        <f t="shared" si="0"/>
        <v>36</v>
      </c>
      <c r="B38" s="39">
        <v>1</v>
      </c>
      <c r="C38" s="39">
        <v>5</v>
      </c>
      <c r="D38" s="15" t="s">
        <v>85</v>
      </c>
      <c r="E38" s="16" t="s">
        <v>86</v>
      </c>
      <c r="F38" s="16" t="s">
        <v>657</v>
      </c>
      <c r="G38" s="8"/>
      <c r="H38" s="6" t="s">
        <v>643</v>
      </c>
      <c r="I38" s="2">
        <v>1</v>
      </c>
      <c r="J38" s="16" t="s">
        <v>86</v>
      </c>
    </row>
    <row r="39" spans="1:11" s="1" customFormat="1" ht="15" hidden="1" customHeight="1">
      <c r="A39" s="7">
        <f t="shared" si="0"/>
        <v>37</v>
      </c>
      <c r="B39" s="47">
        <v>1</v>
      </c>
      <c r="C39" s="47">
        <v>6</v>
      </c>
      <c r="D39" s="15" t="s">
        <v>87</v>
      </c>
      <c r="E39" s="16" t="s">
        <v>89</v>
      </c>
      <c r="F39" s="16" t="s">
        <v>659</v>
      </c>
      <c r="G39" s="8"/>
      <c r="H39" s="6" t="s">
        <v>643</v>
      </c>
      <c r="I39" s="2">
        <v>2</v>
      </c>
      <c r="J39" s="16" t="s">
        <v>89</v>
      </c>
    </row>
    <row r="40" spans="1:11" s="1" customFormat="1" ht="15" hidden="1" customHeight="1">
      <c r="A40" s="109">
        <f t="shared" si="0"/>
        <v>38</v>
      </c>
      <c r="B40" s="116">
        <v>1</v>
      </c>
      <c r="C40" s="116">
        <v>6</v>
      </c>
      <c r="D40" s="111" t="s">
        <v>90</v>
      </c>
      <c r="E40" s="16" t="s">
        <v>92</v>
      </c>
      <c r="F40" s="113"/>
      <c r="G40" s="112"/>
      <c r="H40" s="78"/>
      <c r="I40" s="81"/>
      <c r="J40" s="113" t="s">
        <v>92</v>
      </c>
      <c r="K40" s="1">
        <v>1</v>
      </c>
    </row>
    <row r="41" spans="1:11" s="1" customFormat="1" ht="15" customHeight="1">
      <c r="A41" s="7">
        <v>5</v>
      </c>
      <c r="B41" s="47">
        <v>1</v>
      </c>
      <c r="C41" s="47">
        <v>6</v>
      </c>
      <c r="D41" s="15" t="s">
        <v>93</v>
      </c>
      <c r="E41" s="104" t="s">
        <v>94</v>
      </c>
      <c r="F41" s="16" t="s">
        <v>822</v>
      </c>
      <c r="G41" s="7"/>
      <c r="H41" s="148" t="s">
        <v>642</v>
      </c>
      <c r="I41" s="150">
        <v>1</v>
      </c>
      <c r="J41" s="16" t="s">
        <v>94</v>
      </c>
      <c r="K41" s="1">
        <v>1</v>
      </c>
    </row>
    <row r="42" spans="1:11" s="1" customFormat="1" ht="15" hidden="1" customHeight="1">
      <c r="A42" s="128">
        <f t="shared" si="0"/>
        <v>40</v>
      </c>
      <c r="B42" s="136">
        <v>1</v>
      </c>
      <c r="C42" s="136">
        <v>6</v>
      </c>
      <c r="D42" s="132" t="s">
        <v>95</v>
      </c>
      <c r="E42" s="16" t="s">
        <v>97</v>
      </c>
      <c r="F42" s="97" t="s">
        <v>658</v>
      </c>
      <c r="G42" s="130"/>
      <c r="H42" s="6" t="s">
        <v>643</v>
      </c>
      <c r="I42" s="2">
        <v>4</v>
      </c>
      <c r="J42" s="97" t="s">
        <v>97</v>
      </c>
    </row>
    <row r="43" spans="1:11" s="1" customFormat="1" ht="15" hidden="1" customHeight="1">
      <c r="A43" s="7">
        <f t="shared" si="0"/>
        <v>41</v>
      </c>
      <c r="B43" s="47">
        <v>1</v>
      </c>
      <c r="C43" s="47">
        <v>6</v>
      </c>
      <c r="D43" s="15" t="s">
        <v>98</v>
      </c>
      <c r="E43" s="16" t="s">
        <v>100</v>
      </c>
      <c r="F43" s="16" t="s">
        <v>660</v>
      </c>
      <c r="G43" s="8"/>
      <c r="H43" s="6" t="s">
        <v>643</v>
      </c>
      <c r="I43" s="2">
        <v>4</v>
      </c>
      <c r="J43" s="16" t="s">
        <v>100</v>
      </c>
    </row>
    <row r="44" spans="1:11" s="1" customFormat="1" ht="15" hidden="1" customHeight="1">
      <c r="A44" s="7">
        <f t="shared" si="0"/>
        <v>42</v>
      </c>
      <c r="B44" s="47">
        <v>1</v>
      </c>
      <c r="C44" s="47">
        <v>6</v>
      </c>
      <c r="D44" s="15" t="s">
        <v>436</v>
      </c>
      <c r="E44" s="42" t="s">
        <v>438</v>
      </c>
      <c r="F44" s="16" t="s">
        <v>439</v>
      </c>
      <c r="G44" s="8"/>
      <c r="H44" s="6" t="s">
        <v>643</v>
      </c>
      <c r="I44" s="2">
        <v>3</v>
      </c>
      <c r="J44" s="42" t="s">
        <v>438</v>
      </c>
    </row>
    <row r="45" spans="1:11" s="1" customFormat="1" ht="15" hidden="1" customHeight="1">
      <c r="A45" s="7">
        <f t="shared" si="0"/>
        <v>43</v>
      </c>
      <c r="B45" s="47">
        <v>1</v>
      </c>
      <c r="C45" s="47">
        <v>6</v>
      </c>
      <c r="D45" s="15" t="s">
        <v>464</v>
      </c>
      <c r="E45" s="16" t="s">
        <v>465</v>
      </c>
      <c r="F45" s="16" t="s">
        <v>803</v>
      </c>
      <c r="G45" s="8"/>
      <c r="H45" s="6" t="s">
        <v>643</v>
      </c>
      <c r="I45" s="2">
        <v>4</v>
      </c>
      <c r="J45" s="16" t="s">
        <v>465</v>
      </c>
    </row>
    <row r="46" spans="1:11" s="1" customFormat="1" ht="15" hidden="1" customHeight="1">
      <c r="A46" s="7">
        <f t="shared" si="0"/>
        <v>44</v>
      </c>
      <c r="B46" s="33">
        <v>1</v>
      </c>
      <c r="C46" s="33">
        <v>7</v>
      </c>
      <c r="D46" s="8" t="s">
        <v>102</v>
      </c>
      <c r="E46" s="10" t="s">
        <v>103</v>
      </c>
      <c r="F46" s="16" t="s">
        <v>661</v>
      </c>
      <c r="G46" s="8"/>
      <c r="H46" s="6" t="s">
        <v>643</v>
      </c>
      <c r="I46" s="2">
        <v>1</v>
      </c>
      <c r="J46" s="10" t="s">
        <v>103</v>
      </c>
    </row>
    <row r="47" spans="1:11" s="1" customFormat="1" ht="15" hidden="1" customHeight="1">
      <c r="A47" s="7">
        <f t="shared" si="0"/>
        <v>45</v>
      </c>
      <c r="B47" s="33">
        <v>1</v>
      </c>
      <c r="C47" s="33">
        <v>7</v>
      </c>
      <c r="D47" s="8" t="s">
        <v>104</v>
      </c>
      <c r="E47" s="10" t="s">
        <v>105</v>
      </c>
      <c r="F47" s="16" t="s">
        <v>662</v>
      </c>
      <c r="G47" s="8"/>
      <c r="H47" s="6" t="s">
        <v>643</v>
      </c>
      <c r="I47" s="2">
        <v>2</v>
      </c>
      <c r="J47" s="10" t="s">
        <v>105</v>
      </c>
    </row>
    <row r="48" spans="1:11" s="1" customFormat="1" ht="15" hidden="1" customHeight="1">
      <c r="A48" s="7">
        <f t="shared" si="0"/>
        <v>46</v>
      </c>
      <c r="B48" s="33">
        <v>1</v>
      </c>
      <c r="C48" s="33">
        <v>7</v>
      </c>
      <c r="D48" s="8" t="s">
        <v>805</v>
      </c>
      <c r="E48" s="10" t="s">
        <v>107</v>
      </c>
      <c r="F48" s="16" t="s">
        <v>804</v>
      </c>
      <c r="G48" s="8"/>
      <c r="H48" s="79" t="s">
        <v>643</v>
      </c>
      <c r="I48" s="80">
        <v>0</v>
      </c>
      <c r="J48" s="10" t="s">
        <v>107</v>
      </c>
    </row>
    <row r="49" spans="1:11" s="1" customFormat="1" ht="15" hidden="1" customHeight="1">
      <c r="A49" s="7">
        <f t="shared" si="0"/>
        <v>47</v>
      </c>
      <c r="B49" s="33">
        <v>1</v>
      </c>
      <c r="C49" s="33">
        <v>7</v>
      </c>
      <c r="D49" s="8" t="s">
        <v>108</v>
      </c>
      <c r="E49" s="10" t="s">
        <v>109</v>
      </c>
      <c r="F49" s="16" t="s">
        <v>663</v>
      </c>
      <c r="G49" s="8"/>
      <c r="H49" s="6" t="s">
        <v>643</v>
      </c>
      <c r="I49" s="2">
        <v>0</v>
      </c>
      <c r="J49" s="10" t="s">
        <v>109</v>
      </c>
    </row>
    <row r="50" spans="1:11" s="1" customFormat="1" ht="15" hidden="1" customHeight="1">
      <c r="A50" s="7">
        <f t="shared" si="0"/>
        <v>48</v>
      </c>
      <c r="B50" s="33">
        <v>1</v>
      </c>
      <c r="C50" s="33">
        <v>7</v>
      </c>
      <c r="D50" s="8" t="s">
        <v>110</v>
      </c>
      <c r="E50" s="10" t="s">
        <v>111</v>
      </c>
      <c r="F50" s="16" t="s">
        <v>664</v>
      </c>
      <c r="G50" s="8"/>
      <c r="H50" s="6" t="s">
        <v>643</v>
      </c>
      <c r="I50" s="2">
        <v>1</v>
      </c>
      <c r="J50" s="10" t="s">
        <v>111</v>
      </c>
    </row>
    <row r="51" spans="1:11" s="1" customFormat="1" ht="15" hidden="1" customHeight="1">
      <c r="A51" s="109">
        <f t="shared" si="0"/>
        <v>49</v>
      </c>
      <c r="B51" s="115">
        <v>1</v>
      </c>
      <c r="C51" s="115">
        <v>8</v>
      </c>
      <c r="D51" s="112" t="s">
        <v>806</v>
      </c>
      <c r="E51" s="10" t="s">
        <v>114</v>
      </c>
      <c r="F51" s="113" t="s">
        <v>807</v>
      </c>
      <c r="G51" s="112"/>
      <c r="H51" s="6" t="s">
        <v>643</v>
      </c>
      <c r="I51" s="2">
        <v>0</v>
      </c>
      <c r="J51" s="95" t="s">
        <v>114</v>
      </c>
    </row>
    <row r="52" spans="1:11" s="1" customFormat="1" ht="15" customHeight="1">
      <c r="A52" s="7">
        <v>6</v>
      </c>
      <c r="B52" s="45">
        <v>1</v>
      </c>
      <c r="C52" s="45">
        <v>8</v>
      </c>
      <c r="D52" s="8" t="s">
        <v>115</v>
      </c>
      <c r="E52" s="103" t="s">
        <v>116</v>
      </c>
      <c r="F52" s="10" t="s">
        <v>823</v>
      </c>
      <c r="G52" s="7"/>
      <c r="H52" s="148" t="s">
        <v>642</v>
      </c>
      <c r="I52" s="150">
        <v>2</v>
      </c>
      <c r="J52" s="10" t="s">
        <v>116</v>
      </c>
      <c r="K52" s="1">
        <v>1</v>
      </c>
    </row>
    <row r="53" spans="1:11" s="1" customFormat="1" ht="15" customHeight="1">
      <c r="A53" s="7">
        <v>7</v>
      </c>
      <c r="B53" s="45">
        <v>1</v>
      </c>
      <c r="C53" s="45">
        <v>8</v>
      </c>
      <c r="D53" s="8" t="s">
        <v>117</v>
      </c>
      <c r="E53" s="103" t="s">
        <v>118</v>
      </c>
      <c r="F53" s="16" t="s">
        <v>544</v>
      </c>
      <c r="G53" s="7"/>
      <c r="H53" s="148" t="s">
        <v>642</v>
      </c>
      <c r="I53" s="151">
        <v>0</v>
      </c>
      <c r="J53" s="10" t="s">
        <v>118</v>
      </c>
      <c r="K53" s="1">
        <v>1</v>
      </c>
    </row>
    <row r="54" spans="1:11" s="1" customFormat="1" ht="15" hidden="1" customHeight="1">
      <c r="A54" s="137">
        <f t="shared" si="0"/>
        <v>52</v>
      </c>
      <c r="B54" s="138">
        <v>1</v>
      </c>
      <c r="C54" s="138">
        <v>8</v>
      </c>
      <c r="D54" s="18" t="s">
        <v>119</v>
      </c>
      <c r="E54" s="10" t="s">
        <v>121</v>
      </c>
      <c r="F54" s="139" t="s">
        <v>665</v>
      </c>
      <c r="G54" s="18"/>
      <c r="H54" s="78"/>
      <c r="I54" s="81"/>
      <c r="J54" s="96" t="s">
        <v>121</v>
      </c>
      <c r="K54" s="1">
        <v>1</v>
      </c>
    </row>
    <row r="55" spans="1:11" s="1" customFormat="1" ht="15" customHeight="1">
      <c r="A55" s="7">
        <v>8</v>
      </c>
      <c r="B55" s="45">
        <v>1</v>
      </c>
      <c r="C55" s="45">
        <v>8</v>
      </c>
      <c r="D55" s="8" t="s">
        <v>122</v>
      </c>
      <c r="E55" s="103" t="s">
        <v>124</v>
      </c>
      <c r="F55" s="10" t="s">
        <v>824</v>
      </c>
      <c r="G55" s="7"/>
      <c r="H55" s="148" t="s">
        <v>642</v>
      </c>
      <c r="I55" s="150">
        <v>2</v>
      </c>
      <c r="J55" s="10" t="s">
        <v>124</v>
      </c>
      <c r="K55" s="1">
        <v>1</v>
      </c>
    </row>
    <row r="56" spans="1:11" s="1" customFormat="1" ht="15" hidden="1" customHeight="1">
      <c r="A56" s="128">
        <f t="shared" si="0"/>
        <v>54</v>
      </c>
      <c r="B56" s="135">
        <v>1</v>
      </c>
      <c r="C56" s="135">
        <v>8</v>
      </c>
      <c r="D56" s="130" t="s">
        <v>125</v>
      </c>
      <c r="E56" s="10" t="s">
        <v>126</v>
      </c>
      <c r="F56" s="97" t="s">
        <v>666</v>
      </c>
      <c r="G56" s="130"/>
      <c r="H56" s="6" t="s">
        <v>643</v>
      </c>
      <c r="I56" s="2">
        <v>3</v>
      </c>
      <c r="J56" s="131" t="s">
        <v>126</v>
      </c>
    </row>
    <row r="57" spans="1:11" s="1" customFormat="1" ht="15" hidden="1" customHeight="1">
      <c r="A57" s="7">
        <f t="shared" si="0"/>
        <v>55</v>
      </c>
      <c r="B57" s="45">
        <v>1</v>
      </c>
      <c r="C57" s="45">
        <v>8</v>
      </c>
      <c r="D57" s="8" t="s">
        <v>127</v>
      </c>
      <c r="E57" s="10" t="s">
        <v>128</v>
      </c>
      <c r="F57" s="16" t="s">
        <v>668</v>
      </c>
      <c r="G57" s="8"/>
      <c r="H57" s="6" t="s">
        <v>643</v>
      </c>
      <c r="I57" s="2">
        <v>3</v>
      </c>
      <c r="J57" s="10" t="s">
        <v>128</v>
      </c>
    </row>
    <row r="58" spans="1:11" s="1" customFormat="1" ht="15" hidden="1" customHeight="1">
      <c r="A58" s="7">
        <f t="shared" si="0"/>
        <v>56</v>
      </c>
      <c r="B58" s="29">
        <v>1</v>
      </c>
      <c r="C58" s="29">
        <v>9</v>
      </c>
      <c r="D58" s="8" t="s">
        <v>129</v>
      </c>
      <c r="E58" s="10" t="s">
        <v>130</v>
      </c>
      <c r="F58" s="16" t="s">
        <v>676</v>
      </c>
      <c r="G58" s="8"/>
      <c r="H58" s="6" t="s">
        <v>643</v>
      </c>
      <c r="I58" s="2">
        <v>5</v>
      </c>
      <c r="J58" s="10" t="s">
        <v>130</v>
      </c>
    </row>
    <row r="59" spans="1:11" s="1" customFormat="1" ht="15" hidden="1" customHeight="1">
      <c r="A59" s="7">
        <f t="shared" si="0"/>
        <v>57</v>
      </c>
      <c r="B59" s="29">
        <v>1</v>
      </c>
      <c r="C59" s="29">
        <v>9</v>
      </c>
      <c r="D59" s="19" t="s">
        <v>131</v>
      </c>
      <c r="E59" s="10" t="s">
        <v>132</v>
      </c>
      <c r="F59" s="20" t="s">
        <v>548</v>
      </c>
      <c r="G59" s="8"/>
      <c r="H59" s="6" t="s">
        <v>643</v>
      </c>
      <c r="I59" s="2">
        <v>0</v>
      </c>
      <c r="J59" s="10" t="s">
        <v>132</v>
      </c>
    </row>
    <row r="60" spans="1:11" s="4" customFormat="1" ht="15" hidden="1" customHeight="1">
      <c r="A60" s="7">
        <f t="shared" si="0"/>
        <v>58</v>
      </c>
      <c r="B60" s="32">
        <v>1</v>
      </c>
      <c r="C60" s="32">
        <v>9</v>
      </c>
      <c r="D60" s="15" t="s">
        <v>133</v>
      </c>
      <c r="E60" s="10" t="s">
        <v>134</v>
      </c>
      <c r="F60" s="16" t="s">
        <v>675</v>
      </c>
      <c r="G60" s="8"/>
      <c r="H60" s="6" t="s">
        <v>643</v>
      </c>
      <c r="I60" s="2">
        <v>1</v>
      </c>
      <c r="J60" s="10" t="s">
        <v>134</v>
      </c>
    </row>
    <row r="61" spans="1:11" s="1" customFormat="1" ht="15" hidden="1" customHeight="1">
      <c r="A61" s="7">
        <f t="shared" si="0"/>
        <v>59</v>
      </c>
      <c r="B61" s="29">
        <v>1</v>
      </c>
      <c r="C61" s="29">
        <v>9</v>
      </c>
      <c r="D61" s="8" t="s">
        <v>136</v>
      </c>
      <c r="E61" s="10" t="s">
        <v>138</v>
      </c>
      <c r="F61" s="16" t="s">
        <v>673</v>
      </c>
      <c r="G61" s="8"/>
      <c r="H61" s="6" t="s">
        <v>643</v>
      </c>
      <c r="I61" s="2">
        <v>2</v>
      </c>
      <c r="J61" s="10" t="s">
        <v>138</v>
      </c>
    </row>
    <row r="62" spans="1:11" s="1" customFormat="1" ht="15" hidden="1" customHeight="1">
      <c r="A62" s="7">
        <f t="shared" si="0"/>
        <v>60</v>
      </c>
      <c r="B62" s="29">
        <v>1</v>
      </c>
      <c r="C62" s="29">
        <v>9</v>
      </c>
      <c r="D62" s="8" t="s">
        <v>139</v>
      </c>
      <c r="E62" s="10" t="s">
        <v>140</v>
      </c>
      <c r="F62" s="16" t="s">
        <v>672</v>
      </c>
      <c r="G62" s="8"/>
      <c r="H62" s="6" t="s">
        <v>643</v>
      </c>
      <c r="I62" s="2">
        <v>0</v>
      </c>
      <c r="J62" s="10" t="s">
        <v>140</v>
      </c>
    </row>
    <row r="63" spans="1:11" s="1" customFormat="1" ht="15" hidden="1" customHeight="1">
      <c r="A63" s="109">
        <f t="shared" si="0"/>
        <v>61</v>
      </c>
      <c r="B63" s="117">
        <v>1</v>
      </c>
      <c r="C63" s="117">
        <v>9</v>
      </c>
      <c r="D63" s="112" t="s">
        <v>141</v>
      </c>
      <c r="E63" s="10" t="s">
        <v>142</v>
      </c>
      <c r="F63" s="113" t="s">
        <v>677</v>
      </c>
      <c r="G63" s="112"/>
      <c r="H63" s="6" t="s">
        <v>643</v>
      </c>
      <c r="I63" s="2">
        <v>3</v>
      </c>
      <c r="J63" s="95" t="s">
        <v>142</v>
      </c>
    </row>
    <row r="64" spans="1:11" s="1" customFormat="1" ht="15" customHeight="1">
      <c r="A64" s="7">
        <v>9</v>
      </c>
      <c r="B64" s="29">
        <v>1</v>
      </c>
      <c r="C64" s="29">
        <v>9</v>
      </c>
      <c r="D64" s="8" t="s">
        <v>143</v>
      </c>
      <c r="E64" s="103" t="s">
        <v>144</v>
      </c>
      <c r="F64" s="16" t="s">
        <v>825</v>
      </c>
      <c r="G64" s="7"/>
      <c r="H64" s="149" t="s">
        <v>642</v>
      </c>
      <c r="I64" s="152">
        <v>4</v>
      </c>
      <c r="J64" s="10" t="s">
        <v>144</v>
      </c>
      <c r="K64" s="1">
        <v>1</v>
      </c>
    </row>
    <row r="65" spans="1:11" s="1" customFormat="1" ht="15" hidden="1" customHeight="1">
      <c r="A65" s="128">
        <f t="shared" si="0"/>
        <v>63</v>
      </c>
      <c r="B65" s="140">
        <v>1</v>
      </c>
      <c r="C65" s="140">
        <v>9</v>
      </c>
      <c r="D65" s="130" t="s">
        <v>145</v>
      </c>
      <c r="E65" s="10" t="s">
        <v>146</v>
      </c>
      <c r="F65" s="97" t="s">
        <v>669</v>
      </c>
      <c r="G65" s="130"/>
      <c r="H65" s="6" t="s">
        <v>643</v>
      </c>
      <c r="I65" s="2">
        <v>4</v>
      </c>
      <c r="J65" s="131" t="s">
        <v>146</v>
      </c>
    </row>
    <row r="66" spans="1:11" s="1" customFormat="1" ht="15" hidden="1" customHeight="1">
      <c r="A66" s="7">
        <f t="shared" si="0"/>
        <v>64</v>
      </c>
      <c r="B66" s="29">
        <v>1</v>
      </c>
      <c r="C66" s="29">
        <v>9</v>
      </c>
      <c r="D66" s="8" t="s">
        <v>147</v>
      </c>
      <c r="E66" s="10" t="s">
        <v>148</v>
      </c>
      <c r="F66" s="16" t="s">
        <v>674</v>
      </c>
      <c r="G66" s="8"/>
      <c r="H66" s="6" t="s">
        <v>643</v>
      </c>
      <c r="I66" s="2">
        <v>0</v>
      </c>
      <c r="J66" s="10" t="s">
        <v>148</v>
      </c>
    </row>
    <row r="67" spans="1:11" s="1" customFormat="1" ht="15" hidden="1" customHeight="1">
      <c r="A67" s="109">
        <f t="shared" si="0"/>
        <v>65</v>
      </c>
      <c r="B67" s="118">
        <v>1</v>
      </c>
      <c r="C67" s="118">
        <v>10</v>
      </c>
      <c r="D67" s="112" t="s">
        <v>149</v>
      </c>
      <c r="E67" s="10" t="s">
        <v>151</v>
      </c>
      <c r="F67" s="113"/>
      <c r="G67" s="112"/>
      <c r="H67" s="78"/>
      <c r="I67" s="81"/>
      <c r="J67" s="95" t="s">
        <v>151</v>
      </c>
      <c r="K67" s="1">
        <v>1</v>
      </c>
    </row>
    <row r="68" spans="1:11" s="1" customFormat="1" ht="15" customHeight="1">
      <c r="A68" s="7">
        <v>10</v>
      </c>
      <c r="B68" s="33">
        <v>1</v>
      </c>
      <c r="C68" s="33">
        <v>10</v>
      </c>
      <c r="D68" s="8" t="s">
        <v>152</v>
      </c>
      <c r="E68" s="103" t="s">
        <v>154</v>
      </c>
      <c r="F68" s="16" t="s">
        <v>826</v>
      </c>
      <c r="G68" s="7"/>
      <c r="H68" s="148" t="s">
        <v>642</v>
      </c>
      <c r="I68" s="150">
        <v>2</v>
      </c>
      <c r="J68" s="10" t="s">
        <v>154</v>
      </c>
      <c r="K68" s="1">
        <v>1</v>
      </c>
    </row>
    <row r="69" spans="1:11" s="1" customFormat="1" ht="15" customHeight="1">
      <c r="A69" s="7">
        <v>11</v>
      </c>
      <c r="B69" s="33">
        <v>1</v>
      </c>
      <c r="C69" s="33">
        <v>10</v>
      </c>
      <c r="D69" s="8" t="s">
        <v>155</v>
      </c>
      <c r="E69" s="103" t="s">
        <v>156</v>
      </c>
      <c r="F69" s="16" t="s">
        <v>827</v>
      </c>
      <c r="G69" s="7"/>
      <c r="H69" s="148" t="s">
        <v>642</v>
      </c>
      <c r="I69" s="150">
        <v>1</v>
      </c>
      <c r="J69" s="10" t="s">
        <v>156</v>
      </c>
      <c r="K69" s="1">
        <v>1</v>
      </c>
    </row>
    <row r="70" spans="1:11" s="1" customFormat="1" ht="15" hidden="1" customHeight="1">
      <c r="A70" s="128">
        <f t="shared" ref="A70:A134" si="1">ROW()-2</f>
        <v>68</v>
      </c>
      <c r="B70" s="141">
        <v>1</v>
      </c>
      <c r="C70" s="141">
        <v>10</v>
      </c>
      <c r="D70" s="130" t="s">
        <v>157</v>
      </c>
      <c r="E70" s="10" t="s">
        <v>158</v>
      </c>
      <c r="F70" s="97" t="s">
        <v>549</v>
      </c>
      <c r="G70" s="130"/>
      <c r="H70" s="6" t="s">
        <v>643</v>
      </c>
      <c r="I70" s="2">
        <v>3</v>
      </c>
      <c r="J70" s="131" t="s">
        <v>158</v>
      </c>
    </row>
    <row r="71" spans="1:11" s="1" customFormat="1" ht="15" hidden="1" customHeight="1">
      <c r="A71" s="109">
        <f t="shared" si="1"/>
        <v>69</v>
      </c>
      <c r="B71" s="118">
        <v>1</v>
      </c>
      <c r="C71" s="118">
        <v>10</v>
      </c>
      <c r="D71" s="112" t="s">
        <v>159</v>
      </c>
      <c r="E71" s="37"/>
      <c r="F71" s="119" t="s">
        <v>160</v>
      </c>
      <c r="G71" s="112"/>
      <c r="H71" s="78"/>
      <c r="I71" s="81"/>
      <c r="J71" s="120"/>
      <c r="K71" s="1">
        <v>1</v>
      </c>
    </row>
    <row r="72" spans="1:11" s="1" customFormat="1" ht="15" customHeight="1">
      <c r="A72" s="7">
        <v>12</v>
      </c>
      <c r="B72" s="33">
        <v>1</v>
      </c>
      <c r="C72" s="33">
        <v>10</v>
      </c>
      <c r="D72" s="15" t="s">
        <v>625</v>
      </c>
      <c r="E72" s="104" t="s">
        <v>627</v>
      </c>
      <c r="F72" s="16"/>
      <c r="G72" s="36" t="s">
        <v>828</v>
      </c>
      <c r="H72" s="148" t="s">
        <v>642</v>
      </c>
      <c r="I72" s="150">
        <v>2</v>
      </c>
      <c r="J72" s="16" t="s">
        <v>627</v>
      </c>
      <c r="K72" s="1">
        <v>1</v>
      </c>
    </row>
    <row r="73" spans="1:11" s="1" customFormat="1" ht="15" customHeight="1">
      <c r="A73" s="7">
        <v>13</v>
      </c>
      <c r="B73" s="40">
        <v>1</v>
      </c>
      <c r="C73" s="40">
        <v>11</v>
      </c>
      <c r="D73" s="15" t="s">
        <v>681</v>
      </c>
      <c r="E73" s="103" t="s">
        <v>163</v>
      </c>
      <c r="F73" s="16" t="s">
        <v>830</v>
      </c>
      <c r="G73" s="36" t="s">
        <v>829</v>
      </c>
      <c r="H73" s="148" t="s">
        <v>642</v>
      </c>
      <c r="I73" s="151">
        <v>0</v>
      </c>
      <c r="J73" s="10" t="s">
        <v>163</v>
      </c>
      <c r="K73" s="1">
        <v>1</v>
      </c>
    </row>
    <row r="74" spans="1:11" s="1" customFormat="1" ht="15" hidden="1" customHeight="1">
      <c r="A74" s="128">
        <f t="shared" si="1"/>
        <v>72</v>
      </c>
      <c r="B74" s="142">
        <v>1</v>
      </c>
      <c r="C74" s="142">
        <v>11</v>
      </c>
      <c r="D74" s="130" t="s">
        <v>487</v>
      </c>
      <c r="E74" s="10" t="s">
        <v>164</v>
      </c>
      <c r="F74" s="97" t="s">
        <v>555</v>
      </c>
      <c r="G74" s="130"/>
      <c r="H74" s="6" t="s">
        <v>643</v>
      </c>
      <c r="I74" s="2">
        <v>1</v>
      </c>
      <c r="J74" s="131" t="s">
        <v>164</v>
      </c>
    </row>
    <row r="75" spans="1:11" s="1" customFormat="1" ht="15" hidden="1" customHeight="1">
      <c r="A75" s="7">
        <f t="shared" si="1"/>
        <v>73</v>
      </c>
      <c r="B75" s="40">
        <v>1</v>
      </c>
      <c r="C75" s="40">
        <v>11</v>
      </c>
      <c r="D75" s="8" t="s">
        <v>165</v>
      </c>
      <c r="E75" s="10" t="s">
        <v>166</v>
      </c>
      <c r="F75" s="16" t="s">
        <v>553</v>
      </c>
      <c r="G75" s="8"/>
      <c r="H75" s="6" t="s">
        <v>643</v>
      </c>
      <c r="I75" s="2"/>
      <c r="J75" s="10" t="s">
        <v>166</v>
      </c>
    </row>
    <row r="76" spans="1:11" s="1" customFormat="1" ht="15" hidden="1" customHeight="1">
      <c r="A76" s="7">
        <f t="shared" si="1"/>
        <v>74</v>
      </c>
      <c r="B76" s="40">
        <v>1</v>
      </c>
      <c r="C76" s="40">
        <v>11</v>
      </c>
      <c r="D76" s="8" t="s">
        <v>167</v>
      </c>
      <c r="E76" s="10" t="s">
        <v>168</v>
      </c>
      <c r="F76" s="16" t="s">
        <v>451</v>
      </c>
      <c r="G76" s="8"/>
      <c r="H76" s="78"/>
      <c r="I76" s="81"/>
      <c r="J76" s="10" t="s">
        <v>168</v>
      </c>
      <c r="K76" s="1">
        <v>1</v>
      </c>
    </row>
    <row r="77" spans="1:11" s="1" customFormat="1" ht="15" hidden="1" customHeight="1">
      <c r="A77" s="7">
        <f t="shared" si="1"/>
        <v>75</v>
      </c>
      <c r="B77" s="40">
        <v>1</v>
      </c>
      <c r="C77" s="40">
        <v>11</v>
      </c>
      <c r="D77" s="22" t="s">
        <v>169</v>
      </c>
      <c r="E77" s="10" t="s">
        <v>170</v>
      </c>
      <c r="F77" s="16" t="s">
        <v>683</v>
      </c>
      <c r="G77" s="8"/>
      <c r="H77" s="6" t="s">
        <v>643</v>
      </c>
      <c r="I77" s="2">
        <v>2</v>
      </c>
      <c r="J77" s="10" t="s">
        <v>170</v>
      </c>
    </row>
    <row r="78" spans="1:11" s="1" customFormat="1" ht="15" hidden="1" customHeight="1">
      <c r="A78" s="7">
        <f t="shared" si="1"/>
        <v>76</v>
      </c>
      <c r="B78" s="40">
        <v>1</v>
      </c>
      <c r="C78" s="40">
        <v>11</v>
      </c>
      <c r="D78" s="8" t="s">
        <v>172</v>
      </c>
      <c r="E78" s="37"/>
      <c r="F78" s="16" t="s">
        <v>684</v>
      </c>
      <c r="G78" s="8"/>
      <c r="H78" s="6" t="s">
        <v>643</v>
      </c>
      <c r="I78" s="2">
        <v>1</v>
      </c>
      <c r="J78" s="37"/>
    </row>
    <row r="79" spans="1:11" s="1" customFormat="1" ht="15" hidden="1" customHeight="1">
      <c r="A79" s="7">
        <f t="shared" si="1"/>
        <v>77</v>
      </c>
      <c r="B79" s="40">
        <v>1</v>
      </c>
      <c r="C79" s="40">
        <v>11</v>
      </c>
      <c r="D79" s="8" t="s">
        <v>173</v>
      </c>
      <c r="E79" s="10" t="s">
        <v>449</v>
      </c>
      <c r="F79" s="16" t="s">
        <v>685</v>
      </c>
      <c r="G79" s="8"/>
      <c r="H79" s="6" t="s">
        <v>643</v>
      </c>
      <c r="I79" s="2">
        <v>4</v>
      </c>
      <c r="J79" s="10" t="s">
        <v>449</v>
      </c>
    </row>
    <row r="80" spans="1:11" s="1" customFormat="1" ht="15" hidden="1" customHeight="1">
      <c r="A80" s="7">
        <f t="shared" si="1"/>
        <v>78</v>
      </c>
      <c r="B80" s="40">
        <v>1</v>
      </c>
      <c r="C80" s="40">
        <v>11</v>
      </c>
      <c r="D80" s="8" t="s">
        <v>175</v>
      </c>
      <c r="E80" s="37"/>
      <c r="F80" s="16" t="s">
        <v>686</v>
      </c>
      <c r="G80" s="8"/>
      <c r="H80" s="6" t="s">
        <v>643</v>
      </c>
      <c r="I80" s="2">
        <v>0</v>
      </c>
      <c r="J80" s="37"/>
    </row>
    <row r="81" spans="1:11" s="1" customFormat="1" ht="15" hidden="1" customHeight="1">
      <c r="A81" s="7">
        <f t="shared" si="1"/>
        <v>79</v>
      </c>
      <c r="B81" s="40">
        <v>1</v>
      </c>
      <c r="C81" s="40">
        <v>11</v>
      </c>
      <c r="D81" s="8" t="s">
        <v>177</v>
      </c>
      <c r="E81" s="10" t="s">
        <v>178</v>
      </c>
      <c r="F81" s="16" t="s">
        <v>687</v>
      </c>
      <c r="G81" s="8"/>
      <c r="H81" s="6" t="s">
        <v>643</v>
      </c>
      <c r="I81" s="2">
        <v>4</v>
      </c>
      <c r="J81" s="10" t="s">
        <v>178</v>
      </c>
    </row>
    <row r="82" spans="1:11" s="1" customFormat="1" ht="15" hidden="1" customHeight="1">
      <c r="A82" s="7">
        <f t="shared" si="1"/>
        <v>80</v>
      </c>
      <c r="B82" s="41">
        <v>1</v>
      </c>
      <c r="C82" s="41">
        <v>12</v>
      </c>
      <c r="D82" s="8" t="s">
        <v>179</v>
      </c>
      <c r="E82" s="10" t="s">
        <v>180</v>
      </c>
      <c r="F82" s="16" t="s">
        <v>703</v>
      </c>
      <c r="G82" s="8"/>
      <c r="H82" s="6" t="s">
        <v>643</v>
      </c>
      <c r="I82" s="2">
        <v>0</v>
      </c>
      <c r="J82" s="10" t="s">
        <v>180</v>
      </c>
    </row>
    <row r="83" spans="1:11" s="1" customFormat="1" ht="15" hidden="1" customHeight="1">
      <c r="A83" s="7">
        <f t="shared" si="1"/>
        <v>81</v>
      </c>
      <c r="B83" s="41">
        <v>1</v>
      </c>
      <c r="C83" s="41">
        <v>12</v>
      </c>
      <c r="D83" s="8" t="s">
        <v>181</v>
      </c>
      <c r="E83" s="37"/>
      <c r="F83" s="16" t="s">
        <v>704</v>
      </c>
      <c r="G83" s="8"/>
      <c r="H83" s="6" t="s">
        <v>643</v>
      </c>
      <c r="I83" s="2">
        <v>0</v>
      </c>
      <c r="J83" s="37"/>
    </row>
    <row r="84" spans="1:11" s="1" customFormat="1" ht="15" hidden="1" customHeight="1">
      <c r="A84" s="7">
        <f t="shared" si="1"/>
        <v>82</v>
      </c>
      <c r="B84" s="41">
        <v>1</v>
      </c>
      <c r="C84" s="41">
        <v>12</v>
      </c>
      <c r="D84" s="8" t="s">
        <v>183</v>
      </c>
      <c r="E84" s="10" t="s">
        <v>184</v>
      </c>
      <c r="F84" s="16" t="s">
        <v>705</v>
      </c>
      <c r="G84" s="8"/>
      <c r="H84" s="6" t="s">
        <v>643</v>
      </c>
      <c r="I84" s="2">
        <v>0</v>
      </c>
      <c r="J84" s="10" t="s">
        <v>184</v>
      </c>
    </row>
    <row r="85" spans="1:11" s="1" customFormat="1" ht="15" hidden="1" customHeight="1">
      <c r="A85" s="109">
        <f t="shared" si="1"/>
        <v>83</v>
      </c>
      <c r="B85" s="121">
        <v>1</v>
      </c>
      <c r="C85" s="121">
        <v>12</v>
      </c>
      <c r="D85" s="112" t="s">
        <v>442</v>
      </c>
      <c r="E85" s="10" t="s">
        <v>443</v>
      </c>
      <c r="F85" s="113" t="s">
        <v>706</v>
      </c>
      <c r="G85" s="112"/>
      <c r="H85" s="6" t="s">
        <v>643</v>
      </c>
      <c r="I85" s="2">
        <v>1</v>
      </c>
      <c r="J85" s="95" t="s">
        <v>443</v>
      </c>
    </row>
    <row r="86" spans="1:11" s="1" customFormat="1" ht="15" customHeight="1">
      <c r="A86" s="7">
        <v>14</v>
      </c>
      <c r="B86" s="41">
        <v>1</v>
      </c>
      <c r="C86" s="41">
        <v>12</v>
      </c>
      <c r="D86" s="8" t="s">
        <v>186</v>
      </c>
      <c r="E86" s="103" t="s">
        <v>187</v>
      </c>
      <c r="F86" s="16" t="s">
        <v>831</v>
      </c>
      <c r="G86" s="7"/>
      <c r="H86" s="148" t="s">
        <v>642</v>
      </c>
      <c r="I86" s="150">
        <v>2</v>
      </c>
      <c r="J86" s="10" t="s">
        <v>187</v>
      </c>
      <c r="K86" s="1">
        <v>1</v>
      </c>
    </row>
    <row r="87" spans="1:11" s="1" customFormat="1" ht="15" hidden="1" customHeight="1">
      <c r="A87" s="137">
        <f t="shared" si="1"/>
        <v>85</v>
      </c>
      <c r="B87" s="143">
        <v>1</v>
      </c>
      <c r="C87" s="143">
        <v>12</v>
      </c>
      <c r="D87" s="18" t="s">
        <v>189</v>
      </c>
      <c r="E87" s="10" t="s">
        <v>190</v>
      </c>
      <c r="F87" s="139" t="s">
        <v>699</v>
      </c>
      <c r="G87" s="18"/>
      <c r="H87" s="6" t="s">
        <v>643</v>
      </c>
      <c r="I87" s="2">
        <v>1</v>
      </c>
      <c r="J87" s="96" t="s">
        <v>190</v>
      </c>
    </row>
    <row r="88" spans="1:11" s="1" customFormat="1" ht="15" customHeight="1">
      <c r="A88" s="7">
        <v>15</v>
      </c>
      <c r="B88" s="41">
        <v>1</v>
      </c>
      <c r="C88" s="41">
        <v>12</v>
      </c>
      <c r="D88" s="8" t="s">
        <v>191</v>
      </c>
      <c r="E88" s="105" t="s">
        <v>582</v>
      </c>
      <c r="F88" s="16" t="s">
        <v>832</v>
      </c>
      <c r="G88" s="36" t="s">
        <v>811</v>
      </c>
      <c r="H88" s="148" t="s">
        <v>642</v>
      </c>
      <c r="I88" s="152">
        <v>3</v>
      </c>
      <c r="J88" s="10" t="s">
        <v>582</v>
      </c>
      <c r="K88" s="1">
        <v>1</v>
      </c>
    </row>
    <row r="89" spans="1:11" s="1" customFormat="1" ht="15" customHeight="1">
      <c r="A89" s="7">
        <v>16</v>
      </c>
      <c r="B89" s="41">
        <v>1</v>
      </c>
      <c r="C89" s="41">
        <v>12</v>
      </c>
      <c r="D89" s="8" t="s">
        <v>192</v>
      </c>
      <c r="E89" s="106"/>
      <c r="F89" s="16" t="s">
        <v>833</v>
      </c>
      <c r="G89" s="36" t="s">
        <v>834</v>
      </c>
      <c r="H89" s="148" t="s">
        <v>642</v>
      </c>
      <c r="I89" s="151">
        <v>0</v>
      </c>
      <c r="J89" s="94"/>
      <c r="K89" s="1">
        <v>1</v>
      </c>
    </row>
    <row r="90" spans="1:11" s="1" customFormat="1" ht="15" hidden="1" customHeight="1">
      <c r="A90" s="137">
        <f t="shared" si="1"/>
        <v>88</v>
      </c>
      <c r="B90" s="143">
        <v>1</v>
      </c>
      <c r="C90" s="143">
        <v>12</v>
      </c>
      <c r="D90" s="18" t="s">
        <v>193</v>
      </c>
      <c r="E90" s="96" t="s">
        <v>194</v>
      </c>
      <c r="F90" s="139" t="s">
        <v>692</v>
      </c>
      <c r="G90" s="18"/>
      <c r="H90" s="6" t="s">
        <v>643</v>
      </c>
      <c r="I90" s="2">
        <v>3</v>
      </c>
      <c r="J90" s="96" t="s">
        <v>194</v>
      </c>
    </row>
    <row r="91" spans="1:11" s="1" customFormat="1" ht="15" customHeight="1">
      <c r="A91" s="7">
        <v>17</v>
      </c>
      <c r="B91" s="41">
        <v>1</v>
      </c>
      <c r="C91" s="41">
        <v>12</v>
      </c>
      <c r="D91" s="8" t="s">
        <v>693</v>
      </c>
      <c r="E91" s="106"/>
      <c r="F91" s="16" t="s">
        <v>835</v>
      </c>
      <c r="G91" s="36" t="s">
        <v>812</v>
      </c>
      <c r="H91" s="148" t="s">
        <v>642</v>
      </c>
      <c r="I91" s="150">
        <v>5</v>
      </c>
      <c r="J91" s="94"/>
      <c r="K91" s="1">
        <v>1</v>
      </c>
    </row>
    <row r="92" spans="1:11" s="1" customFormat="1" ht="15" hidden="1" customHeight="1">
      <c r="A92" s="128">
        <f t="shared" si="1"/>
        <v>90</v>
      </c>
      <c r="B92" s="144">
        <v>1</v>
      </c>
      <c r="C92" s="144">
        <v>12</v>
      </c>
      <c r="D92" s="132" t="s">
        <v>196</v>
      </c>
      <c r="E92" s="97" t="s">
        <v>197</v>
      </c>
      <c r="F92" s="97" t="s">
        <v>696</v>
      </c>
      <c r="G92" s="130"/>
      <c r="H92" s="6" t="s">
        <v>643</v>
      </c>
      <c r="I92" s="2">
        <v>4</v>
      </c>
      <c r="J92" s="97" t="s">
        <v>197</v>
      </c>
    </row>
    <row r="93" spans="1:11" s="1" customFormat="1" ht="15" hidden="1" customHeight="1">
      <c r="A93" s="7">
        <f t="shared" si="1"/>
        <v>91</v>
      </c>
      <c r="B93" s="41">
        <v>1</v>
      </c>
      <c r="C93" s="41">
        <v>12</v>
      </c>
      <c r="D93" s="15" t="s">
        <v>198</v>
      </c>
      <c r="E93" s="16" t="s">
        <v>199</v>
      </c>
      <c r="F93" s="16" t="s">
        <v>697</v>
      </c>
      <c r="G93" s="8"/>
      <c r="H93" s="6" t="s">
        <v>643</v>
      </c>
      <c r="I93" s="2">
        <v>0</v>
      </c>
      <c r="J93" s="16" t="s">
        <v>199</v>
      </c>
    </row>
    <row r="94" spans="1:11" s="1" customFormat="1" ht="15" hidden="1" customHeight="1">
      <c r="A94" s="7">
        <f t="shared" si="1"/>
        <v>92</v>
      </c>
      <c r="B94" s="41">
        <v>1</v>
      </c>
      <c r="C94" s="41">
        <v>12</v>
      </c>
      <c r="D94" s="15" t="s">
        <v>482</v>
      </c>
      <c r="E94" s="16" t="s">
        <v>570</v>
      </c>
      <c r="F94" s="16" t="s">
        <v>688</v>
      </c>
      <c r="G94" s="8"/>
      <c r="H94" s="6" t="s">
        <v>643</v>
      </c>
      <c r="I94" s="2">
        <v>4</v>
      </c>
      <c r="J94" s="16" t="s">
        <v>570</v>
      </c>
    </row>
    <row r="95" spans="1:11" s="1" customFormat="1" ht="15" hidden="1" customHeight="1">
      <c r="A95" s="7">
        <f t="shared" si="1"/>
        <v>93</v>
      </c>
      <c r="B95" s="41">
        <v>1</v>
      </c>
      <c r="C95" s="41">
        <v>12</v>
      </c>
      <c r="D95" s="8" t="s">
        <v>201</v>
      </c>
      <c r="E95" s="10" t="s">
        <v>202</v>
      </c>
      <c r="F95" s="16" t="s">
        <v>689</v>
      </c>
      <c r="G95" s="8"/>
      <c r="H95" s="6" t="s">
        <v>643</v>
      </c>
      <c r="I95" s="2">
        <v>1</v>
      </c>
      <c r="J95" s="10" t="s">
        <v>202</v>
      </c>
    </row>
    <row r="96" spans="1:11" s="1" customFormat="1" ht="15" hidden="1" customHeight="1">
      <c r="A96" s="7">
        <f t="shared" si="1"/>
        <v>94</v>
      </c>
      <c r="B96" s="41">
        <v>1</v>
      </c>
      <c r="C96" s="41">
        <v>12</v>
      </c>
      <c r="D96" s="8" t="s">
        <v>204</v>
      </c>
      <c r="E96" s="10" t="s">
        <v>205</v>
      </c>
      <c r="F96" s="16" t="s">
        <v>690</v>
      </c>
      <c r="G96" s="8"/>
      <c r="H96" s="6" t="s">
        <v>643</v>
      </c>
      <c r="I96" s="2">
        <v>3</v>
      </c>
      <c r="J96" s="10" t="s">
        <v>205</v>
      </c>
    </row>
    <row r="97" spans="1:11" s="1" customFormat="1" ht="15" hidden="1" customHeight="1" thickBot="1">
      <c r="A97" s="60">
        <f t="shared" si="1"/>
        <v>95</v>
      </c>
      <c r="B97" s="61">
        <v>1</v>
      </c>
      <c r="C97" s="61">
        <v>12</v>
      </c>
      <c r="D97" s="64" t="s">
        <v>206</v>
      </c>
      <c r="E97" s="65" t="s">
        <v>207</v>
      </c>
      <c r="F97" s="66" t="s">
        <v>691</v>
      </c>
      <c r="G97" s="8"/>
      <c r="H97" s="6" t="s">
        <v>643</v>
      </c>
      <c r="I97" s="2">
        <v>2</v>
      </c>
      <c r="J97" s="65" t="s">
        <v>207</v>
      </c>
    </row>
    <row r="98" spans="1:11" s="1" customFormat="1" ht="15" hidden="1" customHeight="1" thickTop="1">
      <c r="A98" s="122">
        <f t="shared" si="1"/>
        <v>96</v>
      </c>
      <c r="B98" s="123">
        <v>2</v>
      </c>
      <c r="C98" s="123">
        <v>1</v>
      </c>
      <c r="D98" s="124" t="s">
        <v>209</v>
      </c>
      <c r="E98" s="72" t="s">
        <v>211</v>
      </c>
      <c r="F98" s="125" t="s">
        <v>710</v>
      </c>
      <c r="G98" s="112"/>
      <c r="H98" s="6" t="s">
        <v>643</v>
      </c>
      <c r="I98" s="2">
        <v>0</v>
      </c>
      <c r="J98" s="125" t="s">
        <v>211</v>
      </c>
    </row>
    <row r="99" spans="1:11" s="1" customFormat="1" ht="15" customHeight="1">
      <c r="A99" s="7">
        <v>18</v>
      </c>
      <c r="B99" s="44">
        <v>2</v>
      </c>
      <c r="C99" s="44">
        <v>1</v>
      </c>
      <c r="D99" s="15" t="s">
        <v>212</v>
      </c>
      <c r="E99" s="103" t="s">
        <v>213</v>
      </c>
      <c r="F99" s="16" t="s">
        <v>836</v>
      </c>
      <c r="G99" s="7"/>
      <c r="H99" s="148" t="s">
        <v>642</v>
      </c>
      <c r="I99" s="150">
        <v>5</v>
      </c>
      <c r="J99" s="10" t="s">
        <v>213</v>
      </c>
      <c r="K99" s="1">
        <v>1</v>
      </c>
    </row>
    <row r="100" spans="1:11" s="1" customFormat="1" ht="15" hidden="1" customHeight="1">
      <c r="A100" s="128">
        <f t="shared" si="1"/>
        <v>98</v>
      </c>
      <c r="B100" s="134">
        <v>2</v>
      </c>
      <c r="C100" s="134">
        <v>1</v>
      </c>
      <c r="D100" s="130" t="s">
        <v>214</v>
      </c>
      <c r="E100" s="10" t="s">
        <v>215</v>
      </c>
      <c r="F100" s="97" t="s">
        <v>709</v>
      </c>
      <c r="G100" s="130"/>
      <c r="H100" s="6" t="s">
        <v>643</v>
      </c>
      <c r="I100" s="2">
        <v>1</v>
      </c>
      <c r="J100" s="131" t="s">
        <v>215</v>
      </c>
    </row>
    <row r="101" spans="1:11" s="1" customFormat="1" ht="15" hidden="1" customHeight="1">
      <c r="A101" s="7">
        <f t="shared" si="1"/>
        <v>99</v>
      </c>
      <c r="B101" s="44">
        <v>2</v>
      </c>
      <c r="C101" s="44">
        <v>1</v>
      </c>
      <c r="D101" s="8" t="s">
        <v>216</v>
      </c>
      <c r="E101" s="10" t="s">
        <v>217</v>
      </c>
      <c r="F101" s="16" t="s">
        <v>559</v>
      </c>
      <c r="G101" s="8"/>
      <c r="H101" s="6" t="s">
        <v>643</v>
      </c>
      <c r="I101" s="2">
        <v>1</v>
      </c>
      <c r="J101" s="10" t="s">
        <v>217</v>
      </c>
    </row>
    <row r="102" spans="1:11" s="1" customFormat="1" ht="15" hidden="1" customHeight="1">
      <c r="A102" s="7">
        <f t="shared" si="1"/>
        <v>100</v>
      </c>
      <c r="B102" s="44">
        <v>2</v>
      </c>
      <c r="C102" s="44">
        <v>1</v>
      </c>
      <c r="D102" s="8" t="s">
        <v>218</v>
      </c>
      <c r="E102" s="42" t="s">
        <v>219</v>
      </c>
      <c r="F102" s="16" t="s">
        <v>220</v>
      </c>
      <c r="G102" s="8"/>
      <c r="H102" s="78"/>
      <c r="I102" s="81"/>
      <c r="J102" s="42" t="s">
        <v>219</v>
      </c>
      <c r="K102" s="1">
        <v>1</v>
      </c>
    </row>
    <row r="103" spans="1:11" s="1" customFormat="1" ht="15" hidden="1" customHeight="1">
      <c r="A103" s="109">
        <f t="shared" si="1"/>
        <v>101</v>
      </c>
      <c r="B103" s="114">
        <v>2</v>
      </c>
      <c r="C103" s="114">
        <v>1</v>
      </c>
      <c r="D103" s="112" t="s">
        <v>221</v>
      </c>
      <c r="E103" s="10" t="s">
        <v>222</v>
      </c>
      <c r="F103" s="113" t="s">
        <v>558</v>
      </c>
      <c r="G103" s="112"/>
      <c r="H103" s="78"/>
      <c r="I103" s="81"/>
      <c r="J103" s="95" t="s">
        <v>222</v>
      </c>
      <c r="K103" s="1">
        <v>1</v>
      </c>
    </row>
    <row r="104" spans="1:11" s="1" customFormat="1" ht="15" customHeight="1">
      <c r="A104" s="7">
        <v>19</v>
      </c>
      <c r="B104" s="44">
        <v>2</v>
      </c>
      <c r="C104" s="44">
        <v>1</v>
      </c>
      <c r="D104" s="8" t="s">
        <v>223</v>
      </c>
      <c r="E104" s="103" t="s">
        <v>225</v>
      </c>
      <c r="F104" s="16" t="s">
        <v>837</v>
      </c>
      <c r="G104" s="7"/>
      <c r="H104" s="148" t="s">
        <v>642</v>
      </c>
      <c r="I104" s="150">
        <v>4</v>
      </c>
      <c r="J104" s="10" t="s">
        <v>225</v>
      </c>
      <c r="K104" s="1">
        <v>1</v>
      </c>
    </row>
    <row r="105" spans="1:11" s="1" customFormat="1" ht="15" customHeight="1">
      <c r="A105" s="7">
        <v>20</v>
      </c>
      <c r="B105" s="44">
        <v>2</v>
      </c>
      <c r="C105" s="44">
        <v>1</v>
      </c>
      <c r="D105" s="8" t="s">
        <v>226</v>
      </c>
      <c r="E105" s="107" t="s">
        <v>227</v>
      </c>
      <c r="F105" s="16" t="s">
        <v>838</v>
      </c>
      <c r="G105" s="7"/>
      <c r="H105" s="148" t="s">
        <v>642</v>
      </c>
      <c r="I105" s="150">
        <v>2</v>
      </c>
      <c r="J105" s="12" t="s">
        <v>227</v>
      </c>
      <c r="K105" s="1">
        <v>1</v>
      </c>
    </row>
    <row r="106" spans="1:11" s="1" customFormat="1" ht="15" hidden="1" customHeight="1">
      <c r="A106" s="128">
        <f t="shared" si="1"/>
        <v>104</v>
      </c>
      <c r="B106" s="135">
        <v>2</v>
      </c>
      <c r="C106" s="135">
        <v>2</v>
      </c>
      <c r="D106" s="130" t="s">
        <v>452</v>
      </c>
      <c r="E106" s="10" t="s">
        <v>228</v>
      </c>
      <c r="F106" s="97" t="s">
        <v>712</v>
      </c>
      <c r="G106" s="130"/>
      <c r="H106" s="6" t="s">
        <v>643</v>
      </c>
      <c r="I106" s="2">
        <v>4</v>
      </c>
      <c r="J106" s="131" t="s">
        <v>228</v>
      </c>
    </row>
    <row r="107" spans="1:11" s="1" customFormat="1" ht="15" hidden="1" customHeight="1">
      <c r="A107" s="7">
        <f t="shared" si="1"/>
        <v>105</v>
      </c>
      <c r="B107" s="45">
        <v>2</v>
      </c>
      <c r="C107" s="45">
        <v>2</v>
      </c>
      <c r="D107" s="8" t="s">
        <v>229</v>
      </c>
      <c r="E107" s="10" t="s">
        <v>230</v>
      </c>
      <c r="F107" s="16" t="s">
        <v>231</v>
      </c>
      <c r="G107" s="8"/>
      <c r="H107" s="6" t="s">
        <v>643</v>
      </c>
      <c r="I107" s="2">
        <v>1</v>
      </c>
      <c r="J107" s="10" t="s">
        <v>230</v>
      </c>
    </row>
    <row r="108" spans="1:11" s="1" customFormat="1" ht="15" hidden="1" customHeight="1">
      <c r="A108" s="7">
        <f t="shared" si="1"/>
        <v>106</v>
      </c>
      <c r="B108" s="45">
        <v>2</v>
      </c>
      <c r="C108" s="45">
        <v>2</v>
      </c>
      <c r="D108" s="8" t="s">
        <v>232</v>
      </c>
      <c r="E108" s="10" t="s">
        <v>233</v>
      </c>
      <c r="F108" s="16" t="s">
        <v>234</v>
      </c>
      <c r="G108" s="8"/>
      <c r="H108" s="6" t="s">
        <v>643</v>
      </c>
      <c r="I108" s="2">
        <v>2</v>
      </c>
      <c r="J108" s="10" t="s">
        <v>233</v>
      </c>
    </row>
    <row r="109" spans="1:11" s="1" customFormat="1" ht="15" customHeight="1">
      <c r="A109" s="109">
        <v>21</v>
      </c>
      <c r="B109" s="115">
        <v>2</v>
      </c>
      <c r="C109" s="115">
        <v>2</v>
      </c>
      <c r="D109" s="112" t="s">
        <v>235</v>
      </c>
      <c r="E109" s="10" t="s">
        <v>237</v>
      </c>
      <c r="F109" s="113" t="s">
        <v>561</v>
      </c>
      <c r="G109" s="36" t="s">
        <v>817</v>
      </c>
      <c r="H109" s="148" t="s">
        <v>642</v>
      </c>
      <c r="I109" s="150">
        <v>1</v>
      </c>
      <c r="J109" s="95" t="s">
        <v>237</v>
      </c>
      <c r="K109" s="1">
        <v>1</v>
      </c>
    </row>
    <row r="110" spans="1:11" s="1" customFormat="1" ht="15" customHeight="1">
      <c r="A110" s="7">
        <v>22</v>
      </c>
      <c r="B110" s="45">
        <v>2</v>
      </c>
      <c r="C110" s="45">
        <v>2</v>
      </c>
      <c r="D110" s="8" t="s">
        <v>238</v>
      </c>
      <c r="E110" s="103" t="s">
        <v>240</v>
      </c>
      <c r="F110" s="16" t="s">
        <v>839</v>
      </c>
      <c r="G110" s="7"/>
      <c r="H110" s="148" t="s">
        <v>642</v>
      </c>
      <c r="I110" s="150">
        <v>1</v>
      </c>
      <c r="J110" s="10" t="s">
        <v>240</v>
      </c>
      <c r="K110" s="1">
        <v>1</v>
      </c>
    </row>
    <row r="111" spans="1:11" s="1" customFormat="1" ht="15" hidden="1" customHeight="1">
      <c r="A111" s="128">
        <f t="shared" si="1"/>
        <v>109</v>
      </c>
      <c r="B111" s="129">
        <v>2</v>
      </c>
      <c r="C111" s="129">
        <v>3</v>
      </c>
      <c r="D111" s="130" t="s">
        <v>241</v>
      </c>
      <c r="E111" s="10" t="s">
        <v>243</v>
      </c>
      <c r="F111" s="97" t="s">
        <v>565</v>
      </c>
      <c r="G111" s="130"/>
      <c r="H111" s="6" t="s">
        <v>643</v>
      </c>
      <c r="I111" s="2">
        <v>1</v>
      </c>
      <c r="J111" s="131" t="s">
        <v>243</v>
      </c>
    </row>
    <row r="112" spans="1:11" s="1" customFormat="1" ht="15" hidden="1" customHeight="1">
      <c r="A112" s="7">
        <f t="shared" si="1"/>
        <v>110</v>
      </c>
      <c r="B112" s="46">
        <v>2</v>
      </c>
      <c r="C112" s="46">
        <v>3</v>
      </c>
      <c r="D112" s="15" t="s">
        <v>246</v>
      </c>
      <c r="E112" s="10" t="s">
        <v>247</v>
      </c>
      <c r="F112" s="16" t="s">
        <v>716</v>
      </c>
      <c r="G112" s="8"/>
      <c r="H112" s="6" t="s">
        <v>643</v>
      </c>
      <c r="I112" s="2">
        <v>1</v>
      </c>
      <c r="J112" s="10" t="s">
        <v>247</v>
      </c>
    </row>
    <row r="113" spans="1:11" s="1" customFormat="1" ht="15" hidden="1" customHeight="1">
      <c r="A113" s="7">
        <f t="shared" si="1"/>
        <v>111</v>
      </c>
      <c r="B113" s="46">
        <v>2</v>
      </c>
      <c r="C113" s="46">
        <v>3</v>
      </c>
      <c r="D113" s="15" t="s">
        <v>248</v>
      </c>
      <c r="E113" s="16" t="s">
        <v>250</v>
      </c>
      <c r="F113" s="16" t="s">
        <v>717</v>
      </c>
      <c r="G113" s="8"/>
      <c r="H113" s="6" t="s">
        <v>643</v>
      </c>
      <c r="I113" s="2">
        <v>2</v>
      </c>
      <c r="J113" s="16" t="s">
        <v>250</v>
      </c>
    </row>
    <row r="114" spans="1:11" s="1" customFormat="1" ht="15" hidden="1" customHeight="1">
      <c r="A114" s="7">
        <f t="shared" si="1"/>
        <v>112</v>
      </c>
      <c r="B114" s="46">
        <v>2</v>
      </c>
      <c r="C114" s="46">
        <v>3</v>
      </c>
      <c r="D114" s="15" t="s">
        <v>714</v>
      </c>
      <c r="E114" s="16" t="s">
        <v>252</v>
      </c>
      <c r="F114" s="16" t="s">
        <v>715</v>
      </c>
      <c r="G114" s="8"/>
      <c r="H114" s="6" t="s">
        <v>643</v>
      </c>
      <c r="I114" s="2">
        <v>0</v>
      </c>
      <c r="J114" s="16" t="s">
        <v>252</v>
      </c>
    </row>
    <row r="115" spans="1:11" s="1" customFormat="1" ht="15" hidden="1" customHeight="1">
      <c r="A115" s="7">
        <f t="shared" si="1"/>
        <v>113</v>
      </c>
      <c r="B115" s="46">
        <v>2</v>
      </c>
      <c r="C115" s="46">
        <v>3</v>
      </c>
      <c r="D115" s="15" t="s">
        <v>463</v>
      </c>
      <c r="E115" s="16"/>
      <c r="F115" s="24" t="s">
        <v>461</v>
      </c>
      <c r="G115" s="8"/>
      <c r="H115" s="78"/>
      <c r="I115" s="81"/>
      <c r="J115" s="16"/>
      <c r="K115" s="1">
        <v>1</v>
      </c>
    </row>
    <row r="116" spans="1:11" s="1" customFormat="1" ht="15" hidden="1" customHeight="1">
      <c r="A116" s="109">
        <f t="shared" si="1"/>
        <v>114</v>
      </c>
      <c r="B116" s="118">
        <v>2</v>
      </c>
      <c r="C116" s="118">
        <v>4</v>
      </c>
      <c r="D116" s="112" t="s">
        <v>253</v>
      </c>
      <c r="E116" s="10" t="s">
        <v>255</v>
      </c>
      <c r="F116" s="113" t="s">
        <v>719</v>
      </c>
      <c r="G116" s="112"/>
      <c r="H116" s="6" t="s">
        <v>643</v>
      </c>
      <c r="I116" s="2">
        <v>3</v>
      </c>
      <c r="J116" s="95" t="s">
        <v>255</v>
      </c>
    </row>
    <row r="117" spans="1:11" s="1" customFormat="1" ht="15" customHeight="1">
      <c r="A117" s="7">
        <v>23</v>
      </c>
      <c r="B117" s="33">
        <v>2</v>
      </c>
      <c r="C117" s="33">
        <v>4</v>
      </c>
      <c r="D117" s="8" t="s">
        <v>256</v>
      </c>
      <c r="E117" s="103" t="s">
        <v>258</v>
      </c>
      <c r="F117" s="16" t="s">
        <v>840</v>
      </c>
      <c r="G117" s="36" t="s">
        <v>813</v>
      </c>
      <c r="H117" s="148" t="s">
        <v>642</v>
      </c>
      <c r="I117" s="151">
        <v>0</v>
      </c>
      <c r="J117" s="10" t="s">
        <v>258</v>
      </c>
      <c r="K117" s="1">
        <v>1</v>
      </c>
    </row>
    <row r="118" spans="1:11" s="1" customFormat="1" ht="15" customHeight="1">
      <c r="A118" s="7">
        <v>24</v>
      </c>
      <c r="B118" s="33">
        <v>2</v>
      </c>
      <c r="C118" s="33">
        <v>4</v>
      </c>
      <c r="D118" s="15" t="s">
        <v>259</v>
      </c>
      <c r="E118" s="104" t="s">
        <v>260</v>
      </c>
      <c r="F118" s="16" t="s">
        <v>841</v>
      </c>
      <c r="G118" s="7"/>
      <c r="H118" s="148" t="s">
        <v>642</v>
      </c>
      <c r="I118" s="150">
        <v>1</v>
      </c>
      <c r="J118" s="16" t="s">
        <v>260</v>
      </c>
      <c r="K118" s="1">
        <v>1</v>
      </c>
    </row>
    <row r="119" spans="1:11" s="1" customFormat="1" ht="15" hidden="1" customHeight="1">
      <c r="A119" s="137">
        <f t="shared" si="1"/>
        <v>117</v>
      </c>
      <c r="B119" s="145">
        <v>2</v>
      </c>
      <c r="C119" s="145">
        <v>4</v>
      </c>
      <c r="D119" s="146" t="s">
        <v>261</v>
      </c>
      <c r="E119" s="10" t="s">
        <v>263</v>
      </c>
      <c r="F119" s="139" t="s">
        <v>721</v>
      </c>
      <c r="G119" s="18"/>
      <c r="H119" s="6" t="s">
        <v>643</v>
      </c>
      <c r="I119" s="2">
        <v>5</v>
      </c>
      <c r="J119" s="96" t="s">
        <v>263</v>
      </c>
    </row>
    <row r="120" spans="1:11" s="1" customFormat="1" ht="15" customHeight="1">
      <c r="A120" s="7">
        <v>25</v>
      </c>
      <c r="B120" s="33">
        <v>2</v>
      </c>
      <c r="C120" s="33">
        <v>4</v>
      </c>
      <c r="D120" s="8" t="s">
        <v>264</v>
      </c>
      <c r="E120" s="103" t="s">
        <v>265</v>
      </c>
      <c r="F120" s="16" t="s">
        <v>842</v>
      </c>
      <c r="G120" s="7"/>
      <c r="H120" s="148" t="s">
        <v>642</v>
      </c>
      <c r="I120" s="150">
        <v>1</v>
      </c>
      <c r="J120" s="10" t="s">
        <v>265</v>
      </c>
      <c r="K120" s="1">
        <v>1</v>
      </c>
    </row>
    <row r="121" spans="1:11" s="1" customFormat="1" ht="15" hidden="1" customHeight="1">
      <c r="A121" s="128">
        <f t="shared" si="1"/>
        <v>119</v>
      </c>
      <c r="B121" s="134">
        <v>2</v>
      </c>
      <c r="C121" s="134">
        <v>5</v>
      </c>
      <c r="D121" s="130" t="s">
        <v>435</v>
      </c>
      <c r="E121" s="10" t="s">
        <v>267</v>
      </c>
      <c r="F121" s="97" t="s">
        <v>723</v>
      </c>
      <c r="G121" s="130"/>
      <c r="H121" s="6" t="s">
        <v>643</v>
      </c>
      <c r="I121" s="2">
        <v>2</v>
      </c>
      <c r="J121" s="131" t="s">
        <v>267</v>
      </c>
    </row>
    <row r="122" spans="1:11" s="1" customFormat="1" ht="15" hidden="1" customHeight="1">
      <c r="A122" s="7">
        <f t="shared" si="1"/>
        <v>120</v>
      </c>
      <c r="B122" s="44">
        <v>2</v>
      </c>
      <c r="C122" s="44">
        <v>5</v>
      </c>
      <c r="D122" s="8" t="s">
        <v>268</v>
      </c>
      <c r="E122" s="10" t="s">
        <v>269</v>
      </c>
      <c r="F122" s="16" t="s">
        <v>727</v>
      </c>
      <c r="G122" s="8"/>
      <c r="H122" s="6" t="s">
        <v>643</v>
      </c>
      <c r="I122" s="2">
        <v>2</v>
      </c>
      <c r="J122" s="10" t="s">
        <v>269</v>
      </c>
    </row>
    <row r="123" spans="1:11" s="1" customFormat="1" ht="15" hidden="1" customHeight="1">
      <c r="A123" s="109">
        <f t="shared" si="1"/>
        <v>121</v>
      </c>
      <c r="B123" s="114">
        <v>2</v>
      </c>
      <c r="C123" s="114">
        <v>5</v>
      </c>
      <c r="D123" s="112" t="s">
        <v>271</v>
      </c>
      <c r="E123" s="10" t="s">
        <v>272</v>
      </c>
      <c r="F123" s="113" t="s">
        <v>725</v>
      </c>
      <c r="G123" s="112"/>
      <c r="H123" s="6" t="s">
        <v>643</v>
      </c>
      <c r="I123" s="2">
        <v>1</v>
      </c>
      <c r="J123" s="95" t="s">
        <v>272</v>
      </c>
    </row>
    <row r="124" spans="1:11" s="1" customFormat="1" ht="15" customHeight="1">
      <c r="A124" s="7">
        <v>26</v>
      </c>
      <c r="B124" s="44">
        <v>2</v>
      </c>
      <c r="C124" s="44">
        <v>5</v>
      </c>
      <c r="D124" s="8" t="s">
        <v>273</v>
      </c>
      <c r="E124" s="103" t="s">
        <v>274</v>
      </c>
      <c r="F124" s="16" t="s">
        <v>843</v>
      </c>
      <c r="G124" s="7"/>
      <c r="H124" s="148" t="s">
        <v>642</v>
      </c>
      <c r="I124" s="150">
        <v>1</v>
      </c>
      <c r="J124" s="10" t="s">
        <v>274</v>
      </c>
      <c r="K124" s="1">
        <v>1</v>
      </c>
    </row>
    <row r="125" spans="1:11" s="1" customFormat="1" ht="15" hidden="1" customHeight="1">
      <c r="A125" s="128">
        <f t="shared" si="1"/>
        <v>123</v>
      </c>
      <c r="B125" s="134">
        <v>2</v>
      </c>
      <c r="C125" s="134">
        <v>5</v>
      </c>
      <c r="D125" s="130" t="s">
        <v>275</v>
      </c>
      <c r="E125" s="10" t="s">
        <v>276</v>
      </c>
      <c r="F125" s="97" t="s">
        <v>726</v>
      </c>
      <c r="G125" s="130"/>
      <c r="H125" s="6" t="s">
        <v>643</v>
      </c>
      <c r="I125" s="2">
        <v>3</v>
      </c>
      <c r="J125" s="131" t="s">
        <v>276</v>
      </c>
    </row>
    <row r="126" spans="1:11" s="1" customFormat="1" ht="15" hidden="1" customHeight="1">
      <c r="A126" s="7">
        <f t="shared" si="1"/>
        <v>124</v>
      </c>
      <c r="B126" s="44">
        <v>2</v>
      </c>
      <c r="C126" s="44">
        <v>5</v>
      </c>
      <c r="D126" s="8" t="s">
        <v>277</v>
      </c>
      <c r="E126" s="10" t="s">
        <v>278</v>
      </c>
      <c r="F126" s="16" t="s">
        <v>728</v>
      </c>
      <c r="G126" s="8"/>
      <c r="H126" s="6" t="s">
        <v>643</v>
      </c>
      <c r="I126" s="2">
        <v>1</v>
      </c>
      <c r="J126" s="10" t="s">
        <v>278</v>
      </c>
    </row>
    <row r="127" spans="1:11" s="1" customFormat="1" ht="15" hidden="1" customHeight="1">
      <c r="A127" s="7">
        <f t="shared" si="1"/>
        <v>125</v>
      </c>
      <c r="B127" s="44">
        <v>2</v>
      </c>
      <c r="C127" s="44">
        <v>5</v>
      </c>
      <c r="D127" s="8" t="s">
        <v>279</v>
      </c>
      <c r="E127" s="10" t="s">
        <v>280</v>
      </c>
      <c r="F127" s="16" t="s">
        <v>724</v>
      </c>
      <c r="G127" s="8"/>
      <c r="H127" s="6" t="s">
        <v>643</v>
      </c>
      <c r="I127" s="2">
        <v>1</v>
      </c>
      <c r="J127" s="10" t="s">
        <v>280</v>
      </c>
    </row>
    <row r="128" spans="1:11" s="1" customFormat="1" ht="15" hidden="1" customHeight="1">
      <c r="A128" s="7">
        <f t="shared" si="1"/>
        <v>126</v>
      </c>
      <c r="B128" s="44">
        <v>2</v>
      </c>
      <c r="C128" s="44">
        <v>5</v>
      </c>
      <c r="D128" s="8" t="s">
        <v>281</v>
      </c>
      <c r="E128" s="10" t="s">
        <v>282</v>
      </c>
      <c r="F128" s="16"/>
      <c r="G128" s="8"/>
      <c r="H128" s="78"/>
      <c r="I128" s="81"/>
      <c r="J128" s="10" t="s">
        <v>282</v>
      </c>
      <c r="K128" s="1">
        <v>1</v>
      </c>
    </row>
    <row r="129" spans="1:11" s="1" customFormat="1" ht="15" hidden="1" customHeight="1">
      <c r="A129" s="7">
        <f t="shared" si="1"/>
        <v>127</v>
      </c>
      <c r="B129" s="44">
        <v>2</v>
      </c>
      <c r="C129" s="44">
        <v>5</v>
      </c>
      <c r="D129" s="8" t="s">
        <v>283</v>
      </c>
      <c r="E129" s="37"/>
      <c r="F129" s="24" t="s">
        <v>284</v>
      </c>
      <c r="G129" s="8"/>
      <c r="I129" s="81"/>
      <c r="J129" s="37"/>
      <c r="K129" s="1">
        <v>1</v>
      </c>
    </row>
    <row r="130" spans="1:11" s="1" customFormat="1" ht="15" hidden="1" customHeight="1">
      <c r="A130" s="7">
        <f t="shared" si="1"/>
        <v>128</v>
      </c>
      <c r="B130" s="46">
        <v>2</v>
      </c>
      <c r="C130" s="46">
        <v>6</v>
      </c>
      <c r="D130" s="8" t="s">
        <v>286</v>
      </c>
      <c r="E130" s="10" t="s">
        <v>288</v>
      </c>
      <c r="F130" s="16" t="s">
        <v>735</v>
      </c>
      <c r="G130" s="8"/>
      <c r="H130" s="6" t="s">
        <v>643</v>
      </c>
      <c r="I130" s="2">
        <v>3</v>
      </c>
      <c r="J130" s="10" t="s">
        <v>288</v>
      </c>
    </row>
    <row r="131" spans="1:11" s="1" customFormat="1" ht="15" hidden="1" customHeight="1">
      <c r="A131" s="7">
        <f t="shared" si="1"/>
        <v>129</v>
      </c>
      <c r="B131" s="46">
        <v>2</v>
      </c>
      <c r="C131" s="46">
        <v>6</v>
      </c>
      <c r="D131" s="8" t="s">
        <v>289</v>
      </c>
      <c r="E131" s="10" t="s">
        <v>290</v>
      </c>
      <c r="F131" s="16" t="s">
        <v>732</v>
      </c>
      <c r="G131" s="8"/>
      <c r="H131" s="6" t="s">
        <v>643</v>
      </c>
      <c r="I131" s="2">
        <v>2</v>
      </c>
      <c r="J131" s="10" t="s">
        <v>290</v>
      </c>
    </row>
    <row r="132" spans="1:11" s="1" customFormat="1" ht="15" hidden="1" customHeight="1">
      <c r="A132" s="7">
        <f t="shared" si="1"/>
        <v>130</v>
      </c>
      <c r="B132" s="46">
        <v>2</v>
      </c>
      <c r="C132" s="46">
        <v>6</v>
      </c>
      <c r="D132" s="8" t="s">
        <v>730</v>
      </c>
      <c r="E132" s="10" t="s">
        <v>292</v>
      </c>
      <c r="F132" s="16" t="s">
        <v>731</v>
      </c>
      <c r="G132" s="8"/>
      <c r="H132" s="6" t="s">
        <v>643</v>
      </c>
      <c r="I132" s="2">
        <v>3</v>
      </c>
      <c r="J132" s="10" t="s">
        <v>292</v>
      </c>
    </row>
    <row r="133" spans="1:11" s="1" customFormat="1" ht="15" hidden="1" customHeight="1">
      <c r="A133" s="7">
        <f t="shared" si="1"/>
        <v>131</v>
      </c>
      <c r="B133" s="46">
        <v>2</v>
      </c>
      <c r="C133" s="46">
        <v>6</v>
      </c>
      <c r="D133" s="8" t="s">
        <v>293</v>
      </c>
      <c r="E133" s="10" t="s">
        <v>294</v>
      </c>
      <c r="F133" s="16" t="s">
        <v>733</v>
      </c>
      <c r="G133" s="8"/>
      <c r="H133" s="6" t="s">
        <v>643</v>
      </c>
      <c r="I133" s="2">
        <v>2</v>
      </c>
      <c r="J133" s="10" t="s">
        <v>294</v>
      </c>
    </row>
    <row r="134" spans="1:11" s="1" customFormat="1" ht="15" hidden="1" customHeight="1">
      <c r="A134" s="7">
        <f t="shared" si="1"/>
        <v>132</v>
      </c>
      <c r="B134" s="46">
        <v>2</v>
      </c>
      <c r="C134" s="46">
        <v>6</v>
      </c>
      <c r="D134" s="8" t="s">
        <v>295</v>
      </c>
      <c r="E134" s="10" t="s">
        <v>297</v>
      </c>
      <c r="F134" s="16" t="s">
        <v>734</v>
      </c>
      <c r="G134" s="8"/>
      <c r="H134" s="6" t="s">
        <v>643</v>
      </c>
      <c r="I134" s="2">
        <v>0</v>
      </c>
      <c r="J134" s="10" t="s">
        <v>297</v>
      </c>
    </row>
    <row r="135" spans="1:11" s="1" customFormat="1" ht="15" hidden="1" customHeight="1">
      <c r="A135" s="7">
        <f t="shared" ref="A135:A189" si="2">ROW()-2</f>
        <v>133</v>
      </c>
      <c r="B135" s="46">
        <v>2</v>
      </c>
      <c r="C135" s="46">
        <v>6</v>
      </c>
      <c r="D135" s="8" t="s">
        <v>299</v>
      </c>
      <c r="E135" s="10" t="s">
        <v>300</v>
      </c>
      <c r="F135" s="16"/>
      <c r="G135" s="8"/>
      <c r="H135" s="78"/>
      <c r="I135" s="81"/>
      <c r="J135" s="10" t="s">
        <v>300</v>
      </c>
      <c r="K135" s="1">
        <v>1</v>
      </c>
    </row>
    <row r="136" spans="1:11" s="1" customFormat="1" ht="15" hidden="1" customHeight="1">
      <c r="A136" s="7">
        <f t="shared" si="2"/>
        <v>134</v>
      </c>
      <c r="B136" s="29">
        <v>2</v>
      </c>
      <c r="C136" s="29">
        <v>7</v>
      </c>
      <c r="D136" s="8" t="s">
        <v>301</v>
      </c>
      <c r="E136" s="16" t="s">
        <v>448</v>
      </c>
      <c r="F136" s="16" t="s">
        <v>743</v>
      </c>
      <c r="G136" s="8"/>
      <c r="H136" s="6" t="s">
        <v>643</v>
      </c>
      <c r="I136" s="2">
        <v>3</v>
      </c>
      <c r="J136" s="16" t="s">
        <v>448</v>
      </c>
    </row>
    <row r="137" spans="1:11" s="1" customFormat="1" ht="15" hidden="1" customHeight="1">
      <c r="A137" s="7">
        <f t="shared" si="2"/>
        <v>135</v>
      </c>
      <c r="B137" s="29">
        <v>2</v>
      </c>
      <c r="C137" s="29">
        <v>7</v>
      </c>
      <c r="D137" s="8" t="s">
        <v>302</v>
      </c>
      <c r="E137" s="10" t="s">
        <v>303</v>
      </c>
      <c r="F137" s="10" t="s">
        <v>741</v>
      </c>
      <c r="G137" s="8"/>
      <c r="H137" s="6" t="s">
        <v>643</v>
      </c>
      <c r="I137" s="2">
        <v>0</v>
      </c>
      <c r="J137" s="10" t="s">
        <v>303</v>
      </c>
    </row>
    <row r="138" spans="1:11" s="1" customFormat="1" ht="15" hidden="1" customHeight="1">
      <c r="A138" s="7">
        <f t="shared" si="2"/>
        <v>136</v>
      </c>
      <c r="B138" s="29">
        <v>2</v>
      </c>
      <c r="C138" s="29">
        <v>7</v>
      </c>
      <c r="D138" s="8" t="s">
        <v>304</v>
      </c>
      <c r="E138" s="10" t="s">
        <v>305</v>
      </c>
      <c r="F138" s="10" t="s">
        <v>744</v>
      </c>
      <c r="G138" s="8"/>
      <c r="H138" s="6" t="s">
        <v>643</v>
      </c>
      <c r="I138" s="2">
        <v>2</v>
      </c>
      <c r="J138" s="10" t="s">
        <v>305</v>
      </c>
    </row>
    <row r="139" spans="1:11" s="1" customFormat="1" ht="15" hidden="1" customHeight="1">
      <c r="A139" s="7">
        <f t="shared" si="2"/>
        <v>137</v>
      </c>
      <c r="B139" s="29">
        <v>2</v>
      </c>
      <c r="C139" s="29">
        <v>7</v>
      </c>
      <c r="D139" s="8" t="s">
        <v>306</v>
      </c>
      <c r="E139" s="10" t="s">
        <v>308</v>
      </c>
      <c r="F139" s="10" t="s">
        <v>736</v>
      </c>
      <c r="G139" s="8"/>
      <c r="H139" s="6" t="s">
        <v>643</v>
      </c>
      <c r="I139" s="2">
        <v>3</v>
      </c>
      <c r="J139" s="10" t="s">
        <v>308</v>
      </c>
    </row>
    <row r="140" spans="1:11" s="1" customFormat="1" ht="15" hidden="1" customHeight="1">
      <c r="A140" s="109">
        <f t="shared" si="2"/>
        <v>138</v>
      </c>
      <c r="B140" s="117">
        <v>2</v>
      </c>
      <c r="C140" s="117">
        <v>7</v>
      </c>
      <c r="D140" s="112" t="s">
        <v>309</v>
      </c>
      <c r="E140" s="10" t="s">
        <v>310</v>
      </c>
      <c r="F140" s="95" t="s">
        <v>742</v>
      </c>
      <c r="G140" s="112"/>
      <c r="H140" s="6" t="s">
        <v>643</v>
      </c>
      <c r="I140" s="2">
        <v>3</v>
      </c>
      <c r="J140" s="95" t="s">
        <v>310</v>
      </c>
    </row>
    <row r="141" spans="1:11" s="1" customFormat="1" ht="15" customHeight="1">
      <c r="A141" s="7">
        <v>27</v>
      </c>
      <c r="B141" s="29">
        <v>2</v>
      </c>
      <c r="C141" s="29">
        <v>7</v>
      </c>
      <c r="D141" s="8" t="s">
        <v>311</v>
      </c>
      <c r="E141" s="103" t="s">
        <v>312</v>
      </c>
      <c r="F141" s="10" t="s">
        <v>844</v>
      </c>
      <c r="G141" s="7"/>
      <c r="H141" s="148" t="s">
        <v>642</v>
      </c>
      <c r="I141" s="151">
        <v>0</v>
      </c>
      <c r="J141" s="10" t="s">
        <v>312</v>
      </c>
      <c r="K141" s="1">
        <v>1</v>
      </c>
    </row>
    <row r="142" spans="1:11" s="1" customFormat="1" ht="15" customHeight="1">
      <c r="A142" s="7">
        <v>28</v>
      </c>
      <c r="B142" s="29">
        <v>2</v>
      </c>
      <c r="C142" s="29">
        <v>7</v>
      </c>
      <c r="D142" s="8" t="s">
        <v>313</v>
      </c>
      <c r="E142" s="104" t="s">
        <v>314</v>
      </c>
      <c r="F142" s="16" t="s">
        <v>845</v>
      </c>
      <c r="G142" s="36" t="s">
        <v>814</v>
      </c>
      <c r="H142" s="148" t="s">
        <v>642</v>
      </c>
      <c r="I142" s="150">
        <v>3</v>
      </c>
      <c r="J142" s="16" t="s">
        <v>314</v>
      </c>
      <c r="K142" s="1">
        <v>1</v>
      </c>
    </row>
    <row r="143" spans="1:11" s="1" customFormat="1" ht="15" hidden="1" customHeight="1">
      <c r="A143" s="128">
        <f t="shared" si="2"/>
        <v>141</v>
      </c>
      <c r="B143" s="140">
        <v>2</v>
      </c>
      <c r="C143" s="140">
        <v>7</v>
      </c>
      <c r="D143" s="130" t="s">
        <v>318</v>
      </c>
      <c r="E143" s="10" t="s">
        <v>320</v>
      </c>
      <c r="F143" s="131" t="s">
        <v>737</v>
      </c>
      <c r="G143" s="130"/>
      <c r="H143" s="6" t="s">
        <v>643</v>
      </c>
      <c r="I143" s="2">
        <v>5</v>
      </c>
      <c r="J143" s="131" t="s">
        <v>320</v>
      </c>
    </row>
    <row r="144" spans="1:11" s="1" customFormat="1" ht="15" hidden="1" customHeight="1">
      <c r="A144" s="7">
        <f t="shared" si="2"/>
        <v>142</v>
      </c>
      <c r="B144" s="29">
        <v>2</v>
      </c>
      <c r="C144" s="29">
        <v>7</v>
      </c>
      <c r="D144" s="8" t="s">
        <v>472</v>
      </c>
      <c r="E144" s="37"/>
      <c r="F144" s="10" t="s">
        <v>476</v>
      </c>
      <c r="G144" s="8"/>
      <c r="H144" s="78"/>
      <c r="I144" s="81"/>
      <c r="J144" s="37"/>
      <c r="K144" s="1">
        <v>1</v>
      </c>
    </row>
    <row r="145" spans="1:11" s="1" customFormat="1" ht="15" hidden="1" customHeight="1">
      <c r="A145" s="7">
        <f t="shared" si="2"/>
        <v>143</v>
      </c>
      <c r="B145" s="46">
        <v>2</v>
      </c>
      <c r="C145" s="46">
        <v>8</v>
      </c>
      <c r="D145" s="8" t="s">
        <v>749</v>
      </c>
      <c r="E145" s="10" t="s">
        <v>322</v>
      </c>
      <c r="F145" s="10" t="s">
        <v>750</v>
      </c>
      <c r="G145" s="8"/>
      <c r="H145" s="6" t="s">
        <v>643</v>
      </c>
      <c r="I145" s="2">
        <v>2</v>
      </c>
      <c r="J145" s="10" t="s">
        <v>322</v>
      </c>
    </row>
    <row r="146" spans="1:11" s="1" customFormat="1" ht="15" hidden="1" customHeight="1">
      <c r="A146" s="7">
        <f t="shared" si="2"/>
        <v>144</v>
      </c>
      <c r="B146" s="46">
        <v>2</v>
      </c>
      <c r="C146" s="46">
        <v>8</v>
      </c>
      <c r="D146" s="8" t="s">
        <v>323</v>
      </c>
      <c r="E146" s="10" t="s">
        <v>325</v>
      </c>
      <c r="F146" s="16"/>
      <c r="G146" s="8"/>
      <c r="H146" s="78"/>
      <c r="I146" s="81"/>
      <c r="J146" s="10" t="s">
        <v>325</v>
      </c>
      <c r="K146" s="1">
        <v>1</v>
      </c>
    </row>
    <row r="147" spans="1:11" s="1" customFormat="1" ht="15" hidden="1" customHeight="1">
      <c r="A147" s="7">
        <f t="shared" si="2"/>
        <v>145</v>
      </c>
      <c r="B147" s="46">
        <v>2</v>
      </c>
      <c r="C147" s="46">
        <v>8</v>
      </c>
      <c r="D147" s="8" t="s">
        <v>326</v>
      </c>
      <c r="E147" s="10" t="s">
        <v>327</v>
      </c>
      <c r="F147" s="16" t="s">
        <v>747</v>
      </c>
      <c r="G147" s="8"/>
      <c r="H147" s="6" t="s">
        <v>643</v>
      </c>
      <c r="I147" s="2">
        <v>0</v>
      </c>
      <c r="J147" s="10" t="s">
        <v>327</v>
      </c>
    </row>
    <row r="148" spans="1:11" s="1" customFormat="1" ht="15" hidden="1" customHeight="1">
      <c r="A148" s="7">
        <f t="shared" si="2"/>
        <v>146</v>
      </c>
      <c r="B148" s="46">
        <v>2</v>
      </c>
      <c r="C148" s="46">
        <v>8</v>
      </c>
      <c r="D148" s="8" t="s">
        <v>328</v>
      </c>
      <c r="E148" s="10" t="s">
        <v>329</v>
      </c>
      <c r="F148" s="16" t="s">
        <v>748</v>
      </c>
      <c r="G148" s="8"/>
      <c r="H148" s="6" t="s">
        <v>643</v>
      </c>
      <c r="I148" s="2">
        <v>3</v>
      </c>
      <c r="J148" s="10" t="s">
        <v>329</v>
      </c>
    </row>
    <row r="149" spans="1:11" s="1" customFormat="1" ht="15" hidden="1" customHeight="1">
      <c r="A149" s="7">
        <f t="shared" si="2"/>
        <v>147</v>
      </c>
      <c r="B149" s="46">
        <v>2</v>
      </c>
      <c r="C149" s="46">
        <v>8</v>
      </c>
      <c r="D149" s="8" t="s">
        <v>330</v>
      </c>
      <c r="E149" s="10" t="s">
        <v>331</v>
      </c>
      <c r="F149" s="16" t="s">
        <v>745</v>
      </c>
      <c r="G149" s="8"/>
      <c r="H149" s="6" t="s">
        <v>643</v>
      </c>
      <c r="I149" s="2">
        <v>2</v>
      </c>
      <c r="J149" s="10" t="s">
        <v>331</v>
      </c>
    </row>
    <row r="150" spans="1:11" s="1" customFormat="1" ht="15" hidden="1" customHeight="1">
      <c r="A150" s="7">
        <f t="shared" si="2"/>
        <v>148</v>
      </c>
      <c r="B150" s="46">
        <v>2</v>
      </c>
      <c r="C150" s="46">
        <v>8</v>
      </c>
      <c r="D150" s="8" t="s">
        <v>332</v>
      </c>
      <c r="E150" s="10" t="s">
        <v>333</v>
      </c>
      <c r="F150" s="16" t="s">
        <v>746</v>
      </c>
      <c r="G150" s="8"/>
      <c r="H150" s="6" t="s">
        <v>643</v>
      </c>
      <c r="I150" s="2">
        <v>0</v>
      </c>
      <c r="J150" s="10" t="s">
        <v>333</v>
      </c>
    </row>
    <row r="151" spans="1:11" s="1" customFormat="1" ht="15" hidden="1" customHeight="1">
      <c r="A151" s="7">
        <f t="shared" si="2"/>
        <v>149</v>
      </c>
      <c r="B151" s="46">
        <v>2</v>
      </c>
      <c r="C151" s="46">
        <v>8</v>
      </c>
      <c r="D151" s="8" t="s">
        <v>473</v>
      </c>
      <c r="E151" s="37"/>
      <c r="F151" s="10" t="s">
        <v>474</v>
      </c>
      <c r="G151" s="8"/>
      <c r="H151" s="78"/>
      <c r="I151" s="81"/>
      <c r="J151" s="37"/>
      <c r="K151" s="1">
        <v>1</v>
      </c>
    </row>
    <row r="152" spans="1:11" s="1" customFormat="1" ht="15" hidden="1" customHeight="1">
      <c r="A152" s="7">
        <f t="shared" si="2"/>
        <v>150</v>
      </c>
      <c r="B152" s="45">
        <v>2</v>
      </c>
      <c r="C152" s="45">
        <v>9</v>
      </c>
      <c r="D152" s="8" t="s">
        <v>334</v>
      </c>
      <c r="E152" s="10" t="s">
        <v>335</v>
      </c>
      <c r="F152" s="16" t="s">
        <v>755</v>
      </c>
      <c r="G152" s="8"/>
      <c r="H152" s="6" t="s">
        <v>643</v>
      </c>
      <c r="I152" s="2">
        <v>2</v>
      </c>
      <c r="J152" s="10" t="s">
        <v>335</v>
      </c>
    </row>
    <row r="153" spans="1:11" s="1" customFormat="1" ht="15" hidden="1" customHeight="1">
      <c r="A153" s="7">
        <f t="shared" si="2"/>
        <v>151</v>
      </c>
      <c r="B153" s="45">
        <v>2</v>
      </c>
      <c r="C153" s="45">
        <v>9</v>
      </c>
      <c r="D153" s="8" t="s">
        <v>336</v>
      </c>
      <c r="E153" s="10" t="s">
        <v>337</v>
      </c>
      <c r="F153" s="16" t="s">
        <v>757</v>
      </c>
      <c r="G153" s="8"/>
      <c r="H153" s="6" t="s">
        <v>643</v>
      </c>
      <c r="I153" s="2">
        <v>2</v>
      </c>
      <c r="J153" s="10" t="s">
        <v>337</v>
      </c>
    </row>
    <row r="154" spans="1:11" s="1" customFormat="1" ht="15" hidden="1" customHeight="1">
      <c r="A154" s="109">
        <f t="shared" si="2"/>
        <v>152</v>
      </c>
      <c r="B154" s="115">
        <v>2</v>
      </c>
      <c r="C154" s="115">
        <v>9</v>
      </c>
      <c r="D154" s="112" t="s">
        <v>338</v>
      </c>
      <c r="E154" s="10" t="s">
        <v>339</v>
      </c>
      <c r="F154" s="113" t="s">
        <v>502</v>
      </c>
      <c r="G154" s="112"/>
      <c r="H154" s="6" t="s">
        <v>643</v>
      </c>
      <c r="I154" s="2">
        <v>2</v>
      </c>
      <c r="J154" s="95" t="s">
        <v>339</v>
      </c>
    </row>
    <row r="155" spans="1:11" s="1" customFormat="1" ht="15" customHeight="1">
      <c r="A155" s="7">
        <v>29</v>
      </c>
      <c r="B155" s="45">
        <v>2</v>
      </c>
      <c r="C155" s="45">
        <v>9</v>
      </c>
      <c r="D155" s="8" t="s">
        <v>753</v>
      </c>
      <c r="E155" s="103" t="s">
        <v>341</v>
      </c>
      <c r="F155" s="16" t="s">
        <v>846</v>
      </c>
      <c r="G155" s="7"/>
      <c r="H155" s="148" t="s">
        <v>642</v>
      </c>
      <c r="I155" s="151">
        <v>0</v>
      </c>
      <c r="J155" s="10" t="s">
        <v>341</v>
      </c>
      <c r="K155" s="1">
        <v>1</v>
      </c>
    </row>
    <row r="156" spans="1:11" s="1" customFormat="1" ht="15" hidden="1" customHeight="1">
      <c r="A156" s="137">
        <f t="shared" si="2"/>
        <v>154</v>
      </c>
      <c r="B156" s="138">
        <v>2</v>
      </c>
      <c r="C156" s="138">
        <v>9</v>
      </c>
      <c r="D156" s="18" t="s">
        <v>342</v>
      </c>
      <c r="E156" s="10" t="s">
        <v>343</v>
      </c>
      <c r="F156" s="139" t="s">
        <v>756</v>
      </c>
      <c r="G156" s="18"/>
      <c r="H156" s="6" t="s">
        <v>643</v>
      </c>
      <c r="I156" s="2">
        <v>1</v>
      </c>
      <c r="J156" s="96" t="s">
        <v>343</v>
      </c>
    </row>
    <row r="157" spans="1:11" s="1" customFormat="1" ht="15" customHeight="1">
      <c r="A157" s="7">
        <v>30</v>
      </c>
      <c r="B157" s="45">
        <v>2</v>
      </c>
      <c r="C157" s="45">
        <v>9</v>
      </c>
      <c r="D157" s="8" t="s">
        <v>505</v>
      </c>
      <c r="E157" s="103" t="s">
        <v>344</v>
      </c>
      <c r="F157" s="16" t="s">
        <v>847</v>
      </c>
      <c r="G157" s="36" t="s">
        <v>815</v>
      </c>
      <c r="H157" s="148" t="s">
        <v>642</v>
      </c>
      <c r="I157" s="151">
        <v>0</v>
      </c>
      <c r="J157" s="10" t="s">
        <v>344</v>
      </c>
      <c r="K157" s="1">
        <v>1</v>
      </c>
    </row>
    <row r="158" spans="1:11" s="1" customFormat="1" ht="15" hidden="1" customHeight="1">
      <c r="A158" s="128">
        <f t="shared" si="2"/>
        <v>156</v>
      </c>
      <c r="B158" s="135">
        <v>2</v>
      </c>
      <c r="C158" s="135">
        <v>9</v>
      </c>
      <c r="D158" s="130" t="s">
        <v>345</v>
      </c>
      <c r="E158" s="10" t="s">
        <v>347</v>
      </c>
      <c r="F158" s="97" t="s">
        <v>751</v>
      </c>
      <c r="G158" s="130"/>
      <c r="H158" s="6" t="s">
        <v>643</v>
      </c>
      <c r="I158" s="2">
        <v>1</v>
      </c>
      <c r="J158" s="131" t="s">
        <v>347</v>
      </c>
    </row>
    <row r="159" spans="1:11" s="1" customFormat="1" ht="15" hidden="1" customHeight="1">
      <c r="A159" s="7">
        <f t="shared" si="2"/>
        <v>157</v>
      </c>
      <c r="B159" s="45">
        <v>2</v>
      </c>
      <c r="C159" s="45">
        <v>9</v>
      </c>
      <c r="D159" s="8" t="s">
        <v>457</v>
      </c>
      <c r="E159" s="10" t="s">
        <v>349</v>
      </c>
      <c r="F159" s="16" t="s">
        <v>752</v>
      </c>
      <c r="G159" s="8"/>
      <c r="H159" s="6" t="s">
        <v>643</v>
      </c>
      <c r="I159" s="2">
        <v>0</v>
      </c>
      <c r="J159" s="10" t="s">
        <v>349</v>
      </c>
    </row>
    <row r="160" spans="1:11" s="1" customFormat="1" ht="15" hidden="1" customHeight="1">
      <c r="A160" s="7">
        <f t="shared" si="2"/>
        <v>158</v>
      </c>
      <c r="B160" s="33">
        <v>2</v>
      </c>
      <c r="C160" s="33">
        <v>10</v>
      </c>
      <c r="D160" s="8" t="s">
        <v>357</v>
      </c>
      <c r="E160" s="10" t="s">
        <v>359</v>
      </c>
      <c r="F160" s="16" t="s">
        <v>769</v>
      </c>
      <c r="G160" s="8"/>
      <c r="H160" s="6" t="s">
        <v>643</v>
      </c>
      <c r="I160" s="2">
        <v>1</v>
      </c>
      <c r="J160" s="10" t="s">
        <v>359</v>
      </c>
    </row>
    <row r="161" spans="1:11" s="1" customFormat="1" ht="15" hidden="1" customHeight="1">
      <c r="A161" s="109">
        <f t="shared" si="2"/>
        <v>159</v>
      </c>
      <c r="B161" s="118">
        <v>2</v>
      </c>
      <c r="C161" s="118">
        <v>10</v>
      </c>
      <c r="D161" s="111" t="s">
        <v>369</v>
      </c>
      <c r="E161" s="10" t="s">
        <v>371</v>
      </c>
      <c r="F161" s="113" t="s">
        <v>770</v>
      </c>
      <c r="G161" s="112"/>
      <c r="H161" s="6" t="s">
        <v>643</v>
      </c>
      <c r="I161" s="2">
        <v>1</v>
      </c>
      <c r="J161" s="95" t="s">
        <v>371</v>
      </c>
    </row>
    <row r="162" spans="1:11" s="1" customFormat="1" ht="15" customHeight="1">
      <c r="A162" s="7">
        <v>31</v>
      </c>
      <c r="B162" s="33">
        <v>2</v>
      </c>
      <c r="C162" s="33">
        <v>10</v>
      </c>
      <c r="D162" s="8" t="s">
        <v>375</v>
      </c>
      <c r="E162" s="103" t="s">
        <v>377</v>
      </c>
      <c r="F162" s="16" t="s">
        <v>848</v>
      </c>
      <c r="G162" s="7"/>
      <c r="H162" s="148" t="s">
        <v>642</v>
      </c>
      <c r="I162" s="151">
        <v>0</v>
      </c>
      <c r="J162" s="10" t="s">
        <v>377</v>
      </c>
      <c r="K162" s="1">
        <v>1</v>
      </c>
    </row>
    <row r="163" spans="1:11" s="1" customFormat="1" ht="15" customHeight="1">
      <c r="A163" s="7">
        <v>32</v>
      </c>
      <c r="B163" s="33">
        <v>2</v>
      </c>
      <c r="C163" s="33">
        <v>10</v>
      </c>
      <c r="D163" s="8" t="s">
        <v>381</v>
      </c>
      <c r="E163" s="103" t="s">
        <v>383</v>
      </c>
      <c r="F163" s="16"/>
      <c r="G163" s="36" t="s">
        <v>816</v>
      </c>
      <c r="H163" s="148" t="s">
        <v>642</v>
      </c>
      <c r="I163" s="150">
        <v>4</v>
      </c>
      <c r="J163" s="10" t="s">
        <v>383</v>
      </c>
      <c r="K163" s="1">
        <v>1</v>
      </c>
    </row>
    <row r="164" spans="1:11" s="1" customFormat="1" ht="15" hidden="1" customHeight="1">
      <c r="A164" s="128">
        <f t="shared" si="2"/>
        <v>162</v>
      </c>
      <c r="B164" s="141">
        <v>2</v>
      </c>
      <c r="C164" s="141">
        <v>10</v>
      </c>
      <c r="D164" s="130" t="s">
        <v>363</v>
      </c>
      <c r="E164" s="10" t="s">
        <v>365</v>
      </c>
      <c r="F164" s="97" t="s">
        <v>765</v>
      </c>
      <c r="G164" s="130"/>
      <c r="H164" s="6" t="s">
        <v>643</v>
      </c>
      <c r="I164" s="2">
        <v>0</v>
      </c>
      <c r="J164" s="131" t="s">
        <v>365</v>
      </c>
    </row>
    <row r="165" spans="1:11" s="1" customFormat="1" ht="15" hidden="1" customHeight="1">
      <c r="A165" s="7">
        <f t="shared" si="2"/>
        <v>163</v>
      </c>
      <c r="B165" s="33">
        <v>2</v>
      </c>
      <c r="C165" s="33">
        <v>10</v>
      </c>
      <c r="D165" s="8" t="s">
        <v>360</v>
      </c>
      <c r="E165" s="10" t="s">
        <v>362</v>
      </c>
      <c r="F165" s="16" t="s">
        <v>766</v>
      </c>
      <c r="G165" s="8"/>
      <c r="H165" s="6" t="s">
        <v>643</v>
      </c>
      <c r="I165" s="2">
        <v>3</v>
      </c>
      <c r="J165" s="10" t="s">
        <v>362</v>
      </c>
    </row>
    <row r="166" spans="1:11" s="1" customFormat="1" ht="15" hidden="1" customHeight="1">
      <c r="A166" s="109">
        <f t="shared" si="2"/>
        <v>164</v>
      </c>
      <c r="B166" s="118">
        <v>2</v>
      </c>
      <c r="C166" s="118">
        <v>10</v>
      </c>
      <c r="D166" s="112" t="s">
        <v>372</v>
      </c>
      <c r="E166" s="10" t="s">
        <v>374</v>
      </c>
      <c r="F166" s="113" t="s">
        <v>767</v>
      </c>
      <c r="G166" s="112"/>
      <c r="H166" s="6" t="s">
        <v>643</v>
      </c>
      <c r="I166" s="2">
        <v>1</v>
      </c>
      <c r="J166" s="95" t="s">
        <v>374</v>
      </c>
    </row>
    <row r="167" spans="1:11" s="1" customFormat="1" ht="15" customHeight="1">
      <c r="A167" s="7">
        <v>33</v>
      </c>
      <c r="B167" s="33">
        <v>2</v>
      </c>
      <c r="C167" s="33">
        <v>10</v>
      </c>
      <c r="D167" s="8" t="s">
        <v>378</v>
      </c>
      <c r="E167" s="103" t="s">
        <v>380</v>
      </c>
      <c r="F167" s="16" t="s">
        <v>849</v>
      </c>
      <c r="G167" s="7"/>
      <c r="H167" s="148" t="s">
        <v>642</v>
      </c>
      <c r="I167" s="150">
        <v>1</v>
      </c>
      <c r="J167" s="10" t="s">
        <v>380</v>
      </c>
      <c r="K167" s="1">
        <v>1</v>
      </c>
    </row>
    <row r="168" spans="1:11" s="1" customFormat="1" ht="15" customHeight="1">
      <c r="A168" s="7">
        <v>34</v>
      </c>
      <c r="B168" s="33">
        <v>2</v>
      </c>
      <c r="C168" s="33">
        <v>10</v>
      </c>
      <c r="D168" s="8" t="s">
        <v>366</v>
      </c>
      <c r="E168" s="103" t="s">
        <v>368</v>
      </c>
      <c r="F168" s="16" t="s">
        <v>850</v>
      </c>
      <c r="G168" s="7"/>
      <c r="H168" s="148" t="s">
        <v>642</v>
      </c>
      <c r="I168" s="151">
        <v>0</v>
      </c>
      <c r="J168" s="10" t="s">
        <v>368</v>
      </c>
      <c r="K168" s="1">
        <v>1</v>
      </c>
    </row>
    <row r="169" spans="1:11" s="1" customFormat="1" ht="15" hidden="1" customHeight="1">
      <c r="A169" s="128">
        <f t="shared" si="2"/>
        <v>167</v>
      </c>
      <c r="B169" s="141">
        <v>2</v>
      </c>
      <c r="C169" s="141">
        <v>10</v>
      </c>
      <c r="D169" s="130" t="s">
        <v>354</v>
      </c>
      <c r="E169" s="10" t="s">
        <v>356</v>
      </c>
      <c r="F169" s="97" t="s">
        <v>768</v>
      </c>
      <c r="G169" s="130"/>
      <c r="H169" s="6" t="s">
        <v>643</v>
      </c>
      <c r="I169" s="2">
        <v>2</v>
      </c>
      <c r="J169" s="131" t="s">
        <v>356</v>
      </c>
    </row>
    <row r="170" spans="1:11" s="1" customFormat="1" ht="15" hidden="1" customHeight="1">
      <c r="A170" s="7">
        <f t="shared" si="2"/>
        <v>168</v>
      </c>
      <c r="B170" s="33">
        <v>2</v>
      </c>
      <c r="C170" s="33">
        <v>10</v>
      </c>
      <c r="D170" s="8" t="s">
        <v>351</v>
      </c>
      <c r="E170" s="10" t="s">
        <v>353</v>
      </c>
      <c r="F170" s="16"/>
      <c r="G170" s="8"/>
      <c r="H170" s="78"/>
      <c r="I170" s="81"/>
      <c r="J170" s="10" t="s">
        <v>353</v>
      </c>
      <c r="K170" s="1">
        <v>1</v>
      </c>
    </row>
    <row r="171" spans="1:11" s="58" customFormat="1" ht="15" hidden="1" customHeight="1">
      <c r="A171" s="7">
        <f t="shared" si="2"/>
        <v>169</v>
      </c>
      <c r="B171" s="29">
        <v>2</v>
      </c>
      <c r="C171" s="29">
        <v>11</v>
      </c>
      <c r="D171" s="15" t="s">
        <v>467</v>
      </c>
      <c r="E171" s="16" t="s">
        <v>460</v>
      </c>
      <c r="F171" s="16" t="s">
        <v>775</v>
      </c>
      <c r="G171" s="8"/>
      <c r="H171" s="6" t="s">
        <v>643</v>
      </c>
      <c r="I171" s="2">
        <v>1</v>
      </c>
      <c r="J171" s="16" t="s">
        <v>460</v>
      </c>
    </row>
    <row r="172" spans="1:11" s="1" customFormat="1" ht="15" hidden="1" customHeight="1">
      <c r="A172" s="7">
        <f t="shared" si="2"/>
        <v>170</v>
      </c>
      <c r="B172" s="29">
        <v>2</v>
      </c>
      <c r="C172" s="29">
        <v>11</v>
      </c>
      <c r="D172" s="8" t="s">
        <v>386</v>
      </c>
      <c r="E172" s="10" t="s">
        <v>387</v>
      </c>
      <c r="F172" s="16" t="s">
        <v>771</v>
      </c>
      <c r="G172" s="8"/>
      <c r="H172" s="6" t="s">
        <v>643</v>
      </c>
      <c r="I172" s="2">
        <v>1</v>
      </c>
      <c r="J172" s="10" t="s">
        <v>387</v>
      </c>
    </row>
    <row r="173" spans="1:11" s="1" customFormat="1" ht="15" hidden="1" customHeight="1">
      <c r="A173" s="109">
        <f t="shared" si="2"/>
        <v>171</v>
      </c>
      <c r="B173" s="117">
        <v>2</v>
      </c>
      <c r="C173" s="117">
        <v>11</v>
      </c>
      <c r="D173" s="112" t="s">
        <v>388</v>
      </c>
      <c r="E173" s="10" t="s">
        <v>447</v>
      </c>
      <c r="F173" s="113" t="s">
        <v>773</v>
      </c>
      <c r="G173" s="112"/>
      <c r="H173" s="6" t="s">
        <v>643</v>
      </c>
      <c r="I173" s="2">
        <v>3</v>
      </c>
      <c r="J173" s="95" t="s">
        <v>447</v>
      </c>
    </row>
    <row r="174" spans="1:11" s="1" customFormat="1" ht="15" customHeight="1">
      <c r="A174" s="7">
        <v>35</v>
      </c>
      <c r="B174" s="29">
        <v>2</v>
      </c>
      <c r="C174" s="29">
        <v>11</v>
      </c>
      <c r="D174" s="8" t="s">
        <v>389</v>
      </c>
      <c r="E174" s="103" t="s">
        <v>390</v>
      </c>
      <c r="F174" s="16" t="s">
        <v>851</v>
      </c>
      <c r="G174" s="7"/>
      <c r="H174" s="148" t="s">
        <v>642</v>
      </c>
      <c r="I174" s="150">
        <v>2</v>
      </c>
      <c r="J174" s="10" t="s">
        <v>390</v>
      </c>
      <c r="K174" s="1">
        <v>1</v>
      </c>
    </row>
    <row r="175" spans="1:11" s="1" customFormat="1" ht="15" hidden="1" customHeight="1">
      <c r="A175" s="137">
        <f t="shared" si="2"/>
        <v>173</v>
      </c>
      <c r="B175" s="147">
        <v>2</v>
      </c>
      <c r="C175" s="147">
        <v>11</v>
      </c>
      <c r="D175" s="18" t="s">
        <v>391</v>
      </c>
      <c r="E175" s="10" t="s">
        <v>392</v>
      </c>
      <c r="F175" s="139" t="s">
        <v>774</v>
      </c>
      <c r="G175" s="18"/>
      <c r="H175" s="6" t="s">
        <v>643</v>
      </c>
      <c r="I175" s="2">
        <v>5</v>
      </c>
      <c r="J175" s="96" t="s">
        <v>392</v>
      </c>
    </row>
    <row r="176" spans="1:11" s="1" customFormat="1" ht="15" customHeight="1">
      <c r="A176" s="7">
        <v>36</v>
      </c>
      <c r="B176" s="29">
        <v>2</v>
      </c>
      <c r="C176" s="29">
        <v>11</v>
      </c>
      <c r="D176" s="8" t="s">
        <v>393</v>
      </c>
      <c r="E176" s="103" t="s">
        <v>394</v>
      </c>
      <c r="F176" s="16" t="s">
        <v>852</v>
      </c>
      <c r="G176" s="36" t="s">
        <v>817</v>
      </c>
      <c r="H176" s="148" t="s">
        <v>642</v>
      </c>
      <c r="I176" s="150">
        <v>1</v>
      </c>
      <c r="J176" s="10" t="s">
        <v>394</v>
      </c>
      <c r="K176" s="1">
        <v>1</v>
      </c>
    </row>
    <row r="177" spans="1:11" s="1" customFormat="1" ht="15" customHeight="1">
      <c r="A177" s="7">
        <v>37</v>
      </c>
      <c r="B177" s="29">
        <v>2</v>
      </c>
      <c r="C177" s="29">
        <v>11</v>
      </c>
      <c r="D177" s="8" t="s">
        <v>396</v>
      </c>
      <c r="E177" s="103" t="s">
        <v>398</v>
      </c>
      <c r="F177" s="16" t="s">
        <v>853</v>
      </c>
      <c r="G177" s="7"/>
      <c r="H177" s="148" t="s">
        <v>642</v>
      </c>
      <c r="I177" s="150">
        <v>2</v>
      </c>
      <c r="J177" s="10" t="s">
        <v>398</v>
      </c>
      <c r="K177" s="1">
        <v>1</v>
      </c>
    </row>
    <row r="178" spans="1:11" s="1" customFormat="1" ht="15" hidden="1" customHeight="1">
      <c r="A178" s="128">
        <f t="shared" si="2"/>
        <v>176</v>
      </c>
      <c r="B178" s="140">
        <v>2</v>
      </c>
      <c r="C178" s="140">
        <v>11</v>
      </c>
      <c r="D178" s="130" t="s">
        <v>399</v>
      </c>
      <c r="E178" s="10" t="s">
        <v>400</v>
      </c>
      <c r="F178" s="97" t="s">
        <v>772</v>
      </c>
      <c r="G178" s="130"/>
      <c r="H178" s="6" t="s">
        <v>643</v>
      </c>
      <c r="I178" s="2">
        <v>2</v>
      </c>
      <c r="J178" s="131" t="s">
        <v>400</v>
      </c>
    </row>
    <row r="179" spans="1:11" s="1" customFormat="1" ht="15" hidden="1" customHeight="1">
      <c r="A179" s="7">
        <f t="shared" si="2"/>
        <v>177</v>
      </c>
      <c r="B179" s="29">
        <v>2</v>
      </c>
      <c r="C179" s="29">
        <v>11</v>
      </c>
      <c r="D179" s="8" t="s">
        <v>401</v>
      </c>
      <c r="E179" s="10" t="s">
        <v>402</v>
      </c>
      <c r="F179" s="16" t="s">
        <v>579</v>
      </c>
      <c r="G179" s="8"/>
      <c r="H179" s="6" t="s">
        <v>643</v>
      </c>
      <c r="I179" s="2">
        <v>3</v>
      </c>
      <c r="J179" s="10" t="s">
        <v>402</v>
      </c>
    </row>
    <row r="180" spans="1:11" s="1" customFormat="1" ht="15" hidden="1" customHeight="1">
      <c r="A180" s="109">
        <f t="shared" si="2"/>
        <v>178</v>
      </c>
      <c r="B180" s="117">
        <v>2</v>
      </c>
      <c r="C180" s="117">
        <v>11</v>
      </c>
      <c r="D180" s="95" t="s">
        <v>405</v>
      </c>
      <c r="E180" s="52" t="s">
        <v>403</v>
      </c>
      <c r="F180" s="126" t="s">
        <v>404</v>
      </c>
      <c r="G180" s="112"/>
      <c r="I180" s="81"/>
      <c r="J180" s="127" t="s">
        <v>403</v>
      </c>
      <c r="K180" s="1">
        <v>1</v>
      </c>
    </row>
    <row r="181" spans="1:11" s="1" customFormat="1" ht="15" customHeight="1">
      <c r="A181" s="7">
        <v>38</v>
      </c>
      <c r="B181" s="33">
        <v>2</v>
      </c>
      <c r="C181" s="33">
        <v>12</v>
      </c>
      <c r="D181" s="8" t="s">
        <v>406</v>
      </c>
      <c r="E181" s="104" t="s">
        <v>408</v>
      </c>
      <c r="F181" s="16" t="s">
        <v>781</v>
      </c>
      <c r="G181" s="7"/>
      <c r="H181" s="148" t="s">
        <v>642</v>
      </c>
      <c r="I181" s="150">
        <v>1</v>
      </c>
      <c r="J181" s="101" t="s">
        <v>408</v>
      </c>
      <c r="K181" s="1">
        <v>1</v>
      </c>
    </row>
    <row r="182" spans="1:11" s="1" customFormat="1" ht="15" hidden="1" customHeight="1">
      <c r="A182" s="128">
        <f t="shared" si="2"/>
        <v>180</v>
      </c>
      <c r="B182" s="141">
        <v>2</v>
      </c>
      <c r="C182" s="141">
        <v>12</v>
      </c>
      <c r="D182" s="130" t="s">
        <v>409</v>
      </c>
      <c r="E182" s="10" t="s">
        <v>410</v>
      </c>
      <c r="F182" s="97" t="s">
        <v>784</v>
      </c>
      <c r="G182" s="130"/>
      <c r="H182" s="6" t="s">
        <v>643</v>
      </c>
      <c r="I182" s="2">
        <v>2</v>
      </c>
      <c r="J182" s="131" t="s">
        <v>410</v>
      </c>
    </row>
    <row r="183" spans="1:11" s="1" customFormat="1" ht="15" hidden="1" customHeight="1">
      <c r="A183" s="7">
        <f t="shared" si="2"/>
        <v>181</v>
      </c>
      <c r="B183" s="33">
        <v>2</v>
      </c>
      <c r="C183" s="33">
        <v>12</v>
      </c>
      <c r="D183" s="8" t="s">
        <v>411</v>
      </c>
      <c r="E183" s="10" t="s">
        <v>413</v>
      </c>
      <c r="F183" s="16" t="s">
        <v>586</v>
      </c>
      <c r="G183" s="8"/>
      <c r="H183" s="6" t="s">
        <v>643</v>
      </c>
      <c r="I183" s="2">
        <v>5</v>
      </c>
      <c r="J183" s="10" t="s">
        <v>413</v>
      </c>
    </row>
    <row r="184" spans="1:11" s="1" customFormat="1" ht="15" hidden="1" customHeight="1">
      <c r="A184" s="7">
        <f t="shared" si="2"/>
        <v>182</v>
      </c>
      <c r="B184" s="33">
        <v>2</v>
      </c>
      <c r="C184" s="33">
        <v>12</v>
      </c>
      <c r="D184" s="8" t="s">
        <v>414</v>
      </c>
      <c r="E184" s="10" t="s">
        <v>416</v>
      </c>
      <c r="F184" s="16" t="s">
        <v>780</v>
      </c>
      <c r="G184" s="8"/>
      <c r="H184" s="6" t="s">
        <v>643</v>
      </c>
      <c r="I184" s="2">
        <v>1</v>
      </c>
      <c r="J184" s="10" t="s">
        <v>416</v>
      </c>
    </row>
    <row r="185" spans="1:11" s="1" customFormat="1" ht="15" hidden="1" customHeight="1">
      <c r="A185" s="109">
        <f t="shared" si="2"/>
        <v>183</v>
      </c>
      <c r="B185" s="118">
        <v>2</v>
      </c>
      <c r="C185" s="118">
        <v>12</v>
      </c>
      <c r="D185" s="112" t="s">
        <v>786</v>
      </c>
      <c r="E185" s="95" t="s">
        <v>419</v>
      </c>
      <c r="F185" s="113" t="s">
        <v>787</v>
      </c>
      <c r="G185" s="112"/>
      <c r="H185" s="6" t="s">
        <v>643</v>
      </c>
      <c r="I185" s="2">
        <v>0</v>
      </c>
      <c r="J185" s="95" t="s">
        <v>419</v>
      </c>
    </row>
    <row r="186" spans="1:11" s="1" customFormat="1" ht="15" customHeight="1">
      <c r="A186" s="7">
        <v>39</v>
      </c>
      <c r="B186" s="33">
        <v>2</v>
      </c>
      <c r="C186" s="33">
        <v>12</v>
      </c>
      <c r="D186" s="8" t="s">
        <v>420</v>
      </c>
      <c r="E186" s="106"/>
      <c r="F186" s="16" t="s">
        <v>854</v>
      </c>
      <c r="G186" s="7"/>
      <c r="H186" s="148" t="s">
        <v>642</v>
      </c>
      <c r="I186" s="151">
        <v>0</v>
      </c>
      <c r="J186" s="94"/>
      <c r="K186" s="1">
        <v>1</v>
      </c>
    </row>
    <row r="187" spans="1:11" s="58" customFormat="1" ht="15" hidden="1" customHeight="1">
      <c r="A187" s="128">
        <f t="shared" si="2"/>
        <v>185</v>
      </c>
      <c r="B187" s="141">
        <v>2</v>
      </c>
      <c r="C187" s="141">
        <v>12</v>
      </c>
      <c r="D187" s="132" t="s">
        <v>422</v>
      </c>
      <c r="E187" s="97" t="s">
        <v>424</v>
      </c>
      <c r="F187" s="97" t="s">
        <v>782</v>
      </c>
      <c r="G187" s="97"/>
      <c r="H187" s="6" t="s">
        <v>643</v>
      </c>
      <c r="I187" s="2">
        <v>4</v>
      </c>
      <c r="J187" s="97" t="s">
        <v>424</v>
      </c>
    </row>
    <row r="188" spans="1:11" s="1" customFormat="1" ht="15" hidden="1" customHeight="1">
      <c r="A188" s="7">
        <f t="shared" si="2"/>
        <v>186</v>
      </c>
      <c r="B188" s="33">
        <v>2</v>
      </c>
      <c r="C188" s="33">
        <v>12</v>
      </c>
      <c r="D188" s="8" t="s">
        <v>425</v>
      </c>
      <c r="E188" s="10" t="s">
        <v>446</v>
      </c>
      <c r="F188" s="16" t="s">
        <v>783</v>
      </c>
      <c r="G188" s="10"/>
      <c r="H188" s="6" t="s">
        <v>643</v>
      </c>
      <c r="I188" s="2">
        <v>4</v>
      </c>
      <c r="J188" s="10" t="s">
        <v>446</v>
      </c>
    </row>
    <row r="189" spans="1:11" s="1" customFormat="1" ht="15" hidden="1" customHeight="1">
      <c r="A189" s="7">
        <f t="shared" si="2"/>
        <v>187</v>
      </c>
      <c r="B189" s="33">
        <v>2</v>
      </c>
      <c r="C189" s="33">
        <v>12</v>
      </c>
      <c r="D189" s="15" t="s">
        <v>478</v>
      </c>
      <c r="E189" s="16" t="s">
        <v>480</v>
      </c>
      <c r="F189" s="16" t="s">
        <v>785</v>
      </c>
      <c r="G189" s="16"/>
      <c r="H189" s="6" t="s">
        <v>643</v>
      </c>
      <c r="I189" s="2">
        <v>1</v>
      </c>
      <c r="J189" s="16" t="s">
        <v>480</v>
      </c>
    </row>
    <row r="190" spans="1:11" hidden="1"/>
    <row r="191" spans="1:11" s="3" customFormat="1" hidden="1">
      <c r="A191" t="s">
        <v>431</v>
      </c>
      <c r="B191"/>
      <c r="C191"/>
      <c r="E191" s="49"/>
      <c r="F191"/>
      <c r="G191" s="49"/>
      <c r="H191" s="28"/>
      <c r="I191" s="28"/>
      <c r="J191" s="49"/>
      <c r="K191" s="3">
        <f>SUM(K3:K186)</f>
        <v>58</v>
      </c>
    </row>
    <row r="192" spans="1:11" s="3" customFormat="1" hidden="1">
      <c r="A192"/>
      <c r="B192"/>
      <c r="C192"/>
      <c r="E192" s="24"/>
      <c r="F192" t="s">
        <v>572</v>
      </c>
      <c r="G192" s="98"/>
      <c r="H192" s="28"/>
      <c r="I192" s="28"/>
      <c r="J192" s="24"/>
    </row>
    <row r="193" spans="1:9" s="3" customFormat="1" hidden="1">
      <c r="A193"/>
      <c r="B193"/>
      <c r="C193"/>
      <c r="F193"/>
      <c r="H193" s="28"/>
      <c r="I193" s="28"/>
    </row>
  </sheetData>
  <autoFilter ref="H1:H193" xr:uid="{B16DBCC4-B46C-47E0-A1FF-8AA599FFFB69}">
    <filterColumn colId="0">
      <filters>
        <filter val="要"/>
      </filters>
    </filterColumn>
  </autoFilter>
  <phoneticPr fontId="2"/>
  <pageMargins left="1.299212598425197" right="0.98425196850393704" top="1.1811023622047245" bottom="0.78740157480314965" header="0.70866141732283472" footer="0.31496062992125984"/>
  <pageSetup paperSize="9" scale="80" orientation="landscape" r:id="rId1"/>
  <headerFooter>
    <oddHeader>&amp;L&amp;16&amp;KFF0000【開示範囲】　企画会及び防災本部メンバーに限る&amp;R&amp;A</oddHeader>
    <oddFooter>&amp;L&amp;"ＭＳ Ｐゴシック,標準"&amp;K000000&amp;Z&amp;F&amp;C&amp;"ＭＳ Ｐゴシック,標準"&amp;K000000&amp;P／&amp;N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784F-E43F-4202-ACB3-B52918D04CB1}">
  <sheetPr>
    <pageSetUpPr fitToPage="1"/>
  </sheetPr>
  <dimension ref="A1:J194"/>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G193" sqref="G193"/>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s>
  <sheetData>
    <row r="1" spans="1:10" ht="40.5" customHeight="1">
      <c r="A1" s="155" t="s">
        <v>631</v>
      </c>
      <c r="B1" s="156"/>
      <c r="C1" s="156"/>
      <c r="D1" s="156"/>
      <c r="E1" s="156"/>
      <c r="F1" s="156"/>
      <c r="G1" s="156"/>
      <c r="H1" s="156"/>
      <c r="I1" s="156"/>
      <c r="J1" s="11"/>
    </row>
    <row r="2" spans="1:10" s="2" customFormat="1" ht="21" customHeight="1">
      <c r="A2" s="5" t="s">
        <v>0</v>
      </c>
      <c r="B2" s="5" t="s">
        <v>1</v>
      </c>
      <c r="C2" s="5" t="s">
        <v>2</v>
      </c>
      <c r="D2" s="5" t="s">
        <v>3</v>
      </c>
      <c r="E2" s="5" t="s">
        <v>4</v>
      </c>
      <c r="F2" s="5" t="s">
        <v>5</v>
      </c>
      <c r="G2" s="5" t="s">
        <v>6</v>
      </c>
      <c r="H2" s="5" t="s">
        <v>7</v>
      </c>
      <c r="I2" s="5" t="s">
        <v>8</v>
      </c>
      <c r="J2" s="6"/>
    </row>
    <row r="3" spans="1:10" s="1" customFormat="1" ht="15" customHeight="1">
      <c r="A3" s="7">
        <f>ROW()-2</f>
        <v>1</v>
      </c>
      <c r="B3" s="46">
        <v>1</v>
      </c>
      <c r="C3" s="46">
        <v>1</v>
      </c>
      <c r="D3" s="5">
        <f>IF(AND(B2=B3,C2=C3),D2+1,1)</f>
        <v>1</v>
      </c>
      <c r="E3" s="5"/>
      <c r="F3" s="8" t="s">
        <v>9</v>
      </c>
      <c r="G3" s="9" t="s">
        <v>10</v>
      </c>
      <c r="H3" s="10" t="s">
        <v>11</v>
      </c>
      <c r="I3" s="10" t="s">
        <v>484</v>
      </c>
      <c r="J3" s="11"/>
    </row>
    <row r="4" spans="1:10" s="1" customFormat="1" ht="15" customHeight="1">
      <c r="A4" s="7">
        <f t="shared" ref="A4:A69" si="0">ROW()-2</f>
        <v>2</v>
      </c>
      <c r="B4" s="46">
        <v>1</v>
      </c>
      <c r="C4" s="46">
        <v>1</v>
      </c>
      <c r="D4" s="5">
        <f>IF(AND(B3=B4,C3=C4),D3+1,1)</f>
        <v>2</v>
      </c>
      <c r="E4" s="5"/>
      <c r="F4" s="8" t="s">
        <v>12</v>
      </c>
      <c r="G4" s="12" t="s">
        <v>10</v>
      </c>
      <c r="H4" s="10" t="s">
        <v>13</v>
      </c>
      <c r="I4" s="10" t="s">
        <v>528</v>
      </c>
      <c r="J4" s="11"/>
    </row>
    <row r="5" spans="1:10" s="1" customFormat="1" ht="15" customHeight="1">
      <c r="A5" s="7">
        <f t="shared" si="0"/>
        <v>3</v>
      </c>
      <c r="B5" s="46">
        <v>1</v>
      </c>
      <c r="C5" s="46">
        <v>1</v>
      </c>
      <c r="D5" s="5">
        <f t="shared" ref="D5:D68" si="1">IF(AND(B4=B5,C4=C5),D4+1,1)</f>
        <v>3</v>
      </c>
      <c r="E5" s="13"/>
      <c r="F5" s="8" t="s">
        <v>14</v>
      </c>
      <c r="G5" s="12" t="s">
        <v>10</v>
      </c>
      <c r="H5" s="10" t="s">
        <v>15</v>
      </c>
      <c r="I5" s="10" t="s">
        <v>600</v>
      </c>
      <c r="J5" s="11"/>
    </row>
    <row r="6" spans="1:10" s="1" customFormat="1" ht="15" customHeight="1">
      <c r="A6" s="7">
        <f t="shared" si="0"/>
        <v>4</v>
      </c>
      <c r="B6" s="46">
        <v>1</v>
      </c>
      <c r="C6" s="46">
        <v>1</v>
      </c>
      <c r="D6" s="5">
        <f t="shared" si="1"/>
        <v>4</v>
      </c>
      <c r="E6" s="5"/>
      <c r="F6" s="8" t="s">
        <v>16</v>
      </c>
      <c r="G6" s="12" t="s">
        <v>10</v>
      </c>
      <c r="H6" s="10" t="s">
        <v>17</v>
      </c>
      <c r="I6" s="10" t="s">
        <v>529</v>
      </c>
      <c r="J6" s="11"/>
    </row>
    <row r="7" spans="1:10" s="1" customFormat="1" ht="15" customHeight="1">
      <c r="A7" s="7">
        <f t="shared" si="0"/>
        <v>5</v>
      </c>
      <c r="B7" s="46">
        <v>1</v>
      </c>
      <c r="C7" s="46">
        <v>1</v>
      </c>
      <c r="D7" s="5">
        <f t="shared" si="1"/>
        <v>5</v>
      </c>
      <c r="E7" s="13"/>
      <c r="F7" s="15" t="s">
        <v>18</v>
      </c>
      <c r="G7" s="26" t="s">
        <v>23</v>
      </c>
      <c r="H7" s="16" t="s">
        <v>19</v>
      </c>
      <c r="I7" s="10" t="s">
        <v>530</v>
      </c>
      <c r="J7" s="11"/>
    </row>
    <row r="8" spans="1:10" s="1" customFormat="1" ht="15" customHeight="1">
      <c r="A8" s="7">
        <f t="shared" si="0"/>
        <v>6</v>
      </c>
      <c r="B8" s="46">
        <v>1</v>
      </c>
      <c r="C8" s="46">
        <v>1</v>
      </c>
      <c r="D8" s="5">
        <f t="shared" si="1"/>
        <v>6</v>
      </c>
      <c r="E8" s="5"/>
      <c r="F8" s="15" t="s">
        <v>578</v>
      </c>
      <c r="G8" s="26" t="s">
        <v>23</v>
      </c>
      <c r="H8" s="42"/>
      <c r="I8" s="10" t="s">
        <v>533</v>
      </c>
      <c r="J8" s="11"/>
    </row>
    <row r="9" spans="1:10" s="1" customFormat="1" ht="15" customHeight="1">
      <c r="A9" s="7">
        <f t="shared" si="0"/>
        <v>7</v>
      </c>
      <c r="B9" s="46">
        <v>1</v>
      </c>
      <c r="C9" s="46">
        <v>1</v>
      </c>
      <c r="D9" s="5">
        <f t="shared" si="1"/>
        <v>7</v>
      </c>
      <c r="E9" s="14"/>
      <c r="F9" s="15" t="s">
        <v>22</v>
      </c>
      <c r="G9" s="12" t="s">
        <v>23</v>
      </c>
      <c r="H9" s="16" t="s">
        <v>24</v>
      </c>
      <c r="I9" s="10" t="s">
        <v>531</v>
      </c>
      <c r="J9" s="11"/>
    </row>
    <row r="10" spans="1:10" s="1" customFormat="1" ht="15" customHeight="1">
      <c r="A10" s="7">
        <f t="shared" si="0"/>
        <v>8</v>
      </c>
      <c r="B10" s="46">
        <v>1</v>
      </c>
      <c r="C10" s="46">
        <v>1</v>
      </c>
      <c r="D10" s="5">
        <f t="shared" si="1"/>
        <v>8</v>
      </c>
      <c r="E10" s="5"/>
      <c r="F10" s="15" t="s">
        <v>25</v>
      </c>
      <c r="G10" s="12" t="s">
        <v>23</v>
      </c>
      <c r="H10" s="16" t="s">
        <v>26</v>
      </c>
      <c r="I10" s="10" t="s">
        <v>27</v>
      </c>
      <c r="J10" s="11"/>
    </row>
    <row r="11" spans="1:10" s="1" customFormat="1" ht="15" customHeight="1">
      <c r="A11" s="7">
        <f t="shared" si="0"/>
        <v>9</v>
      </c>
      <c r="B11" s="46">
        <v>1</v>
      </c>
      <c r="C11" s="46">
        <v>1</v>
      </c>
      <c r="D11" s="5">
        <f t="shared" si="1"/>
        <v>9</v>
      </c>
      <c r="E11" s="14" t="s">
        <v>21</v>
      </c>
      <c r="F11" s="15" t="s">
        <v>28</v>
      </c>
      <c r="G11" s="12" t="s">
        <v>23</v>
      </c>
      <c r="H11" s="16" t="s">
        <v>29</v>
      </c>
      <c r="I11" s="10" t="s">
        <v>532</v>
      </c>
      <c r="J11" s="11"/>
    </row>
    <row r="12" spans="1:10" s="1" customFormat="1" ht="15" customHeight="1">
      <c r="A12" s="7">
        <f t="shared" si="0"/>
        <v>10</v>
      </c>
      <c r="B12" s="46">
        <v>1</v>
      </c>
      <c r="C12" s="46">
        <v>1</v>
      </c>
      <c r="D12" s="5">
        <f t="shared" si="1"/>
        <v>10</v>
      </c>
      <c r="E12" s="5"/>
      <c r="F12" s="50" t="s">
        <v>632</v>
      </c>
      <c r="G12" s="12" t="s">
        <v>10</v>
      </c>
      <c r="H12" s="57" t="s">
        <v>633</v>
      </c>
      <c r="I12" s="51" t="s">
        <v>634</v>
      </c>
      <c r="J12" s="11"/>
    </row>
    <row r="13" spans="1:10" s="1" customFormat="1" ht="15" customHeight="1">
      <c r="A13" s="7">
        <f t="shared" si="0"/>
        <v>11</v>
      </c>
      <c r="B13" s="44">
        <v>1</v>
      </c>
      <c r="C13" s="44">
        <v>2</v>
      </c>
      <c r="D13" s="5">
        <f>IF(AND(B11=B13,C11=C13),D11+1,1)</f>
        <v>1</v>
      </c>
      <c r="E13" s="5"/>
      <c r="F13" s="8" t="s">
        <v>30</v>
      </c>
      <c r="G13" s="12" t="s">
        <v>31</v>
      </c>
      <c r="H13" s="10" t="s">
        <v>32</v>
      </c>
      <c r="I13" s="10"/>
      <c r="J13" s="11"/>
    </row>
    <row r="14" spans="1:10" s="1" customFormat="1" ht="15" customHeight="1">
      <c r="A14" s="7">
        <f t="shared" si="0"/>
        <v>12</v>
      </c>
      <c r="B14" s="44">
        <v>1</v>
      </c>
      <c r="C14" s="44">
        <v>2</v>
      </c>
      <c r="D14" s="5">
        <f t="shared" si="1"/>
        <v>2</v>
      </c>
      <c r="E14" s="13"/>
      <c r="F14" s="8" t="s">
        <v>33</v>
      </c>
      <c r="G14" s="12" t="s">
        <v>34</v>
      </c>
      <c r="H14" s="10" t="s">
        <v>35</v>
      </c>
      <c r="I14" s="10" t="s">
        <v>36</v>
      </c>
      <c r="J14" s="11"/>
    </row>
    <row r="15" spans="1:10" s="1" customFormat="1" ht="15" customHeight="1">
      <c r="A15" s="7">
        <f t="shared" si="0"/>
        <v>13</v>
      </c>
      <c r="B15" s="44">
        <v>1</v>
      </c>
      <c r="C15" s="44">
        <v>2</v>
      </c>
      <c r="D15" s="5">
        <f t="shared" si="1"/>
        <v>3</v>
      </c>
      <c r="E15" s="14"/>
      <c r="F15" s="8" t="s">
        <v>37</v>
      </c>
      <c r="G15" s="12" t="s">
        <v>31</v>
      </c>
      <c r="H15" s="10" t="s">
        <v>38</v>
      </c>
      <c r="I15" s="10" t="s">
        <v>536</v>
      </c>
      <c r="J15" s="11"/>
    </row>
    <row r="16" spans="1:10" s="1" customFormat="1" ht="15" customHeight="1">
      <c r="A16" s="7">
        <f t="shared" si="0"/>
        <v>14</v>
      </c>
      <c r="B16" s="44">
        <v>1</v>
      </c>
      <c r="C16" s="44">
        <v>2</v>
      </c>
      <c r="D16" s="5">
        <f t="shared" si="1"/>
        <v>4</v>
      </c>
      <c r="E16" s="14" t="s">
        <v>21</v>
      </c>
      <c r="F16" s="8" t="s">
        <v>39</v>
      </c>
      <c r="G16" s="12" t="s">
        <v>34</v>
      </c>
      <c r="H16" s="10" t="s">
        <v>40</v>
      </c>
      <c r="I16" s="10" t="s">
        <v>534</v>
      </c>
      <c r="J16" s="11"/>
    </row>
    <row r="17" spans="1:10" s="1" customFormat="1" ht="15" customHeight="1">
      <c r="A17" s="7">
        <f t="shared" si="0"/>
        <v>15</v>
      </c>
      <c r="B17" s="44">
        <v>1</v>
      </c>
      <c r="C17" s="44">
        <v>2</v>
      </c>
      <c r="D17" s="5">
        <f t="shared" si="1"/>
        <v>5</v>
      </c>
      <c r="E17" s="5"/>
      <c r="F17" s="8" t="s">
        <v>41</v>
      </c>
      <c r="G17" s="12" t="s">
        <v>524</v>
      </c>
      <c r="H17" s="10" t="s">
        <v>42</v>
      </c>
      <c r="I17" s="10" t="s">
        <v>535</v>
      </c>
      <c r="J17" s="11"/>
    </row>
    <row r="18" spans="1:10" s="1" customFormat="1" ht="15" customHeight="1">
      <c r="A18" s="7">
        <f t="shared" si="0"/>
        <v>16</v>
      </c>
      <c r="B18" s="44">
        <v>1</v>
      </c>
      <c r="C18" s="44">
        <v>2</v>
      </c>
      <c r="D18" s="5">
        <f t="shared" si="1"/>
        <v>6</v>
      </c>
      <c r="E18" s="5"/>
      <c r="F18" s="8" t="s">
        <v>43</v>
      </c>
      <c r="G18" s="12" t="s">
        <v>34</v>
      </c>
      <c r="H18" s="10" t="s">
        <v>44</v>
      </c>
      <c r="I18" s="10"/>
      <c r="J18" s="11"/>
    </row>
    <row r="19" spans="1:10" s="1" customFormat="1" ht="15" customHeight="1">
      <c r="A19" s="7">
        <f t="shared" si="0"/>
        <v>17</v>
      </c>
      <c r="B19" s="44">
        <v>1</v>
      </c>
      <c r="C19" s="44">
        <v>2</v>
      </c>
      <c r="D19" s="5">
        <f t="shared" si="1"/>
        <v>7</v>
      </c>
      <c r="E19" s="5"/>
      <c r="F19" s="8" t="s">
        <v>45</v>
      </c>
      <c r="G19" s="12" t="s">
        <v>31</v>
      </c>
      <c r="H19" s="10" t="s">
        <v>46</v>
      </c>
      <c r="I19" s="10" t="s">
        <v>20</v>
      </c>
      <c r="J19" s="11"/>
    </row>
    <row r="20" spans="1:10" s="1" customFormat="1" ht="15" customHeight="1">
      <c r="A20" s="7">
        <f t="shared" si="0"/>
        <v>18</v>
      </c>
      <c r="B20" s="44">
        <v>1</v>
      </c>
      <c r="C20" s="44">
        <v>2</v>
      </c>
      <c r="D20" s="5">
        <f t="shared" si="1"/>
        <v>8</v>
      </c>
      <c r="E20" s="14"/>
      <c r="F20" s="15" t="s">
        <v>468</v>
      </c>
      <c r="G20" s="26" t="s">
        <v>470</v>
      </c>
      <c r="H20" s="26" t="s">
        <v>471</v>
      </c>
      <c r="I20" s="16" t="s">
        <v>469</v>
      </c>
      <c r="J20" s="11"/>
    </row>
    <row r="21" spans="1:10" s="1" customFormat="1" ht="15" customHeight="1">
      <c r="A21" s="7">
        <f t="shared" si="0"/>
        <v>19</v>
      </c>
      <c r="B21" s="44">
        <v>1</v>
      </c>
      <c r="C21" s="44">
        <v>2</v>
      </c>
      <c r="D21" s="5">
        <f t="shared" si="1"/>
        <v>9</v>
      </c>
      <c r="E21" s="14"/>
      <c r="F21" s="50" t="s">
        <v>635</v>
      </c>
      <c r="G21" s="57" t="s">
        <v>637</v>
      </c>
      <c r="H21" s="57" t="s">
        <v>636</v>
      </c>
      <c r="I21" s="51" t="s">
        <v>638</v>
      </c>
      <c r="J21" s="11"/>
    </row>
    <row r="22" spans="1:10" s="1" customFormat="1" ht="15" customHeight="1">
      <c r="A22" s="7">
        <f t="shared" si="0"/>
        <v>20</v>
      </c>
      <c r="B22" s="45">
        <v>1</v>
      </c>
      <c r="C22" s="45">
        <v>3</v>
      </c>
      <c r="D22" s="5">
        <f>IF(AND(B19=B22,C19=C22),D19+1,1)</f>
        <v>1</v>
      </c>
      <c r="E22" s="14" t="s">
        <v>21</v>
      </c>
      <c r="F22" s="8" t="s">
        <v>47</v>
      </c>
      <c r="G22" s="12" t="s">
        <v>31</v>
      </c>
      <c r="H22" s="10" t="s">
        <v>48</v>
      </c>
      <c r="I22" s="10" t="s">
        <v>598</v>
      </c>
      <c r="J22" s="11"/>
    </row>
    <row r="23" spans="1:10" s="1" customFormat="1" ht="15" customHeight="1">
      <c r="A23" s="7">
        <f t="shared" si="0"/>
        <v>21</v>
      </c>
      <c r="B23" s="45">
        <v>1</v>
      </c>
      <c r="C23" s="45">
        <v>3</v>
      </c>
      <c r="D23" s="5">
        <f t="shared" si="1"/>
        <v>2</v>
      </c>
      <c r="E23" s="13"/>
      <c r="F23" s="8" t="s">
        <v>49</v>
      </c>
      <c r="G23" s="12" t="s">
        <v>50</v>
      </c>
      <c r="H23" s="10" t="s">
        <v>51</v>
      </c>
      <c r="I23" s="16" t="s">
        <v>537</v>
      </c>
      <c r="J23" s="11"/>
    </row>
    <row r="24" spans="1:10" s="1" customFormat="1" ht="15" customHeight="1">
      <c r="A24" s="7">
        <f t="shared" si="0"/>
        <v>22</v>
      </c>
      <c r="B24" s="45">
        <v>1</v>
      </c>
      <c r="C24" s="45">
        <v>3</v>
      </c>
      <c r="D24" s="5">
        <f t="shared" si="1"/>
        <v>3</v>
      </c>
      <c r="E24" s="13"/>
      <c r="F24" s="8" t="s">
        <v>52</v>
      </c>
      <c r="G24" s="12" t="s">
        <v>50</v>
      </c>
      <c r="H24" s="10" t="s">
        <v>53</v>
      </c>
      <c r="I24" s="10" t="s">
        <v>538</v>
      </c>
      <c r="J24" s="11"/>
    </row>
    <row r="25" spans="1:10" s="1" customFormat="1" ht="15" customHeight="1">
      <c r="A25" s="7">
        <f t="shared" si="0"/>
        <v>23</v>
      </c>
      <c r="B25" s="45">
        <v>1</v>
      </c>
      <c r="C25" s="45">
        <v>3</v>
      </c>
      <c r="D25" s="5">
        <f t="shared" si="1"/>
        <v>4</v>
      </c>
      <c r="E25" s="5"/>
      <c r="F25" s="8" t="s">
        <v>54</v>
      </c>
      <c r="G25" s="12" t="s">
        <v>50</v>
      </c>
      <c r="H25" s="10" t="s">
        <v>55</v>
      </c>
      <c r="I25" s="16"/>
      <c r="J25" s="11"/>
    </row>
    <row r="26" spans="1:10" s="1" customFormat="1" ht="15" customHeight="1">
      <c r="A26" s="7">
        <f t="shared" si="0"/>
        <v>24</v>
      </c>
      <c r="B26" s="45">
        <v>1</v>
      </c>
      <c r="C26" s="45">
        <v>3</v>
      </c>
      <c r="D26" s="5">
        <f t="shared" si="1"/>
        <v>5</v>
      </c>
      <c r="E26" s="5"/>
      <c r="F26" s="8" t="s">
        <v>56</v>
      </c>
      <c r="G26" s="12" t="s">
        <v>50</v>
      </c>
      <c r="H26" s="10" t="s">
        <v>57</v>
      </c>
      <c r="I26" s="16" t="s">
        <v>58</v>
      </c>
      <c r="J26" s="11"/>
    </row>
    <row r="27" spans="1:10" s="1" customFormat="1" ht="15" customHeight="1">
      <c r="A27" s="7">
        <f t="shared" si="0"/>
        <v>25</v>
      </c>
      <c r="B27" s="45">
        <v>1</v>
      </c>
      <c r="C27" s="45">
        <v>3</v>
      </c>
      <c r="D27" s="5">
        <f t="shared" si="1"/>
        <v>6</v>
      </c>
      <c r="E27" s="14"/>
      <c r="F27" s="8" t="s">
        <v>59</v>
      </c>
      <c r="G27" s="26" t="s">
        <v>577</v>
      </c>
      <c r="H27" s="10" t="s">
        <v>60</v>
      </c>
      <c r="I27" s="10" t="s">
        <v>603</v>
      </c>
      <c r="J27" s="11"/>
    </row>
    <row r="28" spans="1:10" s="1" customFormat="1" ht="15" customHeight="1">
      <c r="A28" s="7">
        <f t="shared" si="0"/>
        <v>26</v>
      </c>
      <c r="B28" s="45">
        <v>1</v>
      </c>
      <c r="C28" s="45">
        <v>3</v>
      </c>
      <c r="D28" s="5">
        <f t="shared" si="1"/>
        <v>7</v>
      </c>
      <c r="E28" s="5"/>
      <c r="F28" s="8" t="s">
        <v>61</v>
      </c>
      <c r="G28" s="12" t="s">
        <v>50</v>
      </c>
      <c r="H28" s="10" t="s">
        <v>62</v>
      </c>
      <c r="I28" s="16" t="s">
        <v>63</v>
      </c>
      <c r="J28" s="11"/>
    </row>
    <row r="29" spans="1:10" s="1" customFormat="1" ht="15" customHeight="1">
      <c r="A29" s="7">
        <f t="shared" si="0"/>
        <v>27</v>
      </c>
      <c r="B29" s="45">
        <v>1</v>
      </c>
      <c r="C29" s="45">
        <v>3</v>
      </c>
      <c r="D29" s="5">
        <f t="shared" si="1"/>
        <v>8</v>
      </c>
      <c r="E29" s="5"/>
      <c r="F29" s="8" t="s">
        <v>455</v>
      </c>
      <c r="G29" s="12" t="s">
        <v>50</v>
      </c>
      <c r="H29" s="10" t="s">
        <v>64</v>
      </c>
      <c r="I29" s="10" t="s">
        <v>539</v>
      </c>
      <c r="J29" s="11"/>
    </row>
    <row r="30" spans="1:10" s="1" customFormat="1" ht="15" customHeight="1">
      <c r="A30" s="7">
        <f t="shared" si="0"/>
        <v>28</v>
      </c>
      <c r="B30" s="33">
        <v>1</v>
      </c>
      <c r="C30" s="33">
        <v>4</v>
      </c>
      <c r="D30" s="5">
        <f t="shared" si="1"/>
        <v>1</v>
      </c>
      <c r="E30" s="5"/>
      <c r="F30" s="8" t="s">
        <v>456</v>
      </c>
      <c r="G30" s="10" t="s">
        <v>65</v>
      </c>
      <c r="H30" s="10" t="s">
        <v>66</v>
      </c>
      <c r="I30" s="10" t="s">
        <v>67</v>
      </c>
      <c r="J30" s="11"/>
    </row>
    <row r="31" spans="1:10" s="1" customFormat="1" ht="15" customHeight="1">
      <c r="A31" s="7">
        <f t="shared" si="0"/>
        <v>29</v>
      </c>
      <c r="B31" s="33">
        <v>1</v>
      </c>
      <c r="C31" s="33">
        <v>4</v>
      </c>
      <c r="D31" s="5">
        <f t="shared" si="1"/>
        <v>2</v>
      </c>
      <c r="E31" s="14" t="s">
        <v>21</v>
      </c>
      <c r="F31" s="8" t="s">
        <v>68</v>
      </c>
      <c r="G31" s="10" t="s">
        <v>71</v>
      </c>
      <c r="H31" s="10" t="s">
        <v>69</v>
      </c>
      <c r="I31" s="10"/>
      <c r="J31" s="11"/>
    </row>
    <row r="32" spans="1:10" s="1" customFormat="1" ht="15" customHeight="1">
      <c r="A32" s="7">
        <f t="shared" si="0"/>
        <v>30</v>
      </c>
      <c r="B32" s="33">
        <v>1</v>
      </c>
      <c r="C32" s="33">
        <v>4</v>
      </c>
      <c r="D32" s="5">
        <f t="shared" si="1"/>
        <v>3</v>
      </c>
      <c r="E32" s="5"/>
      <c r="F32" s="8" t="s">
        <v>70</v>
      </c>
      <c r="G32" s="10" t="s">
        <v>71</v>
      </c>
      <c r="H32" s="10" t="s">
        <v>72</v>
      </c>
      <c r="I32" s="10" t="s">
        <v>541</v>
      </c>
      <c r="J32" s="11"/>
    </row>
    <row r="33" spans="1:10" s="1" customFormat="1" ht="15" customHeight="1">
      <c r="A33" s="7">
        <f t="shared" si="0"/>
        <v>31</v>
      </c>
      <c r="B33" s="33">
        <v>1</v>
      </c>
      <c r="C33" s="33">
        <v>4</v>
      </c>
      <c r="D33" s="5">
        <f t="shared" si="1"/>
        <v>4</v>
      </c>
      <c r="E33" s="13"/>
      <c r="F33" s="8" t="s">
        <v>73</v>
      </c>
      <c r="G33" s="10" t="s">
        <v>71</v>
      </c>
      <c r="H33" s="10" t="s">
        <v>74</v>
      </c>
      <c r="I33" s="10" t="s">
        <v>527</v>
      </c>
      <c r="J33" s="11"/>
    </row>
    <row r="34" spans="1:10" s="1" customFormat="1" ht="15" customHeight="1">
      <c r="A34" s="7">
        <f t="shared" si="0"/>
        <v>32</v>
      </c>
      <c r="B34" s="33">
        <v>1</v>
      </c>
      <c r="C34" s="33">
        <v>4</v>
      </c>
      <c r="D34" s="5">
        <f t="shared" si="1"/>
        <v>5</v>
      </c>
      <c r="E34" s="13"/>
      <c r="F34" s="8" t="s">
        <v>75</v>
      </c>
      <c r="G34" s="10" t="s">
        <v>71</v>
      </c>
      <c r="H34" s="10" t="s">
        <v>76</v>
      </c>
      <c r="I34" s="16" t="s">
        <v>540</v>
      </c>
      <c r="J34" s="11"/>
    </row>
    <row r="35" spans="1:10" s="1" customFormat="1" ht="15" customHeight="1">
      <c r="A35" s="7">
        <f t="shared" si="0"/>
        <v>33</v>
      </c>
      <c r="B35" s="34">
        <v>1</v>
      </c>
      <c r="C35" s="34">
        <v>4</v>
      </c>
      <c r="D35" s="5">
        <f t="shared" si="1"/>
        <v>6</v>
      </c>
      <c r="E35" s="14"/>
      <c r="F35" s="15" t="s">
        <v>77</v>
      </c>
      <c r="G35" s="16" t="s">
        <v>65</v>
      </c>
      <c r="H35" s="16" t="s">
        <v>78</v>
      </c>
      <c r="I35" s="16" t="s">
        <v>595</v>
      </c>
      <c r="J35" s="11"/>
    </row>
    <row r="36" spans="1:10" s="1" customFormat="1" ht="15" customHeight="1">
      <c r="A36" s="7">
        <f t="shared" si="0"/>
        <v>34</v>
      </c>
      <c r="B36" s="39">
        <v>1</v>
      </c>
      <c r="C36" s="39">
        <v>5</v>
      </c>
      <c r="D36" s="5">
        <f t="shared" si="1"/>
        <v>1</v>
      </c>
      <c r="E36" s="14" t="s">
        <v>21</v>
      </c>
      <c r="F36" s="15" t="s">
        <v>79</v>
      </c>
      <c r="G36" s="16" t="s">
        <v>80</v>
      </c>
      <c r="H36" s="16" t="s">
        <v>81</v>
      </c>
      <c r="I36" s="42" t="s">
        <v>612</v>
      </c>
      <c r="J36" s="11"/>
    </row>
    <row r="37" spans="1:10" s="1" customFormat="1" ht="15" customHeight="1">
      <c r="A37" s="7">
        <f t="shared" si="0"/>
        <v>35</v>
      </c>
      <c r="B37" s="39">
        <v>1</v>
      </c>
      <c r="C37" s="39">
        <v>5</v>
      </c>
      <c r="D37" s="5">
        <f t="shared" si="1"/>
        <v>2</v>
      </c>
      <c r="E37" s="13"/>
      <c r="F37" s="15" t="s">
        <v>82</v>
      </c>
      <c r="G37" s="16" t="s">
        <v>80</v>
      </c>
      <c r="H37" s="16" t="s">
        <v>83</v>
      </c>
      <c r="I37" s="16" t="s">
        <v>84</v>
      </c>
      <c r="J37" s="11"/>
    </row>
    <row r="38" spans="1:10" s="1" customFormat="1" ht="15" customHeight="1">
      <c r="A38" s="7">
        <f t="shared" si="0"/>
        <v>36</v>
      </c>
      <c r="B38" s="39">
        <v>1</v>
      </c>
      <c r="C38" s="39">
        <v>5</v>
      </c>
      <c r="D38" s="5">
        <f t="shared" si="1"/>
        <v>3</v>
      </c>
      <c r="E38" s="14"/>
      <c r="F38" s="15" t="s">
        <v>85</v>
      </c>
      <c r="G38" s="16" t="s">
        <v>80</v>
      </c>
      <c r="H38" s="16" t="s">
        <v>86</v>
      </c>
      <c r="I38" s="16" t="s">
        <v>605</v>
      </c>
      <c r="J38" s="11"/>
    </row>
    <row r="39" spans="1:10" s="1" customFormat="1" ht="15" customHeight="1">
      <c r="A39" s="7">
        <f t="shared" si="0"/>
        <v>37</v>
      </c>
      <c r="B39" s="47">
        <v>1</v>
      </c>
      <c r="C39" s="47">
        <v>6</v>
      </c>
      <c r="D39" s="5">
        <f t="shared" si="1"/>
        <v>1</v>
      </c>
      <c r="E39" s="13"/>
      <c r="F39" s="15" t="s">
        <v>87</v>
      </c>
      <c r="G39" s="16" t="s">
        <v>88</v>
      </c>
      <c r="H39" s="16" t="s">
        <v>89</v>
      </c>
      <c r="I39" s="16" t="s">
        <v>485</v>
      </c>
      <c r="J39" s="11"/>
    </row>
    <row r="40" spans="1:10" s="1" customFormat="1" ht="15" customHeight="1">
      <c r="A40" s="7">
        <f t="shared" si="0"/>
        <v>38</v>
      </c>
      <c r="B40" s="47">
        <v>1</v>
      </c>
      <c r="C40" s="47">
        <v>6</v>
      </c>
      <c r="D40" s="5">
        <f t="shared" si="1"/>
        <v>2</v>
      </c>
      <c r="E40" s="14"/>
      <c r="F40" s="15" t="s">
        <v>90</v>
      </c>
      <c r="G40" s="16" t="s">
        <v>91</v>
      </c>
      <c r="H40" s="16" t="s">
        <v>92</v>
      </c>
      <c r="I40" s="16"/>
      <c r="J40" s="11"/>
    </row>
    <row r="41" spans="1:10" s="1" customFormat="1" ht="15" customHeight="1">
      <c r="A41" s="7">
        <f t="shared" si="0"/>
        <v>39</v>
      </c>
      <c r="B41" s="47">
        <v>1</v>
      </c>
      <c r="C41" s="47">
        <v>6</v>
      </c>
      <c r="D41" s="5">
        <f t="shared" si="1"/>
        <v>3</v>
      </c>
      <c r="E41" s="5"/>
      <c r="F41" s="15" t="s">
        <v>93</v>
      </c>
      <c r="G41" s="16" t="s">
        <v>91</v>
      </c>
      <c r="H41" s="16" t="s">
        <v>94</v>
      </c>
      <c r="I41" s="16" t="s">
        <v>542</v>
      </c>
      <c r="J41" s="11"/>
    </row>
    <row r="42" spans="1:10" s="1" customFormat="1" ht="15" customHeight="1">
      <c r="A42" s="7">
        <f t="shared" si="0"/>
        <v>40</v>
      </c>
      <c r="B42" s="47">
        <v>1</v>
      </c>
      <c r="C42" s="47">
        <v>6</v>
      </c>
      <c r="D42" s="5">
        <f t="shared" si="1"/>
        <v>4</v>
      </c>
      <c r="E42" s="13"/>
      <c r="F42" s="15" t="s">
        <v>95</v>
      </c>
      <c r="G42" s="16" t="s">
        <v>96</v>
      </c>
      <c r="H42" s="16" t="s">
        <v>97</v>
      </c>
      <c r="I42" s="16" t="s">
        <v>585</v>
      </c>
      <c r="J42" s="11"/>
    </row>
    <row r="43" spans="1:10" s="1" customFormat="1" ht="15" customHeight="1">
      <c r="A43" s="7">
        <f t="shared" si="0"/>
        <v>41</v>
      </c>
      <c r="B43" s="47">
        <v>1</v>
      </c>
      <c r="C43" s="47">
        <v>6</v>
      </c>
      <c r="D43" s="5">
        <f t="shared" si="1"/>
        <v>5</v>
      </c>
      <c r="E43" s="14" t="s">
        <v>21</v>
      </c>
      <c r="F43" s="15" t="s">
        <v>98</v>
      </c>
      <c r="G43" s="16" t="s">
        <v>99</v>
      </c>
      <c r="H43" s="16" t="s">
        <v>100</v>
      </c>
      <c r="I43" s="16" t="s">
        <v>101</v>
      </c>
      <c r="J43" s="11"/>
    </row>
    <row r="44" spans="1:10" s="1" customFormat="1" ht="15" customHeight="1">
      <c r="A44" s="7">
        <f t="shared" si="0"/>
        <v>42</v>
      </c>
      <c r="B44" s="47">
        <v>1</v>
      </c>
      <c r="C44" s="47">
        <v>6</v>
      </c>
      <c r="D44" s="5">
        <f t="shared" si="1"/>
        <v>6</v>
      </c>
      <c r="E44" s="5"/>
      <c r="F44" s="15" t="s">
        <v>436</v>
      </c>
      <c r="G44" s="42" t="s">
        <v>437</v>
      </c>
      <c r="H44" s="42" t="s">
        <v>438</v>
      </c>
      <c r="I44" s="16" t="s">
        <v>439</v>
      </c>
      <c r="J44" s="11"/>
    </row>
    <row r="45" spans="1:10" s="1" customFormat="1" ht="15" customHeight="1">
      <c r="A45" s="7">
        <f t="shared" si="0"/>
        <v>43</v>
      </c>
      <c r="B45" s="47">
        <v>1</v>
      </c>
      <c r="C45" s="47">
        <v>6</v>
      </c>
      <c r="D45" s="14">
        <f t="shared" si="1"/>
        <v>7</v>
      </c>
      <c r="E45" s="14"/>
      <c r="F45" s="15" t="s">
        <v>464</v>
      </c>
      <c r="G45" s="16" t="s">
        <v>466</v>
      </c>
      <c r="H45" s="16" t="s">
        <v>465</v>
      </c>
      <c r="I45" s="16" t="s">
        <v>590</v>
      </c>
      <c r="J45" s="11"/>
    </row>
    <row r="46" spans="1:10" s="1" customFormat="1" ht="15" customHeight="1">
      <c r="A46" s="7">
        <f t="shared" si="0"/>
        <v>44</v>
      </c>
      <c r="B46" s="33">
        <v>1</v>
      </c>
      <c r="C46" s="33">
        <v>7</v>
      </c>
      <c r="D46" s="5">
        <f>IF(AND(B43=B46,C43=C46),D43+1,1)</f>
        <v>1</v>
      </c>
      <c r="E46" s="14" t="s">
        <v>21</v>
      </c>
      <c r="F46" s="8" t="s">
        <v>102</v>
      </c>
      <c r="G46" s="10" t="s">
        <v>91</v>
      </c>
      <c r="H46" s="10" t="s">
        <v>103</v>
      </c>
      <c r="I46" s="16" t="s">
        <v>526</v>
      </c>
      <c r="J46" s="11"/>
    </row>
    <row r="47" spans="1:10" s="1" customFormat="1" ht="15" customHeight="1">
      <c r="A47" s="7">
        <f t="shared" si="0"/>
        <v>45</v>
      </c>
      <c r="B47" s="33">
        <v>1</v>
      </c>
      <c r="C47" s="33">
        <v>7</v>
      </c>
      <c r="D47" s="5">
        <f t="shared" si="1"/>
        <v>2</v>
      </c>
      <c r="E47" s="13"/>
      <c r="F47" s="8" t="s">
        <v>104</v>
      </c>
      <c r="G47" s="10" t="s">
        <v>91</v>
      </c>
      <c r="H47" s="10" t="s">
        <v>105</v>
      </c>
      <c r="I47" s="16"/>
      <c r="J47" s="11"/>
    </row>
    <row r="48" spans="1:10" s="1" customFormat="1" ht="15" customHeight="1">
      <c r="A48" s="7">
        <f t="shared" si="0"/>
        <v>46</v>
      </c>
      <c r="B48" s="33">
        <v>1</v>
      </c>
      <c r="C48" s="33">
        <v>7</v>
      </c>
      <c r="D48" s="5">
        <f t="shared" si="1"/>
        <v>3</v>
      </c>
      <c r="E48" s="13"/>
      <c r="F48" s="8" t="s">
        <v>106</v>
      </c>
      <c r="G48" s="10" t="s">
        <v>434</v>
      </c>
      <c r="H48" s="10" t="s">
        <v>107</v>
      </c>
      <c r="I48" s="16" t="s">
        <v>475</v>
      </c>
      <c r="J48" s="11"/>
    </row>
    <row r="49" spans="1:10" s="1" customFormat="1" ht="15" customHeight="1">
      <c r="A49" s="7">
        <f t="shared" si="0"/>
        <v>47</v>
      </c>
      <c r="B49" s="33">
        <v>1</v>
      </c>
      <c r="C49" s="33">
        <v>7</v>
      </c>
      <c r="D49" s="5">
        <f t="shared" si="1"/>
        <v>4</v>
      </c>
      <c r="E49" s="5"/>
      <c r="F49" s="8" t="s">
        <v>108</v>
      </c>
      <c r="G49" s="10" t="s">
        <v>434</v>
      </c>
      <c r="H49" s="10" t="s">
        <v>109</v>
      </c>
      <c r="I49" s="16" t="s">
        <v>543</v>
      </c>
      <c r="J49" s="11"/>
    </row>
    <row r="50" spans="1:10" s="1" customFormat="1" ht="15" customHeight="1">
      <c r="A50" s="7">
        <f t="shared" si="0"/>
        <v>48</v>
      </c>
      <c r="B50" s="33">
        <v>1</v>
      </c>
      <c r="C50" s="33">
        <v>7</v>
      </c>
      <c r="D50" s="5">
        <f t="shared" si="1"/>
        <v>5</v>
      </c>
      <c r="E50" s="14"/>
      <c r="F50" s="52" t="s">
        <v>110</v>
      </c>
      <c r="G50" s="10" t="s">
        <v>91</v>
      </c>
      <c r="H50" s="10" t="s">
        <v>111</v>
      </c>
      <c r="I50" s="16" t="s">
        <v>477</v>
      </c>
      <c r="J50" s="11"/>
    </row>
    <row r="51" spans="1:10" s="1" customFormat="1" ht="15" customHeight="1">
      <c r="A51" s="7">
        <f t="shared" si="0"/>
        <v>49</v>
      </c>
      <c r="B51" s="45">
        <v>1</v>
      </c>
      <c r="C51" s="45">
        <v>8</v>
      </c>
      <c r="D51" s="5">
        <f t="shared" si="1"/>
        <v>1</v>
      </c>
      <c r="E51" s="5"/>
      <c r="F51" s="8" t="s">
        <v>112</v>
      </c>
      <c r="G51" s="10" t="s">
        <v>113</v>
      </c>
      <c r="H51" s="10" t="s">
        <v>114</v>
      </c>
      <c r="I51" s="16" t="s">
        <v>486</v>
      </c>
      <c r="J51" s="11"/>
    </row>
    <row r="52" spans="1:10" s="1" customFormat="1" ht="15" customHeight="1">
      <c r="A52" s="7">
        <f t="shared" si="0"/>
        <v>50</v>
      </c>
      <c r="B52" s="45">
        <v>1</v>
      </c>
      <c r="C52" s="45">
        <v>8</v>
      </c>
      <c r="D52" s="5">
        <f t="shared" si="1"/>
        <v>2</v>
      </c>
      <c r="E52" s="13"/>
      <c r="F52" s="8" t="s">
        <v>115</v>
      </c>
      <c r="G52" s="10" t="s">
        <v>113</v>
      </c>
      <c r="H52" s="10" t="s">
        <v>116</v>
      </c>
      <c r="I52" s="10" t="s">
        <v>546</v>
      </c>
      <c r="J52" s="11"/>
    </row>
    <row r="53" spans="1:10" s="1" customFormat="1" ht="15" customHeight="1">
      <c r="A53" s="7">
        <f t="shared" si="0"/>
        <v>51</v>
      </c>
      <c r="B53" s="45">
        <v>1</v>
      </c>
      <c r="C53" s="45">
        <v>8</v>
      </c>
      <c r="D53" s="5">
        <f t="shared" si="1"/>
        <v>3</v>
      </c>
      <c r="E53" s="14" t="s">
        <v>21</v>
      </c>
      <c r="F53" s="8" t="s">
        <v>117</v>
      </c>
      <c r="G53" s="10" t="s">
        <v>88</v>
      </c>
      <c r="H53" s="10" t="s">
        <v>118</v>
      </c>
      <c r="I53" s="16" t="s">
        <v>544</v>
      </c>
      <c r="J53" s="11"/>
    </row>
    <row r="54" spans="1:10" s="1" customFormat="1" ht="15" customHeight="1">
      <c r="A54" s="7">
        <f t="shared" si="0"/>
        <v>52</v>
      </c>
      <c r="B54" s="45">
        <v>1</v>
      </c>
      <c r="C54" s="45">
        <v>8</v>
      </c>
      <c r="D54" s="5">
        <f t="shared" si="1"/>
        <v>4</v>
      </c>
      <c r="E54" s="5"/>
      <c r="F54" s="8" t="s">
        <v>119</v>
      </c>
      <c r="G54" s="10" t="s">
        <v>123</v>
      </c>
      <c r="H54" s="10" t="s">
        <v>121</v>
      </c>
      <c r="I54" s="16" t="s">
        <v>545</v>
      </c>
      <c r="J54" s="11"/>
    </row>
    <row r="55" spans="1:10" s="1" customFormat="1" ht="15" customHeight="1">
      <c r="A55" s="7">
        <f t="shared" si="0"/>
        <v>53</v>
      </c>
      <c r="B55" s="45">
        <v>1</v>
      </c>
      <c r="C55" s="45">
        <v>8</v>
      </c>
      <c r="D55" s="5">
        <f t="shared" si="1"/>
        <v>5</v>
      </c>
      <c r="E55" s="5"/>
      <c r="F55" s="18" t="s">
        <v>122</v>
      </c>
      <c r="G55" s="10" t="s">
        <v>123</v>
      </c>
      <c r="H55" s="10" t="s">
        <v>124</v>
      </c>
      <c r="I55" s="10" t="s">
        <v>593</v>
      </c>
      <c r="J55" s="10"/>
    </row>
    <row r="56" spans="1:10" s="1" customFormat="1" ht="15" customHeight="1">
      <c r="A56" s="7">
        <f t="shared" si="0"/>
        <v>54</v>
      </c>
      <c r="B56" s="45">
        <v>1</v>
      </c>
      <c r="C56" s="45">
        <v>8</v>
      </c>
      <c r="D56" s="5">
        <f t="shared" si="1"/>
        <v>6</v>
      </c>
      <c r="E56" s="13"/>
      <c r="F56" s="8" t="s">
        <v>125</v>
      </c>
      <c r="G56" s="16" t="s">
        <v>576</v>
      </c>
      <c r="H56" s="10" t="s">
        <v>126</v>
      </c>
      <c r="I56" s="16" t="s">
        <v>592</v>
      </c>
      <c r="J56" s="11"/>
    </row>
    <row r="57" spans="1:10" s="1" customFormat="1" ht="15" customHeight="1">
      <c r="A57" s="7">
        <f t="shared" si="0"/>
        <v>55</v>
      </c>
      <c r="B57" s="45">
        <v>1</v>
      </c>
      <c r="C57" s="45">
        <v>8</v>
      </c>
      <c r="D57" s="5">
        <f t="shared" si="1"/>
        <v>7</v>
      </c>
      <c r="E57" s="14"/>
      <c r="F57" s="8" t="s">
        <v>127</v>
      </c>
      <c r="G57" s="10" t="s">
        <v>120</v>
      </c>
      <c r="H57" s="10" t="s">
        <v>128</v>
      </c>
      <c r="I57" s="16" t="s">
        <v>587</v>
      </c>
      <c r="J57" s="11"/>
    </row>
    <row r="58" spans="1:10" s="1" customFormat="1" ht="15" customHeight="1">
      <c r="A58" s="7">
        <f t="shared" si="0"/>
        <v>56</v>
      </c>
      <c r="B58" s="29">
        <v>1</v>
      </c>
      <c r="C58" s="29">
        <v>9</v>
      </c>
      <c r="D58" s="5">
        <f t="shared" si="1"/>
        <v>1</v>
      </c>
      <c r="E58" s="14" t="s">
        <v>21</v>
      </c>
      <c r="F58" s="8" t="s">
        <v>129</v>
      </c>
      <c r="G58" s="10" t="s">
        <v>120</v>
      </c>
      <c r="H58" s="10" t="s">
        <v>130</v>
      </c>
      <c r="I58" s="16" t="s">
        <v>547</v>
      </c>
      <c r="J58" s="11"/>
    </row>
    <row r="59" spans="1:10" s="1" customFormat="1" ht="15" customHeight="1">
      <c r="A59" s="7">
        <f t="shared" si="0"/>
        <v>57</v>
      </c>
      <c r="B59" s="29">
        <v>1</v>
      </c>
      <c r="C59" s="29">
        <v>9</v>
      </c>
      <c r="D59" s="5">
        <f t="shared" si="1"/>
        <v>2</v>
      </c>
      <c r="E59" s="14"/>
      <c r="F59" s="19" t="s">
        <v>131</v>
      </c>
      <c r="G59" s="10" t="s">
        <v>120</v>
      </c>
      <c r="H59" s="10" t="s">
        <v>132</v>
      </c>
      <c r="I59" s="20" t="s">
        <v>548</v>
      </c>
      <c r="J59" s="11"/>
    </row>
    <row r="60" spans="1:10" s="4" customFormat="1" ht="15" customHeight="1">
      <c r="A60" s="7">
        <f t="shared" si="0"/>
        <v>58</v>
      </c>
      <c r="B60" s="32">
        <v>1</v>
      </c>
      <c r="C60" s="32">
        <v>9</v>
      </c>
      <c r="D60" s="5">
        <f t="shared" si="1"/>
        <v>3</v>
      </c>
      <c r="E60" s="13"/>
      <c r="F60" s="15" t="s">
        <v>133</v>
      </c>
      <c r="G60" s="16" t="s">
        <v>120</v>
      </c>
      <c r="H60" s="10" t="s">
        <v>134</v>
      </c>
      <c r="I60" s="16" t="s">
        <v>135</v>
      </c>
      <c r="J60" s="21"/>
    </row>
    <row r="61" spans="1:10" s="1" customFormat="1" ht="15" customHeight="1">
      <c r="A61" s="7">
        <f t="shared" si="0"/>
        <v>59</v>
      </c>
      <c r="B61" s="29">
        <v>1</v>
      </c>
      <c r="C61" s="29">
        <v>9</v>
      </c>
      <c r="D61" s="5">
        <f t="shared" si="1"/>
        <v>4</v>
      </c>
      <c r="E61" s="5"/>
      <c r="F61" s="8" t="s">
        <v>136</v>
      </c>
      <c r="G61" s="10" t="s">
        <v>137</v>
      </c>
      <c r="H61" s="10" t="s">
        <v>138</v>
      </c>
      <c r="I61" s="16" t="s">
        <v>619</v>
      </c>
      <c r="J61" s="11"/>
    </row>
    <row r="62" spans="1:10" s="1" customFormat="1" ht="15" customHeight="1">
      <c r="A62" s="7">
        <f t="shared" si="0"/>
        <v>60</v>
      </c>
      <c r="B62" s="29">
        <v>1</v>
      </c>
      <c r="C62" s="29">
        <v>9</v>
      </c>
      <c r="D62" s="5">
        <f t="shared" si="1"/>
        <v>5</v>
      </c>
      <c r="E62" s="11"/>
      <c r="F62" s="8" t="s">
        <v>139</v>
      </c>
      <c r="G62" s="10" t="s">
        <v>137</v>
      </c>
      <c r="H62" s="10" t="s">
        <v>140</v>
      </c>
      <c r="I62" s="16"/>
      <c r="J62" s="11"/>
    </row>
    <row r="63" spans="1:10" s="1" customFormat="1" ht="15" customHeight="1">
      <c r="A63" s="7">
        <f t="shared" si="0"/>
        <v>61</v>
      </c>
      <c r="B63" s="29">
        <v>1</v>
      </c>
      <c r="C63" s="29">
        <v>9</v>
      </c>
      <c r="D63" s="5">
        <f t="shared" si="1"/>
        <v>6</v>
      </c>
      <c r="E63" s="5"/>
      <c r="F63" s="8" t="s">
        <v>141</v>
      </c>
      <c r="G63" s="10" t="s">
        <v>137</v>
      </c>
      <c r="H63" s="10" t="s">
        <v>142</v>
      </c>
      <c r="I63" s="16" t="s">
        <v>523</v>
      </c>
      <c r="J63" s="11"/>
    </row>
    <row r="64" spans="1:10" s="1" customFormat="1" ht="15" customHeight="1">
      <c r="A64" s="7">
        <f t="shared" si="0"/>
        <v>62</v>
      </c>
      <c r="B64" s="29">
        <v>1</v>
      </c>
      <c r="C64" s="29">
        <v>9</v>
      </c>
      <c r="D64" s="5">
        <f t="shared" si="1"/>
        <v>7</v>
      </c>
      <c r="E64" s="5"/>
      <c r="F64" s="8" t="s">
        <v>143</v>
      </c>
      <c r="G64" s="10" t="s">
        <v>123</v>
      </c>
      <c r="H64" s="10" t="s">
        <v>144</v>
      </c>
      <c r="I64" s="16" t="s">
        <v>594</v>
      </c>
      <c r="J64" s="11"/>
    </row>
    <row r="65" spans="1:10" s="1" customFormat="1" ht="15" customHeight="1">
      <c r="A65" s="7">
        <f t="shared" si="0"/>
        <v>63</v>
      </c>
      <c r="B65" s="29">
        <v>1</v>
      </c>
      <c r="C65" s="29">
        <v>9</v>
      </c>
      <c r="D65" s="5">
        <f t="shared" si="1"/>
        <v>8</v>
      </c>
      <c r="E65" s="13"/>
      <c r="F65" s="8" t="s">
        <v>145</v>
      </c>
      <c r="G65" s="10" t="s">
        <v>123</v>
      </c>
      <c r="H65" s="10" t="s">
        <v>146</v>
      </c>
      <c r="I65" s="16" t="s">
        <v>589</v>
      </c>
      <c r="J65" s="11"/>
    </row>
    <row r="66" spans="1:10" s="1" customFormat="1" ht="15" customHeight="1">
      <c r="A66" s="7">
        <f t="shared" si="0"/>
        <v>64</v>
      </c>
      <c r="B66" s="29">
        <v>1</v>
      </c>
      <c r="C66" s="29">
        <v>9</v>
      </c>
      <c r="D66" s="5">
        <f t="shared" si="1"/>
        <v>9</v>
      </c>
      <c r="E66" s="13"/>
      <c r="F66" s="8" t="s">
        <v>147</v>
      </c>
      <c r="G66" s="10" t="s">
        <v>123</v>
      </c>
      <c r="H66" s="10" t="s">
        <v>148</v>
      </c>
      <c r="I66" s="16" t="s">
        <v>440</v>
      </c>
      <c r="J66" s="11"/>
    </row>
    <row r="67" spans="1:10" s="1" customFormat="1" ht="15" customHeight="1">
      <c r="A67" s="7">
        <f t="shared" si="0"/>
        <v>65</v>
      </c>
      <c r="B67" s="33">
        <v>1</v>
      </c>
      <c r="C67" s="33">
        <v>10</v>
      </c>
      <c r="D67" s="5">
        <f>IF(AND(B65=B67,C65=C67),D65+1,1)</f>
        <v>1</v>
      </c>
      <c r="E67" s="5"/>
      <c r="F67" s="8" t="s">
        <v>149</v>
      </c>
      <c r="G67" s="12" t="s">
        <v>150</v>
      </c>
      <c r="H67" s="10" t="s">
        <v>151</v>
      </c>
      <c r="I67" s="16"/>
      <c r="J67" s="11"/>
    </row>
    <row r="68" spans="1:10" s="1" customFormat="1" ht="15" customHeight="1">
      <c r="A68" s="7">
        <f t="shared" si="0"/>
        <v>66</v>
      </c>
      <c r="B68" s="33">
        <v>1</v>
      </c>
      <c r="C68" s="33">
        <v>10</v>
      </c>
      <c r="D68" s="5">
        <f t="shared" si="1"/>
        <v>2</v>
      </c>
      <c r="E68" s="13"/>
      <c r="F68" s="8" t="s">
        <v>152</v>
      </c>
      <c r="G68" s="12" t="s">
        <v>153</v>
      </c>
      <c r="H68" s="10" t="s">
        <v>154</v>
      </c>
      <c r="I68" s="16" t="s">
        <v>551</v>
      </c>
      <c r="J68" s="11"/>
    </row>
    <row r="69" spans="1:10" s="1" customFormat="1" ht="15" customHeight="1">
      <c r="A69" s="7">
        <f t="shared" si="0"/>
        <v>67</v>
      </c>
      <c r="B69" s="33">
        <v>1</v>
      </c>
      <c r="C69" s="33">
        <v>10</v>
      </c>
      <c r="D69" s="5">
        <f t="shared" ref="D69:D132" si="2">IF(AND(B68=B69,C68=C69),D68+1,1)</f>
        <v>3</v>
      </c>
      <c r="E69" s="14"/>
      <c r="F69" s="8" t="s">
        <v>155</v>
      </c>
      <c r="G69" s="12" t="s">
        <v>153</v>
      </c>
      <c r="H69" s="10" t="s">
        <v>156</v>
      </c>
      <c r="I69" s="16" t="s">
        <v>550</v>
      </c>
      <c r="J69" s="11"/>
    </row>
    <row r="70" spans="1:10" s="1" customFormat="1" ht="15" customHeight="1">
      <c r="A70" s="7">
        <f t="shared" ref="A70:A135" si="3">ROW()-2</f>
        <v>68</v>
      </c>
      <c r="B70" s="33">
        <v>1</v>
      </c>
      <c r="C70" s="33">
        <v>10</v>
      </c>
      <c r="D70" s="5">
        <f t="shared" si="2"/>
        <v>4</v>
      </c>
      <c r="E70" s="14" t="s">
        <v>21</v>
      </c>
      <c r="F70" s="8" t="s">
        <v>157</v>
      </c>
      <c r="G70" s="12" t="s">
        <v>153</v>
      </c>
      <c r="H70" s="10" t="s">
        <v>158</v>
      </c>
      <c r="I70" s="16" t="s">
        <v>549</v>
      </c>
      <c r="J70" s="11"/>
    </row>
    <row r="71" spans="1:10" s="1" customFormat="1" ht="15" customHeight="1">
      <c r="A71" s="7">
        <f t="shared" si="3"/>
        <v>69</v>
      </c>
      <c r="B71" s="33">
        <v>1</v>
      </c>
      <c r="C71" s="33">
        <v>10</v>
      </c>
      <c r="D71" s="5">
        <f t="shared" si="2"/>
        <v>5</v>
      </c>
      <c r="E71" s="13"/>
      <c r="F71" s="8" t="s">
        <v>159</v>
      </c>
      <c r="G71" s="38"/>
      <c r="H71" s="37"/>
      <c r="I71" s="30" t="s">
        <v>160</v>
      </c>
      <c r="J71" s="11"/>
    </row>
    <row r="72" spans="1:10" s="1" customFormat="1" ht="15" customHeight="1">
      <c r="A72" s="7">
        <f t="shared" si="3"/>
        <v>70</v>
      </c>
      <c r="B72" s="33">
        <v>1</v>
      </c>
      <c r="C72" s="33">
        <v>10</v>
      </c>
      <c r="D72" s="5">
        <f t="shared" si="2"/>
        <v>6</v>
      </c>
      <c r="E72" s="14"/>
      <c r="F72" s="15" t="s">
        <v>625</v>
      </c>
      <c r="G72" s="26" t="s">
        <v>626</v>
      </c>
      <c r="H72" s="16" t="s">
        <v>627</v>
      </c>
      <c r="I72" s="16" t="s">
        <v>628</v>
      </c>
      <c r="J72" s="11"/>
    </row>
    <row r="73" spans="1:10" s="1" customFormat="1" ht="15" customHeight="1">
      <c r="A73" s="7">
        <f t="shared" si="3"/>
        <v>71</v>
      </c>
      <c r="B73" s="40">
        <v>1</v>
      </c>
      <c r="C73" s="40">
        <v>11</v>
      </c>
      <c r="D73" s="5">
        <f>IF(AND(B70=B73,C70=C73),D70+1,1)</f>
        <v>1</v>
      </c>
      <c r="E73" s="5"/>
      <c r="F73" s="8" t="s">
        <v>161</v>
      </c>
      <c r="G73" s="10" t="s">
        <v>162</v>
      </c>
      <c r="H73" s="10" t="s">
        <v>163</v>
      </c>
      <c r="I73" s="16" t="s">
        <v>552</v>
      </c>
      <c r="J73" s="11"/>
    </row>
    <row r="74" spans="1:10" s="1" customFormat="1" ht="15" customHeight="1">
      <c r="A74" s="7">
        <f t="shared" si="3"/>
        <v>72</v>
      </c>
      <c r="B74" s="40">
        <v>1</v>
      </c>
      <c r="C74" s="40">
        <v>11</v>
      </c>
      <c r="D74" s="5">
        <f t="shared" si="2"/>
        <v>2</v>
      </c>
      <c r="E74" s="5"/>
      <c r="F74" s="8" t="s">
        <v>487</v>
      </c>
      <c r="G74" s="10" t="s">
        <v>162</v>
      </c>
      <c r="H74" s="10" t="s">
        <v>164</v>
      </c>
      <c r="I74" s="16" t="s">
        <v>555</v>
      </c>
      <c r="J74" s="11"/>
    </row>
    <row r="75" spans="1:10" s="1" customFormat="1" ht="15" customHeight="1">
      <c r="A75" s="7">
        <f t="shared" si="3"/>
        <v>73</v>
      </c>
      <c r="B75" s="40">
        <v>1</v>
      </c>
      <c r="C75" s="40">
        <v>11</v>
      </c>
      <c r="D75" s="5">
        <f t="shared" si="2"/>
        <v>3</v>
      </c>
      <c r="E75" s="5"/>
      <c r="F75" s="8" t="s">
        <v>165</v>
      </c>
      <c r="G75" s="10" t="s">
        <v>162</v>
      </c>
      <c r="H75" s="10" t="s">
        <v>166</v>
      </c>
      <c r="I75" s="16" t="s">
        <v>553</v>
      </c>
      <c r="J75" s="11"/>
    </row>
    <row r="76" spans="1:10" s="1" customFormat="1" ht="15" customHeight="1">
      <c r="A76" s="7">
        <f t="shared" si="3"/>
        <v>74</v>
      </c>
      <c r="B76" s="40">
        <v>1</v>
      </c>
      <c r="C76" s="40">
        <v>11</v>
      </c>
      <c r="D76" s="5">
        <f t="shared" si="2"/>
        <v>4</v>
      </c>
      <c r="E76" s="13"/>
      <c r="F76" s="8" t="s">
        <v>167</v>
      </c>
      <c r="G76" s="10" t="s">
        <v>162</v>
      </c>
      <c r="H76" s="10" t="s">
        <v>168</v>
      </c>
      <c r="I76" s="16" t="s">
        <v>451</v>
      </c>
      <c r="J76" s="11"/>
    </row>
    <row r="77" spans="1:10" s="1" customFormat="1" ht="15" customHeight="1">
      <c r="A77" s="7">
        <f t="shared" si="3"/>
        <v>75</v>
      </c>
      <c r="B77" s="40">
        <v>1</v>
      </c>
      <c r="C77" s="40">
        <v>11</v>
      </c>
      <c r="D77" s="5">
        <f t="shared" si="2"/>
        <v>5</v>
      </c>
      <c r="E77" s="13"/>
      <c r="F77" s="22" t="s">
        <v>169</v>
      </c>
      <c r="G77" s="10" t="s">
        <v>162</v>
      </c>
      <c r="H77" s="10" t="s">
        <v>170</v>
      </c>
      <c r="I77" s="16" t="s">
        <v>171</v>
      </c>
      <c r="J77" s="11"/>
    </row>
    <row r="78" spans="1:10" s="1" customFormat="1" ht="15" customHeight="1">
      <c r="A78" s="7">
        <f t="shared" si="3"/>
        <v>76</v>
      </c>
      <c r="B78" s="40">
        <v>1</v>
      </c>
      <c r="C78" s="40">
        <v>11</v>
      </c>
      <c r="D78" s="5">
        <f t="shared" si="2"/>
        <v>6</v>
      </c>
      <c r="E78" s="14"/>
      <c r="F78" s="8" t="s">
        <v>172</v>
      </c>
      <c r="G78" s="10" t="s">
        <v>162</v>
      </c>
      <c r="H78" s="37"/>
      <c r="I78" s="16" t="s">
        <v>554</v>
      </c>
      <c r="J78" s="11"/>
    </row>
    <row r="79" spans="1:10" s="1" customFormat="1" ht="15" customHeight="1">
      <c r="A79" s="7">
        <f t="shared" si="3"/>
        <v>77</v>
      </c>
      <c r="B79" s="40">
        <v>1</v>
      </c>
      <c r="C79" s="40">
        <v>11</v>
      </c>
      <c r="D79" s="5">
        <f t="shared" si="2"/>
        <v>7</v>
      </c>
      <c r="E79" s="14" t="s">
        <v>21</v>
      </c>
      <c r="F79" s="8" t="s">
        <v>173</v>
      </c>
      <c r="G79" s="10" t="s">
        <v>162</v>
      </c>
      <c r="H79" s="10" t="s">
        <v>449</v>
      </c>
      <c r="I79" s="16" t="s">
        <v>174</v>
      </c>
      <c r="J79" s="11"/>
    </row>
    <row r="80" spans="1:10" s="1" customFormat="1" ht="15" customHeight="1">
      <c r="A80" s="7">
        <f t="shared" si="3"/>
        <v>78</v>
      </c>
      <c r="B80" s="40">
        <v>1</v>
      </c>
      <c r="C80" s="40">
        <v>11</v>
      </c>
      <c r="D80" s="5">
        <f t="shared" si="2"/>
        <v>8</v>
      </c>
      <c r="E80" s="5"/>
      <c r="F80" s="8" t="s">
        <v>175</v>
      </c>
      <c r="G80" s="10" t="s">
        <v>162</v>
      </c>
      <c r="H80" s="37"/>
      <c r="I80" s="16" t="s">
        <v>176</v>
      </c>
      <c r="J80" s="11"/>
    </row>
    <row r="81" spans="1:10" s="1" customFormat="1" ht="15" customHeight="1">
      <c r="A81" s="7">
        <f t="shared" si="3"/>
        <v>79</v>
      </c>
      <c r="B81" s="40">
        <v>1</v>
      </c>
      <c r="C81" s="40">
        <v>11</v>
      </c>
      <c r="D81" s="5">
        <f t="shared" si="2"/>
        <v>9</v>
      </c>
      <c r="E81" s="5"/>
      <c r="F81" s="8" t="s">
        <v>177</v>
      </c>
      <c r="G81" s="10" t="s">
        <v>162</v>
      </c>
      <c r="H81" s="10" t="s">
        <v>178</v>
      </c>
      <c r="I81" s="16" t="s">
        <v>616</v>
      </c>
      <c r="J81" s="11"/>
    </row>
    <row r="82" spans="1:10" s="1" customFormat="1" ht="15" customHeight="1">
      <c r="A82" s="7">
        <f t="shared" si="3"/>
        <v>80</v>
      </c>
      <c r="B82" s="41">
        <v>1</v>
      </c>
      <c r="C82" s="41">
        <v>12</v>
      </c>
      <c r="D82" s="5">
        <f t="shared" si="2"/>
        <v>1</v>
      </c>
      <c r="E82" s="14" t="s">
        <v>21</v>
      </c>
      <c r="F82" s="8" t="s">
        <v>179</v>
      </c>
      <c r="G82" s="10" t="s">
        <v>162</v>
      </c>
      <c r="H82" s="10" t="s">
        <v>180</v>
      </c>
      <c r="I82" s="16" t="s">
        <v>556</v>
      </c>
      <c r="J82" s="11"/>
    </row>
    <row r="83" spans="1:10" s="1" customFormat="1" ht="15" customHeight="1">
      <c r="A83" s="7">
        <f t="shared" si="3"/>
        <v>81</v>
      </c>
      <c r="B83" s="41">
        <v>1</v>
      </c>
      <c r="C83" s="41">
        <v>12</v>
      </c>
      <c r="D83" s="5">
        <f t="shared" si="2"/>
        <v>2</v>
      </c>
      <c r="E83" s="5"/>
      <c r="F83" s="8" t="s">
        <v>181</v>
      </c>
      <c r="G83" s="10" t="s">
        <v>162</v>
      </c>
      <c r="H83" s="37"/>
      <c r="I83" s="16" t="s">
        <v>182</v>
      </c>
      <c r="J83" s="11"/>
    </row>
    <row r="84" spans="1:10" s="1" customFormat="1" ht="15" customHeight="1">
      <c r="A84" s="7">
        <f t="shared" si="3"/>
        <v>82</v>
      </c>
      <c r="B84" s="41">
        <v>1</v>
      </c>
      <c r="C84" s="41">
        <v>12</v>
      </c>
      <c r="D84" s="5">
        <f t="shared" si="2"/>
        <v>3</v>
      </c>
      <c r="E84" s="5"/>
      <c r="F84" s="8" t="s">
        <v>183</v>
      </c>
      <c r="G84" s="10" t="s">
        <v>162</v>
      </c>
      <c r="H84" s="10" t="s">
        <v>184</v>
      </c>
      <c r="I84" s="16" t="s">
        <v>185</v>
      </c>
      <c r="J84" s="11"/>
    </row>
    <row r="85" spans="1:10" s="1" customFormat="1" ht="15" customHeight="1">
      <c r="A85" s="7">
        <f t="shared" si="3"/>
        <v>83</v>
      </c>
      <c r="B85" s="41">
        <v>1</v>
      </c>
      <c r="C85" s="41">
        <v>12</v>
      </c>
      <c r="D85" s="5">
        <f t="shared" si="2"/>
        <v>4</v>
      </c>
      <c r="E85" s="13"/>
      <c r="F85" s="8" t="s">
        <v>442</v>
      </c>
      <c r="G85" s="10" t="s">
        <v>162</v>
      </c>
      <c r="H85" s="10" t="s">
        <v>443</v>
      </c>
      <c r="I85" s="16" t="s">
        <v>444</v>
      </c>
      <c r="J85" s="11"/>
    </row>
    <row r="86" spans="1:10" s="1" customFormat="1" ht="15" customHeight="1">
      <c r="A86" s="7">
        <f t="shared" si="3"/>
        <v>84</v>
      </c>
      <c r="B86" s="41">
        <v>1</v>
      </c>
      <c r="C86" s="41">
        <v>12</v>
      </c>
      <c r="D86" s="5">
        <f t="shared" si="2"/>
        <v>5</v>
      </c>
      <c r="E86" s="5"/>
      <c r="F86" s="8" t="s">
        <v>186</v>
      </c>
      <c r="G86" s="10" t="s">
        <v>162</v>
      </c>
      <c r="H86" s="10" t="s">
        <v>187</v>
      </c>
      <c r="I86" s="16" t="s">
        <v>188</v>
      </c>
      <c r="J86" s="11"/>
    </row>
    <row r="87" spans="1:10" s="1" customFormat="1" ht="15" customHeight="1">
      <c r="A87" s="7">
        <f t="shared" si="3"/>
        <v>85</v>
      </c>
      <c r="B87" s="41">
        <v>1</v>
      </c>
      <c r="C87" s="41">
        <v>12</v>
      </c>
      <c r="D87" s="5">
        <f t="shared" si="2"/>
        <v>6</v>
      </c>
      <c r="E87" s="5"/>
      <c r="F87" s="8" t="s">
        <v>189</v>
      </c>
      <c r="G87" s="10" t="s">
        <v>162</v>
      </c>
      <c r="H87" s="10" t="s">
        <v>190</v>
      </c>
      <c r="I87" s="16" t="s">
        <v>613</v>
      </c>
      <c r="J87" s="11"/>
    </row>
    <row r="88" spans="1:10" s="1" customFormat="1" ht="15" customHeight="1">
      <c r="A88" s="7">
        <f t="shared" si="3"/>
        <v>86</v>
      </c>
      <c r="B88" s="41">
        <v>1</v>
      </c>
      <c r="C88" s="41">
        <v>12</v>
      </c>
      <c r="D88" s="5">
        <f t="shared" si="2"/>
        <v>7</v>
      </c>
      <c r="E88" s="5"/>
      <c r="F88" s="8" t="s">
        <v>191</v>
      </c>
      <c r="G88" s="10" t="s">
        <v>162</v>
      </c>
      <c r="H88" s="10" t="s">
        <v>582</v>
      </c>
      <c r="I88" s="16" t="s">
        <v>597</v>
      </c>
      <c r="J88" s="11"/>
    </row>
    <row r="89" spans="1:10" s="1" customFormat="1" ht="15" customHeight="1">
      <c r="A89" s="7">
        <f t="shared" si="3"/>
        <v>87</v>
      </c>
      <c r="B89" s="41">
        <v>1</v>
      </c>
      <c r="C89" s="41">
        <v>12</v>
      </c>
      <c r="D89" s="5">
        <f t="shared" si="2"/>
        <v>8</v>
      </c>
      <c r="E89" s="5"/>
      <c r="F89" s="8" t="s">
        <v>192</v>
      </c>
      <c r="G89" s="10" t="s">
        <v>162</v>
      </c>
      <c r="H89" s="37"/>
      <c r="I89" s="16" t="s">
        <v>557</v>
      </c>
      <c r="J89" s="11"/>
    </row>
    <row r="90" spans="1:10" s="1" customFormat="1" ht="15" customHeight="1">
      <c r="A90" s="7">
        <f t="shared" si="3"/>
        <v>88</v>
      </c>
      <c r="B90" s="41">
        <v>1</v>
      </c>
      <c r="C90" s="41">
        <v>12</v>
      </c>
      <c r="D90" s="5">
        <f t="shared" si="2"/>
        <v>9</v>
      </c>
      <c r="E90" s="5"/>
      <c r="F90" s="8" t="s">
        <v>193</v>
      </c>
      <c r="G90" s="10" t="s">
        <v>162</v>
      </c>
      <c r="H90" s="10" t="s">
        <v>194</v>
      </c>
      <c r="I90" s="16" t="s">
        <v>615</v>
      </c>
      <c r="J90" s="11"/>
    </row>
    <row r="91" spans="1:10" s="1" customFormat="1" ht="15" customHeight="1">
      <c r="A91" s="7">
        <f t="shared" si="3"/>
        <v>89</v>
      </c>
      <c r="B91" s="41">
        <v>1</v>
      </c>
      <c r="C91" s="41">
        <v>12</v>
      </c>
      <c r="D91" s="5">
        <f t="shared" si="2"/>
        <v>10</v>
      </c>
      <c r="E91" s="5"/>
      <c r="F91" s="8" t="s">
        <v>195</v>
      </c>
      <c r="G91" s="10" t="s">
        <v>162</v>
      </c>
      <c r="H91" s="37"/>
      <c r="I91" s="16" t="s">
        <v>591</v>
      </c>
      <c r="J91" s="11"/>
    </row>
    <row r="92" spans="1:10" s="1" customFormat="1" ht="15" customHeight="1">
      <c r="A92" s="7">
        <f t="shared" si="3"/>
        <v>90</v>
      </c>
      <c r="B92" s="41">
        <v>1</v>
      </c>
      <c r="C92" s="41">
        <v>12</v>
      </c>
      <c r="D92" s="5">
        <f t="shared" si="2"/>
        <v>11</v>
      </c>
      <c r="E92" s="5"/>
      <c r="F92" s="15" t="s">
        <v>196</v>
      </c>
      <c r="G92" s="10" t="s">
        <v>162</v>
      </c>
      <c r="H92" s="16" t="s">
        <v>197</v>
      </c>
      <c r="I92" s="16" t="s">
        <v>614</v>
      </c>
      <c r="J92" s="11"/>
    </row>
    <row r="93" spans="1:10" s="1" customFormat="1" ht="15" customHeight="1">
      <c r="A93" s="7">
        <f t="shared" si="3"/>
        <v>91</v>
      </c>
      <c r="B93" s="41">
        <v>1</v>
      </c>
      <c r="C93" s="41">
        <v>12</v>
      </c>
      <c r="D93" s="5">
        <f t="shared" si="2"/>
        <v>12</v>
      </c>
      <c r="E93" s="13"/>
      <c r="F93" s="15" t="s">
        <v>198</v>
      </c>
      <c r="G93" s="10" t="s">
        <v>162</v>
      </c>
      <c r="H93" s="16" t="s">
        <v>199</v>
      </c>
      <c r="I93" s="16" t="s">
        <v>200</v>
      </c>
      <c r="J93" s="11"/>
    </row>
    <row r="94" spans="1:10" s="1" customFormat="1" ht="15" customHeight="1">
      <c r="A94" s="7">
        <f t="shared" si="3"/>
        <v>92</v>
      </c>
      <c r="B94" s="41">
        <v>1</v>
      </c>
      <c r="C94" s="41">
        <v>12</v>
      </c>
      <c r="D94" s="5">
        <f t="shared" si="2"/>
        <v>13</v>
      </c>
      <c r="E94" s="14"/>
      <c r="F94" s="15" t="s">
        <v>482</v>
      </c>
      <c r="G94" s="16" t="s">
        <v>162</v>
      </c>
      <c r="H94" s="16" t="s">
        <v>570</v>
      </c>
      <c r="I94" s="16" t="s">
        <v>569</v>
      </c>
      <c r="J94" s="11"/>
    </row>
    <row r="95" spans="1:10" s="1" customFormat="1" ht="15" customHeight="1">
      <c r="A95" s="7">
        <f t="shared" si="3"/>
        <v>93</v>
      </c>
      <c r="B95" s="41">
        <v>1</v>
      </c>
      <c r="C95" s="41">
        <v>12</v>
      </c>
      <c r="D95" s="5">
        <f t="shared" si="2"/>
        <v>14</v>
      </c>
      <c r="E95" s="14"/>
      <c r="F95" s="8" t="s">
        <v>201</v>
      </c>
      <c r="G95" s="10" t="s">
        <v>162</v>
      </c>
      <c r="H95" s="10" t="s">
        <v>202</v>
      </c>
      <c r="I95" s="16" t="s">
        <v>203</v>
      </c>
      <c r="J95" s="11"/>
    </row>
    <row r="96" spans="1:10" s="1" customFormat="1" ht="15" customHeight="1">
      <c r="A96" s="7">
        <f t="shared" si="3"/>
        <v>94</v>
      </c>
      <c r="B96" s="41">
        <v>1</v>
      </c>
      <c r="C96" s="41">
        <v>12</v>
      </c>
      <c r="D96" s="5">
        <f t="shared" si="2"/>
        <v>15</v>
      </c>
      <c r="E96" s="5"/>
      <c r="F96" s="8" t="s">
        <v>204</v>
      </c>
      <c r="G96" s="10" t="s">
        <v>162</v>
      </c>
      <c r="H96" s="10" t="s">
        <v>205</v>
      </c>
      <c r="I96" s="16" t="s">
        <v>525</v>
      </c>
      <c r="J96" s="11"/>
    </row>
    <row r="97" spans="1:10" s="1" customFormat="1" ht="15" customHeight="1" thickBot="1">
      <c r="A97" s="60">
        <f t="shared" si="3"/>
        <v>95</v>
      </c>
      <c r="B97" s="61">
        <v>1</v>
      </c>
      <c r="C97" s="61">
        <v>12</v>
      </c>
      <c r="D97" s="62">
        <f t="shared" si="2"/>
        <v>16</v>
      </c>
      <c r="E97" s="63"/>
      <c r="F97" s="64" t="s">
        <v>206</v>
      </c>
      <c r="G97" s="65" t="s">
        <v>162</v>
      </c>
      <c r="H97" s="65" t="s">
        <v>207</v>
      </c>
      <c r="I97" s="66" t="s">
        <v>208</v>
      </c>
      <c r="J97" s="11"/>
    </row>
    <row r="98" spans="1:10" s="1" customFormat="1" ht="15" customHeight="1" thickTop="1">
      <c r="A98" s="67">
        <f t="shared" si="3"/>
        <v>96</v>
      </c>
      <c r="B98" s="68">
        <v>2</v>
      </c>
      <c r="C98" s="68">
        <v>1</v>
      </c>
      <c r="D98" s="69">
        <f>IF(AND(B97=B98,C97=C98),D97+1,1)</f>
        <v>1</v>
      </c>
      <c r="E98" s="69"/>
      <c r="F98" s="70" t="s">
        <v>209</v>
      </c>
      <c r="G98" s="71" t="s">
        <v>433</v>
      </c>
      <c r="H98" s="72" t="s">
        <v>211</v>
      </c>
      <c r="I98" s="72" t="s">
        <v>618</v>
      </c>
      <c r="J98" s="11"/>
    </row>
    <row r="99" spans="1:10" s="1" customFormat="1" ht="15" customHeight="1">
      <c r="A99" s="7">
        <f t="shared" si="3"/>
        <v>97</v>
      </c>
      <c r="B99" s="44">
        <v>2</v>
      </c>
      <c r="C99" s="44">
        <v>1</v>
      </c>
      <c r="D99" s="5">
        <f t="shared" si="2"/>
        <v>2</v>
      </c>
      <c r="E99" s="14"/>
      <c r="F99" s="15" t="s">
        <v>212</v>
      </c>
      <c r="G99" s="9" t="s">
        <v>210</v>
      </c>
      <c r="H99" s="10" t="s">
        <v>213</v>
      </c>
      <c r="I99" s="16" t="s">
        <v>601</v>
      </c>
      <c r="J99" s="11"/>
    </row>
    <row r="100" spans="1:10" s="1" customFormat="1" ht="15" customHeight="1">
      <c r="A100" s="7">
        <f t="shared" si="3"/>
        <v>98</v>
      </c>
      <c r="B100" s="44">
        <v>2</v>
      </c>
      <c r="C100" s="44">
        <v>1</v>
      </c>
      <c r="D100" s="5">
        <f t="shared" si="2"/>
        <v>3</v>
      </c>
      <c r="E100" s="13"/>
      <c r="F100" s="8" t="s">
        <v>214</v>
      </c>
      <c r="G100" s="26" t="s">
        <v>518</v>
      </c>
      <c r="H100" s="10" t="s">
        <v>215</v>
      </c>
      <c r="I100" s="16" t="s">
        <v>519</v>
      </c>
      <c r="J100" s="11"/>
    </row>
    <row r="101" spans="1:10" s="1" customFormat="1" ht="15" customHeight="1">
      <c r="A101" s="7">
        <f t="shared" si="3"/>
        <v>99</v>
      </c>
      <c r="B101" s="44">
        <v>2</v>
      </c>
      <c r="C101" s="44">
        <v>1</v>
      </c>
      <c r="D101" s="5">
        <f t="shared" si="2"/>
        <v>4</v>
      </c>
      <c r="E101" s="13"/>
      <c r="F101" s="8" t="s">
        <v>216</v>
      </c>
      <c r="G101" s="12" t="s">
        <v>210</v>
      </c>
      <c r="H101" s="10" t="s">
        <v>217</v>
      </c>
      <c r="I101" s="16" t="s">
        <v>559</v>
      </c>
      <c r="J101" s="11"/>
    </row>
    <row r="102" spans="1:10" s="1" customFormat="1" ht="15" customHeight="1">
      <c r="A102" s="7">
        <f t="shared" si="3"/>
        <v>100</v>
      </c>
      <c r="B102" s="44">
        <v>2</v>
      </c>
      <c r="C102" s="44">
        <v>1</v>
      </c>
      <c r="D102" s="5">
        <f t="shared" si="2"/>
        <v>5</v>
      </c>
      <c r="E102" s="5"/>
      <c r="F102" s="8" t="s">
        <v>218</v>
      </c>
      <c r="G102" s="12" t="s">
        <v>210</v>
      </c>
      <c r="H102" s="42" t="s">
        <v>219</v>
      </c>
      <c r="I102" s="16" t="s">
        <v>220</v>
      </c>
      <c r="J102" s="11"/>
    </row>
    <row r="103" spans="1:10" s="1" customFormat="1" ht="15" customHeight="1">
      <c r="A103" s="7">
        <f t="shared" si="3"/>
        <v>101</v>
      </c>
      <c r="B103" s="44">
        <v>2</v>
      </c>
      <c r="C103" s="44">
        <v>1</v>
      </c>
      <c r="D103" s="5">
        <f t="shared" si="2"/>
        <v>6</v>
      </c>
      <c r="E103" s="5"/>
      <c r="F103" s="8" t="s">
        <v>221</v>
      </c>
      <c r="G103" s="12" t="s">
        <v>210</v>
      </c>
      <c r="H103" s="10" t="s">
        <v>222</v>
      </c>
      <c r="I103" s="16" t="s">
        <v>558</v>
      </c>
      <c r="J103" s="11"/>
    </row>
    <row r="104" spans="1:10" s="1" customFormat="1" ht="15" customHeight="1">
      <c r="A104" s="7">
        <f t="shared" si="3"/>
        <v>102</v>
      </c>
      <c r="B104" s="44">
        <v>2</v>
      </c>
      <c r="C104" s="44">
        <v>1</v>
      </c>
      <c r="D104" s="5">
        <f t="shared" si="2"/>
        <v>7</v>
      </c>
      <c r="E104" s="14" t="s">
        <v>21</v>
      </c>
      <c r="F104" s="8" t="s">
        <v>223</v>
      </c>
      <c r="G104" s="12" t="s">
        <v>224</v>
      </c>
      <c r="H104" s="10" t="s">
        <v>225</v>
      </c>
      <c r="I104" s="16" t="s">
        <v>588</v>
      </c>
      <c r="J104" s="11"/>
    </row>
    <row r="105" spans="1:10" s="1" customFormat="1" ht="15" customHeight="1">
      <c r="A105" s="7">
        <f t="shared" si="3"/>
        <v>103</v>
      </c>
      <c r="B105" s="44">
        <v>2</v>
      </c>
      <c r="C105" s="44">
        <v>1</v>
      </c>
      <c r="D105" s="5">
        <f t="shared" si="2"/>
        <v>8</v>
      </c>
      <c r="E105" s="5"/>
      <c r="F105" s="8" t="s">
        <v>226</v>
      </c>
      <c r="G105" s="12" t="s">
        <v>210</v>
      </c>
      <c r="H105" s="12" t="s">
        <v>227</v>
      </c>
      <c r="I105" s="16" t="s">
        <v>560</v>
      </c>
      <c r="J105" s="11"/>
    </row>
    <row r="106" spans="1:10" s="1" customFormat="1" ht="15" customHeight="1">
      <c r="A106" s="7">
        <f t="shared" si="3"/>
        <v>104</v>
      </c>
      <c r="B106" s="45">
        <v>2</v>
      </c>
      <c r="C106" s="45">
        <v>2</v>
      </c>
      <c r="D106" s="5">
        <f>IF(AND(B104=B106,C104=C106),D104+1,1)</f>
        <v>1</v>
      </c>
      <c r="E106" s="14"/>
      <c r="F106" s="8" t="s">
        <v>452</v>
      </c>
      <c r="G106" s="12" t="s">
        <v>210</v>
      </c>
      <c r="H106" s="10" t="s">
        <v>228</v>
      </c>
      <c r="I106" s="16" t="s">
        <v>609</v>
      </c>
      <c r="J106" s="11"/>
    </row>
    <row r="107" spans="1:10" s="1" customFormat="1" ht="15" customHeight="1">
      <c r="A107" s="7">
        <f t="shared" si="3"/>
        <v>105</v>
      </c>
      <c r="B107" s="45">
        <v>2</v>
      </c>
      <c r="C107" s="45">
        <v>2</v>
      </c>
      <c r="D107" s="5">
        <f t="shared" si="2"/>
        <v>2</v>
      </c>
      <c r="E107" s="13"/>
      <c r="F107" s="8" t="s">
        <v>229</v>
      </c>
      <c r="G107" s="12" t="s">
        <v>210</v>
      </c>
      <c r="H107" s="10" t="s">
        <v>230</v>
      </c>
      <c r="I107" s="16" t="s">
        <v>231</v>
      </c>
      <c r="J107" s="11"/>
    </row>
    <row r="108" spans="1:10" s="1" customFormat="1" ht="15" customHeight="1">
      <c r="A108" s="7">
        <f t="shared" si="3"/>
        <v>106</v>
      </c>
      <c r="B108" s="45">
        <v>2</v>
      </c>
      <c r="C108" s="45">
        <v>2</v>
      </c>
      <c r="D108" s="5">
        <f t="shared" si="2"/>
        <v>3</v>
      </c>
      <c r="E108" s="13"/>
      <c r="F108" s="8" t="s">
        <v>232</v>
      </c>
      <c r="G108" s="12" t="s">
        <v>210</v>
      </c>
      <c r="H108" s="10" t="s">
        <v>233</v>
      </c>
      <c r="I108" s="16" t="s">
        <v>234</v>
      </c>
      <c r="J108" s="11"/>
    </row>
    <row r="109" spans="1:10" s="1" customFormat="1" ht="15" customHeight="1">
      <c r="A109" s="7">
        <f t="shared" si="3"/>
        <v>107</v>
      </c>
      <c r="B109" s="45">
        <v>2</v>
      </c>
      <c r="C109" s="45">
        <v>2</v>
      </c>
      <c r="D109" s="5">
        <f t="shared" si="2"/>
        <v>4</v>
      </c>
      <c r="E109" s="5"/>
      <c r="F109" s="8" t="s">
        <v>235</v>
      </c>
      <c r="G109" s="12" t="s">
        <v>236</v>
      </c>
      <c r="H109" s="10" t="s">
        <v>237</v>
      </c>
      <c r="I109" s="16" t="s">
        <v>561</v>
      </c>
      <c r="J109" s="11"/>
    </row>
    <row r="110" spans="1:10" s="1" customFormat="1" ht="15" customHeight="1">
      <c r="A110" s="7">
        <f t="shared" si="3"/>
        <v>108</v>
      </c>
      <c r="B110" s="45">
        <v>2</v>
      </c>
      <c r="C110" s="45">
        <v>2</v>
      </c>
      <c r="D110" s="5">
        <f t="shared" si="2"/>
        <v>5</v>
      </c>
      <c r="E110" s="14" t="s">
        <v>21</v>
      </c>
      <c r="F110" s="8" t="s">
        <v>238</v>
      </c>
      <c r="G110" s="25" t="s">
        <v>239</v>
      </c>
      <c r="H110" s="10" t="s">
        <v>240</v>
      </c>
      <c r="I110" s="16" t="s">
        <v>562</v>
      </c>
      <c r="J110" s="11"/>
    </row>
    <row r="111" spans="1:10" s="1" customFormat="1" ht="15" customHeight="1">
      <c r="A111" s="7">
        <f t="shared" si="3"/>
        <v>109</v>
      </c>
      <c r="B111" s="46">
        <v>2</v>
      </c>
      <c r="C111" s="46">
        <v>3</v>
      </c>
      <c r="D111" s="5">
        <f t="shared" si="2"/>
        <v>1</v>
      </c>
      <c r="E111" s="14"/>
      <c r="F111" s="8" t="s">
        <v>241</v>
      </c>
      <c r="G111" s="12" t="s">
        <v>242</v>
      </c>
      <c r="H111" s="10" t="s">
        <v>243</v>
      </c>
      <c r="I111" s="16" t="s">
        <v>565</v>
      </c>
      <c r="J111" s="11"/>
    </row>
    <row r="112" spans="1:10" s="1" customFormat="1" ht="15" customHeight="1">
      <c r="A112" s="7">
        <f t="shared" si="3"/>
        <v>110</v>
      </c>
      <c r="B112" s="46">
        <v>2</v>
      </c>
      <c r="C112" s="46">
        <v>3</v>
      </c>
      <c r="D112" s="5">
        <f t="shared" si="2"/>
        <v>2</v>
      </c>
      <c r="E112" s="13"/>
      <c r="F112" s="8" t="s">
        <v>244</v>
      </c>
      <c r="G112" s="12" t="s">
        <v>242</v>
      </c>
      <c r="H112" s="10" t="s">
        <v>245</v>
      </c>
      <c r="I112" s="16" t="s">
        <v>563</v>
      </c>
      <c r="J112" s="11"/>
    </row>
    <row r="113" spans="1:10" s="1" customFormat="1" ht="15" customHeight="1">
      <c r="A113" s="7">
        <f t="shared" si="3"/>
        <v>111</v>
      </c>
      <c r="B113" s="46">
        <v>2</v>
      </c>
      <c r="C113" s="46">
        <v>3</v>
      </c>
      <c r="D113" s="5">
        <f t="shared" si="2"/>
        <v>3</v>
      </c>
      <c r="E113" s="14"/>
      <c r="F113" s="15" t="s">
        <v>246</v>
      </c>
      <c r="G113" s="12" t="s">
        <v>242</v>
      </c>
      <c r="H113" s="10" t="s">
        <v>247</v>
      </c>
      <c r="I113" s="16" t="s">
        <v>564</v>
      </c>
      <c r="J113" s="11"/>
    </row>
    <row r="114" spans="1:10" s="1" customFormat="1" ht="15" customHeight="1">
      <c r="A114" s="7">
        <f t="shared" si="3"/>
        <v>112</v>
      </c>
      <c r="B114" s="46">
        <v>2</v>
      </c>
      <c r="C114" s="46">
        <v>3</v>
      </c>
      <c r="D114" s="5">
        <f t="shared" si="2"/>
        <v>4</v>
      </c>
      <c r="E114" s="14" t="s">
        <v>21</v>
      </c>
      <c r="F114" s="15" t="s">
        <v>248</v>
      </c>
      <c r="G114" s="26" t="s">
        <v>249</v>
      </c>
      <c r="H114" s="16" t="s">
        <v>250</v>
      </c>
      <c r="I114" s="16" t="s">
        <v>251</v>
      </c>
      <c r="J114" s="11"/>
    </row>
    <row r="115" spans="1:10" s="1" customFormat="1" ht="15" customHeight="1">
      <c r="A115" s="7">
        <f t="shared" si="3"/>
        <v>113</v>
      </c>
      <c r="B115" s="46">
        <v>2</v>
      </c>
      <c r="C115" s="46">
        <v>3</v>
      </c>
      <c r="D115" s="5">
        <f t="shared" si="2"/>
        <v>5</v>
      </c>
      <c r="E115" s="13"/>
      <c r="F115" s="59" t="s">
        <v>630</v>
      </c>
      <c r="G115" s="26" t="s">
        <v>249</v>
      </c>
      <c r="H115" s="16" t="s">
        <v>252</v>
      </c>
      <c r="I115" s="16" t="s">
        <v>462</v>
      </c>
      <c r="J115" s="11"/>
    </row>
    <row r="116" spans="1:10" s="1" customFormat="1" ht="15" customHeight="1">
      <c r="A116" s="7">
        <f t="shared" si="3"/>
        <v>114</v>
      </c>
      <c r="B116" s="46">
        <v>2</v>
      </c>
      <c r="C116" s="46">
        <v>3</v>
      </c>
      <c r="D116" s="5">
        <f t="shared" si="2"/>
        <v>6</v>
      </c>
      <c r="E116" s="13"/>
      <c r="F116" s="15" t="s">
        <v>463</v>
      </c>
      <c r="G116" s="26" t="s">
        <v>242</v>
      </c>
      <c r="H116" s="16"/>
      <c r="I116" s="24" t="s">
        <v>461</v>
      </c>
      <c r="J116" s="11"/>
    </row>
    <row r="117" spans="1:10" s="1" customFormat="1" ht="15" customHeight="1">
      <c r="A117" s="7">
        <f t="shared" si="3"/>
        <v>115</v>
      </c>
      <c r="B117" s="33">
        <v>2</v>
      </c>
      <c r="C117" s="33">
        <v>4</v>
      </c>
      <c r="D117" s="5">
        <f>IF(AND(B115=B117,C115=C117),D115+1,1)</f>
        <v>1</v>
      </c>
      <c r="E117" s="13"/>
      <c r="F117" s="8" t="s">
        <v>253</v>
      </c>
      <c r="G117" s="12" t="s">
        <v>254</v>
      </c>
      <c r="H117" s="10" t="s">
        <v>255</v>
      </c>
      <c r="I117" s="16" t="s">
        <v>567</v>
      </c>
      <c r="J117" s="11"/>
    </row>
    <row r="118" spans="1:10" s="1" customFormat="1" ht="15" customHeight="1">
      <c r="A118" s="7">
        <f t="shared" si="3"/>
        <v>116</v>
      </c>
      <c r="B118" s="33">
        <v>2</v>
      </c>
      <c r="C118" s="33">
        <v>4</v>
      </c>
      <c r="D118" s="5">
        <f t="shared" si="2"/>
        <v>2</v>
      </c>
      <c r="E118" s="5"/>
      <c r="F118" s="8" t="s">
        <v>256</v>
      </c>
      <c r="G118" s="12" t="s">
        <v>257</v>
      </c>
      <c r="H118" s="10" t="s">
        <v>258</v>
      </c>
      <c r="I118" s="16" t="s">
        <v>566</v>
      </c>
      <c r="J118" s="11"/>
    </row>
    <row r="119" spans="1:10" s="1" customFormat="1" ht="15" customHeight="1">
      <c r="A119" s="7">
        <f t="shared" si="3"/>
        <v>117</v>
      </c>
      <c r="B119" s="33">
        <v>2</v>
      </c>
      <c r="C119" s="33">
        <v>4</v>
      </c>
      <c r="D119" s="5">
        <f t="shared" si="2"/>
        <v>3</v>
      </c>
      <c r="E119" s="13"/>
      <c r="F119" s="15" t="s">
        <v>259</v>
      </c>
      <c r="G119" s="26" t="s">
        <v>254</v>
      </c>
      <c r="H119" s="16" t="s">
        <v>260</v>
      </c>
      <c r="I119" s="16"/>
      <c r="J119" s="11"/>
    </row>
    <row r="120" spans="1:10" s="1" customFormat="1" ht="15" customHeight="1">
      <c r="A120" s="7">
        <f t="shared" si="3"/>
        <v>118</v>
      </c>
      <c r="B120" s="33">
        <v>2</v>
      </c>
      <c r="C120" s="33">
        <v>4</v>
      </c>
      <c r="D120" s="5">
        <f t="shared" si="2"/>
        <v>4</v>
      </c>
      <c r="E120" s="14" t="s">
        <v>21</v>
      </c>
      <c r="F120" s="15" t="s">
        <v>261</v>
      </c>
      <c r="G120" s="10" t="s">
        <v>262</v>
      </c>
      <c r="H120" s="10" t="s">
        <v>263</v>
      </c>
      <c r="I120" s="16" t="s">
        <v>596</v>
      </c>
      <c r="J120" s="11"/>
    </row>
    <row r="121" spans="1:10" s="1" customFormat="1" ht="15" customHeight="1">
      <c r="A121" s="7">
        <f t="shared" si="3"/>
        <v>119</v>
      </c>
      <c r="B121" s="33">
        <v>2</v>
      </c>
      <c r="C121" s="33">
        <v>4</v>
      </c>
      <c r="D121" s="5">
        <f t="shared" si="2"/>
        <v>5</v>
      </c>
      <c r="E121" s="14"/>
      <c r="F121" s="8" t="s">
        <v>264</v>
      </c>
      <c r="G121" s="26" t="s">
        <v>257</v>
      </c>
      <c r="H121" s="10" t="s">
        <v>265</v>
      </c>
      <c r="I121" s="16" t="s">
        <v>568</v>
      </c>
      <c r="J121" s="11"/>
    </row>
    <row r="122" spans="1:10" s="1" customFormat="1" ht="15" customHeight="1">
      <c r="A122" s="7">
        <f t="shared" si="3"/>
        <v>120</v>
      </c>
      <c r="B122" s="44">
        <v>2</v>
      </c>
      <c r="C122" s="44">
        <v>5</v>
      </c>
      <c r="D122" s="5">
        <f t="shared" si="2"/>
        <v>1</v>
      </c>
      <c r="E122" s="5"/>
      <c r="F122" s="8" t="s">
        <v>435</v>
      </c>
      <c r="G122" s="26" t="s">
        <v>266</v>
      </c>
      <c r="H122" s="10" t="s">
        <v>267</v>
      </c>
      <c r="I122" s="16" t="s">
        <v>445</v>
      </c>
      <c r="J122" s="11"/>
    </row>
    <row r="123" spans="1:10" s="1" customFormat="1" ht="15" customHeight="1">
      <c r="A123" s="7">
        <f t="shared" si="3"/>
        <v>121</v>
      </c>
      <c r="B123" s="44">
        <v>2</v>
      </c>
      <c r="C123" s="44">
        <v>5</v>
      </c>
      <c r="D123" s="5">
        <f t="shared" si="2"/>
        <v>2</v>
      </c>
      <c r="E123" s="14" t="s">
        <v>21</v>
      </c>
      <c r="F123" s="8" t="s">
        <v>268</v>
      </c>
      <c r="G123" s="26" t="s">
        <v>266</v>
      </c>
      <c r="H123" s="10" t="s">
        <v>269</v>
      </c>
      <c r="I123" s="16" t="s">
        <v>270</v>
      </c>
      <c r="J123" s="11"/>
    </row>
    <row r="124" spans="1:10" s="1" customFormat="1" ht="15" customHeight="1">
      <c r="A124" s="7">
        <f t="shared" si="3"/>
        <v>122</v>
      </c>
      <c r="B124" s="44">
        <v>2</v>
      </c>
      <c r="C124" s="44">
        <v>5</v>
      </c>
      <c r="D124" s="5">
        <f t="shared" si="2"/>
        <v>3</v>
      </c>
      <c r="E124" s="5"/>
      <c r="F124" s="8" t="s">
        <v>271</v>
      </c>
      <c r="G124" s="26" t="s">
        <v>254</v>
      </c>
      <c r="H124" s="10" t="s">
        <v>272</v>
      </c>
      <c r="I124" s="16" t="s">
        <v>488</v>
      </c>
      <c r="J124" s="11"/>
    </row>
    <row r="125" spans="1:10" s="1" customFormat="1" ht="15" customHeight="1">
      <c r="A125" s="7">
        <f t="shared" si="3"/>
        <v>123</v>
      </c>
      <c r="B125" s="44">
        <v>2</v>
      </c>
      <c r="C125" s="44">
        <v>5</v>
      </c>
      <c r="D125" s="5">
        <f t="shared" si="2"/>
        <v>4</v>
      </c>
      <c r="E125" s="11"/>
      <c r="F125" s="8" t="s">
        <v>273</v>
      </c>
      <c r="G125" s="26" t="s">
        <v>266</v>
      </c>
      <c r="H125" s="10" t="s">
        <v>274</v>
      </c>
      <c r="I125" s="16" t="s">
        <v>520</v>
      </c>
      <c r="J125" s="11"/>
    </row>
    <row r="126" spans="1:10" s="1" customFormat="1" ht="15" customHeight="1">
      <c r="A126" s="7">
        <f t="shared" si="3"/>
        <v>124</v>
      </c>
      <c r="B126" s="44">
        <v>2</v>
      </c>
      <c r="C126" s="44">
        <v>5</v>
      </c>
      <c r="D126" s="5">
        <f t="shared" si="2"/>
        <v>5</v>
      </c>
      <c r="E126" s="13"/>
      <c r="F126" s="8" t="s">
        <v>275</v>
      </c>
      <c r="G126" s="26" t="s">
        <v>254</v>
      </c>
      <c r="H126" s="10" t="s">
        <v>276</v>
      </c>
      <c r="I126" s="16" t="s">
        <v>489</v>
      </c>
      <c r="J126" s="11"/>
    </row>
    <row r="127" spans="1:10" s="1" customFormat="1" ht="15" customHeight="1">
      <c r="A127" s="7">
        <f t="shared" si="3"/>
        <v>125</v>
      </c>
      <c r="B127" s="44">
        <v>2</v>
      </c>
      <c r="C127" s="44">
        <v>5</v>
      </c>
      <c r="D127" s="5">
        <f t="shared" si="2"/>
        <v>6</v>
      </c>
      <c r="E127" s="14"/>
      <c r="F127" s="8" t="s">
        <v>277</v>
      </c>
      <c r="G127" s="26" t="s">
        <v>266</v>
      </c>
      <c r="H127" s="10" t="s">
        <v>278</v>
      </c>
      <c r="J127" s="11"/>
    </row>
    <row r="128" spans="1:10" s="1" customFormat="1" ht="15" customHeight="1">
      <c r="A128" s="7">
        <f t="shared" si="3"/>
        <v>126</v>
      </c>
      <c r="B128" s="44">
        <v>2</v>
      </c>
      <c r="C128" s="44">
        <v>5</v>
      </c>
      <c r="D128" s="5">
        <f t="shared" si="2"/>
        <v>7</v>
      </c>
      <c r="E128" s="5"/>
      <c r="F128" s="8" t="s">
        <v>279</v>
      </c>
      <c r="G128" s="26" t="s">
        <v>266</v>
      </c>
      <c r="H128" s="10" t="s">
        <v>280</v>
      </c>
      <c r="I128" s="16" t="s">
        <v>483</v>
      </c>
      <c r="J128" s="11"/>
    </row>
    <row r="129" spans="1:10" s="1" customFormat="1" ht="15" customHeight="1">
      <c r="A129" s="7">
        <f t="shared" si="3"/>
        <v>127</v>
      </c>
      <c r="B129" s="44">
        <v>2</v>
      </c>
      <c r="C129" s="44">
        <v>5</v>
      </c>
      <c r="D129" s="5">
        <f t="shared" si="2"/>
        <v>8</v>
      </c>
      <c r="E129" s="13"/>
      <c r="F129" s="8" t="s">
        <v>281</v>
      </c>
      <c r="G129" s="26" t="s">
        <v>254</v>
      </c>
      <c r="H129" s="10" t="s">
        <v>282</v>
      </c>
      <c r="I129" s="16"/>
      <c r="J129" s="11"/>
    </row>
    <row r="130" spans="1:10" s="1" customFormat="1" ht="15" customHeight="1">
      <c r="A130" s="7">
        <f t="shared" si="3"/>
        <v>128</v>
      </c>
      <c r="B130" s="44">
        <v>2</v>
      </c>
      <c r="C130" s="44">
        <v>5</v>
      </c>
      <c r="D130" s="5">
        <f t="shared" si="2"/>
        <v>9</v>
      </c>
      <c r="E130" s="14"/>
      <c r="F130" s="8" t="s">
        <v>283</v>
      </c>
      <c r="G130" s="38"/>
      <c r="H130" s="37"/>
      <c r="I130" s="24" t="s">
        <v>284</v>
      </c>
      <c r="J130" s="11" t="s">
        <v>285</v>
      </c>
    </row>
    <row r="131" spans="1:10" s="1" customFormat="1" ht="15" customHeight="1">
      <c r="A131" s="7">
        <f t="shared" si="3"/>
        <v>129</v>
      </c>
      <c r="B131" s="46">
        <v>2</v>
      </c>
      <c r="C131" s="46">
        <v>6</v>
      </c>
      <c r="D131" s="5">
        <f>IF(AND(B129=B131,C129=C131),D129+1,1)</f>
        <v>1</v>
      </c>
      <c r="E131" s="14" t="s">
        <v>21</v>
      </c>
      <c r="F131" s="8" t="s">
        <v>286</v>
      </c>
      <c r="G131" s="12" t="s">
        <v>287</v>
      </c>
      <c r="H131" s="10" t="s">
        <v>288</v>
      </c>
      <c r="I131" s="16" t="s">
        <v>490</v>
      </c>
      <c r="J131" s="11"/>
    </row>
    <row r="132" spans="1:10" s="1" customFormat="1" ht="15" customHeight="1">
      <c r="A132" s="7">
        <f t="shared" si="3"/>
        <v>130</v>
      </c>
      <c r="B132" s="46">
        <v>2</v>
      </c>
      <c r="C132" s="46">
        <v>6</v>
      </c>
      <c r="D132" s="5">
        <f t="shared" si="2"/>
        <v>2</v>
      </c>
      <c r="E132" s="11"/>
      <c r="F132" s="8" t="s">
        <v>289</v>
      </c>
      <c r="G132" s="12" t="s">
        <v>287</v>
      </c>
      <c r="H132" s="10" t="s">
        <v>290</v>
      </c>
      <c r="I132" s="16" t="s">
        <v>491</v>
      </c>
      <c r="J132" s="11"/>
    </row>
    <row r="133" spans="1:10" s="1" customFormat="1" ht="15" customHeight="1">
      <c r="A133" s="7">
        <f t="shared" si="3"/>
        <v>131</v>
      </c>
      <c r="B133" s="46">
        <v>2</v>
      </c>
      <c r="C133" s="46">
        <v>6</v>
      </c>
      <c r="D133" s="5">
        <f t="shared" ref="D133:D189" si="4">IF(AND(B132=B133,C132=C133),D132+1,1)</f>
        <v>3</v>
      </c>
      <c r="E133" s="14"/>
      <c r="F133" s="8" t="s">
        <v>291</v>
      </c>
      <c r="G133" s="12" t="s">
        <v>287</v>
      </c>
      <c r="H133" s="10" t="s">
        <v>292</v>
      </c>
      <c r="I133" s="16" t="s">
        <v>604</v>
      </c>
      <c r="J133" s="11"/>
    </row>
    <row r="134" spans="1:10" s="1" customFormat="1" ht="15" customHeight="1">
      <c r="A134" s="7">
        <f t="shared" si="3"/>
        <v>132</v>
      </c>
      <c r="B134" s="46">
        <v>2</v>
      </c>
      <c r="C134" s="46">
        <v>6</v>
      </c>
      <c r="D134" s="5">
        <f t="shared" si="4"/>
        <v>4</v>
      </c>
      <c r="E134" s="5"/>
      <c r="F134" s="8" t="s">
        <v>293</v>
      </c>
      <c r="G134" s="12" t="s">
        <v>287</v>
      </c>
      <c r="H134" s="10" t="s">
        <v>294</v>
      </c>
      <c r="I134" s="16" t="s">
        <v>492</v>
      </c>
      <c r="J134" s="11"/>
    </row>
    <row r="135" spans="1:10" s="1" customFormat="1" ht="15" customHeight="1">
      <c r="A135" s="7">
        <f t="shared" si="3"/>
        <v>133</v>
      </c>
      <c r="B135" s="46">
        <v>2</v>
      </c>
      <c r="C135" s="46">
        <v>6</v>
      </c>
      <c r="D135" s="5">
        <f t="shared" si="4"/>
        <v>5</v>
      </c>
      <c r="E135" s="5"/>
      <c r="F135" s="8" t="s">
        <v>295</v>
      </c>
      <c r="G135" s="12" t="s">
        <v>296</v>
      </c>
      <c r="H135" s="10" t="s">
        <v>297</v>
      </c>
      <c r="I135" s="16" t="s">
        <v>298</v>
      </c>
      <c r="J135" s="11"/>
    </row>
    <row r="136" spans="1:10" s="1" customFormat="1" ht="15" customHeight="1">
      <c r="A136" s="7">
        <f t="shared" ref="A136:A190" si="5">ROW()-2</f>
        <v>134</v>
      </c>
      <c r="B136" s="46">
        <v>2</v>
      </c>
      <c r="C136" s="46">
        <v>6</v>
      </c>
      <c r="D136" s="5">
        <f t="shared" si="4"/>
        <v>6</v>
      </c>
      <c r="E136" s="13"/>
      <c r="F136" s="8" t="s">
        <v>299</v>
      </c>
      <c r="G136" s="12" t="s">
        <v>296</v>
      </c>
      <c r="H136" s="10" t="s">
        <v>300</v>
      </c>
      <c r="I136" s="16"/>
      <c r="J136" s="11"/>
    </row>
    <row r="137" spans="1:10" s="1" customFormat="1" ht="15" customHeight="1">
      <c r="A137" s="7">
        <f t="shared" si="5"/>
        <v>135</v>
      </c>
      <c r="B137" s="29">
        <v>2</v>
      </c>
      <c r="C137" s="29">
        <v>7</v>
      </c>
      <c r="D137" s="5">
        <f t="shared" si="4"/>
        <v>1</v>
      </c>
      <c r="E137" s="14" t="s">
        <v>21</v>
      </c>
      <c r="F137" s="8" t="s">
        <v>301</v>
      </c>
      <c r="G137" s="12" t="s">
        <v>239</v>
      </c>
      <c r="H137" s="16" t="s">
        <v>448</v>
      </c>
      <c r="I137" s="16" t="s">
        <v>640</v>
      </c>
      <c r="J137" s="11"/>
    </row>
    <row r="138" spans="1:10" s="1" customFormat="1" ht="15" customHeight="1">
      <c r="A138" s="7">
        <f t="shared" si="5"/>
        <v>136</v>
      </c>
      <c r="B138" s="29">
        <v>2</v>
      </c>
      <c r="C138" s="29">
        <v>7</v>
      </c>
      <c r="D138" s="5">
        <f t="shared" si="4"/>
        <v>2</v>
      </c>
      <c r="E138" s="5"/>
      <c r="F138" s="8" t="s">
        <v>302</v>
      </c>
      <c r="G138" s="12" t="s">
        <v>239</v>
      </c>
      <c r="H138" s="10" t="s">
        <v>303</v>
      </c>
      <c r="I138" s="10"/>
      <c r="J138" s="11"/>
    </row>
    <row r="139" spans="1:10" s="1" customFormat="1" ht="15" customHeight="1">
      <c r="A139" s="7">
        <f t="shared" si="5"/>
        <v>137</v>
      </c>
      <c r="B139" s="29">
        <v>2</v>
      </c>
      <c r="C139" s="29">
        <v>7</v>
      </c>
      <c r="D139" s="5">
        <f t="shared" si="4"/>
        <v>3</v>
      </c>
      <c r="E139" s="5"/>
      <c r="F139" s="8" t="s">
        <v>304</v>
      </c>
      <c r="G139" s="12" t="s">
        <v>239</v>
      </c>
      <c r="H139" s="10" t="s">
        <v>305</v>
      </c>
      <c r="I139" s="10" t="s">
        <v>493</v>
      </c>
      <c r="J139" s="11"/>
    </row>
    <row r="140" spans="1:10" s="1" customFormat="1" ht="15" customHeight="1">
      <c r="A140" s="7">
        <f t="shared" si="5"/>
        <v>138</v>
      </c>
      <c r="B140" s="29">
        <v>2</v>
      </c>
      <c r="C140" s="29">
        <v>7</v>
      </c>
      <c r="D140" s="5">
        <f t="shared" si="4"/>
        <v>4</v>
      </c>
      <c r="E140" s="5"/>
      <c r="F140" s="8" t="s">
        <v>306</v>
      </c>
      <c r="G140" s="12" t="s">
        <v>307</v>
      </c>
      <c r="H140" s="10" t="s">
        <v>308</v>
      </c>
      <c r="I140" s="10" t="s">
        <v>611</v>
      </c>
      <c r="J140" s="11"/>
    </row>
    <row r="141" spans="1:10" s="1" customFormat="1" ht="15" customHeight="1">
      <c r="A141" s="7">
        <f t="shared" si="5"/>
        <v>139</v>
      </c>
      <c r="B141" s="29">
        <v>2</v>
      </c>
      <c r="C141" s="29">
        <v>7</v>
      </c>
      <c r="D141" s="5">
        <f t="shared" si="4"/>
        <v>5</v>
      </c>
      <c r="E141" s="13"/>
      <c r="F141" s="8" t="s">
        <v>309</v>
      </c>
      <c r="G141" s="12" t="s">
        <v>239</v>
      </c>
      <c r="H141" s="10" t="s">
        <v>310</v>
      </c>
      <c r="I141" s="10"/>
      <c r="J141" s="11"/>
    </row>
    <row r="142" spans="1:10" s="1" customFormat="1" ht="15" customHeight="1">
      <c r="A142" s="7">
        <f t="shared" si="5"/>
        <v>140</v>
      </c>
      <c r="B142" s="29">
        <v>2</v>
      </c>
      <c r="C142" s="29">
        <v>7</v>
      </c>
      <c r="D142" s="5">
        <f t="shared" si="4"/>
        <v>6</v>
      </c>
      <c r="E142" s="5"/>
      <c r="F142" s="8" t="s">
        <v>311</v>
      </c>
      <c r="G142" s="26" t="s">
        <v>324</v>
      </c>
      <c r="H142" s="10" t="s">
        <v>312</v>
      </c>
      <c r="I142" s="10" t="s">
        <v>494</v>
      </c>
      <c r="J142" s="11"/>
    </row>
    <row r="143" spans="1:10" s="1" customFormat="1" ht="15" customHeight="1">
      <c r="A143" s="7">
        <f t="shared" si="5"/>
        <v>141</v>
      </c>
      <c r="B143" s="29">
        <v>2</v>
      </c>
      <c r="C143" s="29">
        <v>7</v>
      </c>
      <c r="D143" s="5">
        <f t="shared" si="4"/>
        <v>7</v>
      </c>
      <c r="E143" s="14"/>
      <c r="F143" s="8" t="s">
        <v>313</v>
      </c>
      <c r="G143" s="26" t="s">
        <v>573</v>
      </c>
      <c r="H143" s="16" t="s">
        <v>314</v>
      </c>
      <c r="I143" s="16" t="s">
        <v>495</v>
      </c>
      <c r="J143" s="11"/>
    </row>
    <row r="144" spans="1:10" s="1" customFormat="1" ht="15" customHeight="1">
      <c r="A144" s="7">
        <f t="shared" si="5"/>
        <v>142</v>
      </c>
      <c r="B144" s="29">
        <v>2</v>
      </c>
      <c r="C144" s="29">
        <v>7</v>
      </c>
      <c r="D144" s="5">
        <f t="shared" si="4"/>
        <v>8</v>
      </c>
      <c r="E144" s="13"/>
      <c r="F144" s="8" t="s">
        <v>318</v>
      </c>
      <c r="G144" s="26" t="s">
        <v>319</v>
      </c>
      <c r="H144" s="10" t="s">
        <v>320</v>
      </c>
      <c r="I144" s="10" t="s">
        <v>599</v>
      </c>
      <c r="J144" s="11"/>
    </row>
    <row r="145" spans="1:10" s="1" customFormat="1" ht="15" customHeight="1">
      <c r="A145" s="7">
        <f t="shared" si="5"/>
        <v>143</v>
      </c>
      <c r="B145" s="29">
        <v>2</v>
      </c>
      <c r="C145" s="29">
        <v>7</v>
      </c>
      <c r="D145" s="5">
        <f t="shared" si="4"/>
        <v>9</v>
      </c>
      <c r="E145" s="13"/>
      <c r="F145" s="8" t="s">
        <v>472</v>
      </c>
      <c r="G145" s="73"/>
      <c r="H145" s="37"/>
      <c r="I145" s="10" t="s">
        <v>476</v>
      </c>
      <c r="J145" s="11"/>
    </row>
    <row r="146" spans="1:10" s="1" customFormat="1" ht="15" customHeight="1">
      <c r="A146" s="7">
        <f t="shared" si="5"/>
        <v>144</v>
      </c>
      <c r="B146" s="46">
        <v>2</v>
      </c>
      <c r="C146" s="46">
        <v>8</v>
      </c>
      <c r="D146" s="5">
        <f>IF(AND(B145=B146,C145=C146),D145+1,1)</f>
        <v>1</v>
      </c>
      <c r="E146" s="14" t="s">
        <v>21</v>
      </c>
      <c r="F146" s="8" t="s">
        <v>321</v>
      </c>
      <c r="G146" s="26" t="s">
        <v>239</v>
      </c>
      <c r="H146" s="10" t="s">
        <v>322</v>
      </c>
      <c r="I146" s="10" t="s">
        <v>496</v>
      </c>
      <c r="J146" s="11"/>
    </row>
    <row r="147" spans="1:10" s="1" customFormat="1" ht="15" customHeight="1">
      <c r="A147" s="7">
        <f t="shared" si="5"/>
        <v>145</v>
      </c>
      <c r="B147" s="46">
        <v>2</v>
      </c>
      <c r="C147" s="46">
        <v>8</v>
      </c>
      <c r="D147" s="5">
        <f t="shared" si="4"/>
        <v>2</v>
      </c>
      <c r="E147" s="5"/>
      <c r="F147" s="8" t="s">
        <v>323</v>
      </c>
      <c r="G147" s="26" t="s">
        <v>574</v>
      </c>
      <c r="H147" s="10" t="s">
        <v>325</v>
      </c>
      <c r="I147" s="16"/>
      <c r="J147" s="11"/>
    </row>
    <row r="148" spans="1:10" s="1" customFormat="1" ht="15" customHeight="1">
      <c r="A148" s="7">
        <f t="shared" si="5"/>
        <v>146</v>
      </c>
      <c r="B148" s="46">
        <v>2</v>
      </c>
      <c r="C148" s="46">
        <v>8</v>
      </c>
      <c r="D148" s="5">
        <f t="shared" si="4"/>
        <v>3</v>
      </c>
      <c r="E148" s="5"/>
      <c r="F148" s="8" t="s">
        <v>326</v>
      </c>
      <c r="G148" s="26" t="s">
        <v>324</v>
      </c>
      <c r="H148" s="10" t="s">
        <v>327</v>
      </c>
      <c r="I148" s="16" t="s">
        <v>497</v>
      </c>
      <c r="J148" s="11"/>
    </row>
    <row r="149" spans="1:10" s="1" customFormat="1" ht="15" customHeight="1">
      <c r="A149" s="7">
        <f t="shared" si="5"/>
        <v>147</v>
      </c>
      <c r="B149" s="46">
        <v>2</v>
      </c>
      <c r="C149" s="46">
        <v>8</v>
      </c>
      <c r="D149" s="5">
        <f t="shared" si="4"/>
        <v>4</v>
      </c>
      <c r="E149" s="5"/>
      <c r="F149" s="8" t="s">
        <v>328</v>
      </c>
      <c r="G149" s="26" t="s">
        <v>324</v>
      </c>
      <c r="H149" s="10" t="s">
        <v>329</v>
      </c>
      <c r="I149" s="16" t="s">
        <v>498</v>
      </c>
      <c r="J149" s="11"/>
    </row>
    <row r="150" spans="1:10" s="1" customFormat="1" ht="15" customHeight="1">
      <c r="A150" s="7">
        <f t="shared" si="5"/>
        <v>148</v>
      </c>
      <c r="B150" s="46">
        <v>2</v>
      </c>
      <c r="C150" s="46">
        <v>8</v>
      </c>
      <c r="D150" s="5">
        <f t="shared" si="4"/>
        <v>5</v>
      </c>
      <c r="E150" s="13"/>
      <c r="F150" s="8" t="s">
        <v>330</v>
      </c>
      <c r="G150" s="26" t="s">
        <v>324</v>
      </c>
      <c r="H150" s="10" t="s">
        <v>331</v>
      </c>
      <c r="I150" s="16" t="s">
        <v>499</v>
      </c>
      <c r="J150" s="11"/>
    </row>
    <row r="151" spans="1:10" s="1" customFormat="1" ht="15" customHeight="1">
      <c r="A151" s="7">
        <f t="shared" si="5"/>
        <v>149</v>
      </c>
      <c r="B151" s="46">
        <v>2</v>
      </c>
      <c r="C151" s="46">
        <v>8</v>
      </c>
      <c r="D151" s="5">
        <f t="shared" si="4"/>
        <v>6</v>
      </c>
      <c r="E151" s="13"/>
      <c r="F151" s="8" t="s">
        <v>332</v>
      </c>
      <c r="G151" s="26" t="s">
        <v>575</v>
      </c>
      <c r="H151" s="10" t="s">
        <v>333</v>
      </c>
      <c r="I151" s="16" t="s">
        <v>500</v>
      </c>
      <c r="J151" s="11"/>
    </row>
    <row r="152" spans="1:10" s="1" customFormat="1" ht="15" customHeight="1">
      <c r="A152" s="7">
        <f t="shared" si="5"/>
        <v>150</v>
      </c>
      <c r="B152" s="46">
        <v>2</v>
      </c>
      <c r="C152" s="46">
        <v>8</v>
      </c>
      <c r="D152" s="5">
        <f t="shared" si="4"/>
        <v>7</v>
      </c>
      <c r="E152" s="13"/>
      <c r="F152" s="8" t="s">
        <v>473</v>
      </c>
      <c r="G152" s="38"/>
      <c r="H152" s="37"/>
      <c r="I152" s="10" t="s">
        <v>474</v>
      </c>
      <c r="J152" s="11"/>
    </row>
    <row r="153" spans="1:10" s="1" customFormat="1" ht="15" customHeight="1">
      <c r="A153" s="7">
        <f t="shared" si="5"/>
        <v>151</v>
      </c>
      <c r="B153" s="45">
        <v>2</v>
      </c>
      <c r="C153" s="45">
        <v>9</v>
      </c>
      <c r="D153" s="5">
        <f>IF(AND(B151=B153,C151=C153),D151+1,1)</f>
        <v>1</v>
      </c>
      <c r="E153" s="13"/>
      <c r="F153" s="8" t="s">
        <v>334</v>
      </c>
      <c r="G153" s="12" t="s">
        <v>324</v>
      </c>
      <c r="H153" s="10" t="s">
        <v>335</v>
      </c>
      <c r="I153" s="16" t="s">
        <v>501</v>
      </c>
      <c r="J153" s="11"/>
    </row>
    <row r="154" spans="1:10" s="1" customFormat="1" ht="15" customHeight="1">
      <c r="A154" s="7">
        <f t="shared" si="5"/>
        <v>152</v>
      </c>
      <c r="B154" s="45">
        <v>2</v>
      </c>
      <c r="C154" s="45">
        <v>9</v>
      </c>
      <c r="D154" s="5">
        <f t="shared" si="4"/>
        <v>2</v>
      </c>
      <c r="E154" s="14"/>
      <c r="F154" s="8" t="s">
        <v>336</v>
      </c>
      <c r="G154" s="12" t="s">
        <v>324</v>
      </c>
      <c r="H154" s="10" t="s">
        <v>337</v>
      </c>
      <c r="I154" s="16" t="s">
        <v>610</v>
      </c>
      <c r="J154" s="11"/>
    </row>
    <row r="155" spans="1:10" s="1" customFormat="1" ht="15" customHeight="1">
      <c r="A155" s="7">
        <f t="shared" si="5"/>
        <v>153</v>
      </c>
      <c r="B155" s="45">
        <v>2</v>
      </c>
      <c r="C155" s="45">
        <v>9</v>
      </c>
      <c r="D155" s="5">
        <f t="shared" si="4"/>
        <v>3</v>
      </c>
      <c r="E155" s="14" t="s">
        <v>21</v>
      </c>
      <c r="F155" s="8" t="s">
        <v>338</v>
      </c>
      <c r="G155" s="12" t="s">
        <v>324</v>
      </c>
      <c r="H155" s="10" t="s">
        <v>339</v>
      </c>
      <c r="I155" s="16" t="s">
        <v>502</v>
      </c>
      <c r="J155" s="11"/>
    </row>
    <row r="156" spans="1:10" s="1" customFormat="1" ht="15" customHeight="1">
      <c r="A156" s="7">
        <f t="shared" si="5"/>
        <v>154</v>
      </c>
      <c r="B156" s="45">
        <v>2</v>
      </c>
      <c r="C156" s="45">
        <v>9</v>
      </c>
      <c r="D156" s="5">
        <f t="shared" si="4"/>
        <v>4</v>
      </c>
      <c r="E156" s="5"/>
      <c r="F156" s="8" t="s">
        <v>340</v>
      </c>
      <c r="G156" s="12" t="s">
        <v>324</v>
      </c>
      <c r="H156" s="10" t="s">
        <v>341</v>
      </c>
      <c r="I156" s="16" t="s">
        <v>503</v>
      </c>
      <c r="J156" s="11"/>
    </row>
    <row r="157" spans="1:10" s="1" customFormat="1" ht="15" customHeight="1">
      <c r="A157" s="7">
        <f t="shared" si="5"/>
        <v>155</v>
      </c>
      <c r="B157" s="45">
        <v>2</v>
      </c>
      <c r="C157" s="45">
        <v>9</v>
      </c>
      <c r="D157" s="5">
        <f t="shared" si="4"/>
        <v>5</v>
      </c>
      <c r="E157" s="5"/>
      <c r="F157" s="8" t="s">
        <v>342</v>
      </c>
      <c r="G157" s="12" t="s">
        <v>324</v>
      </c>
      <c r="H157" s="10" t="s">
        <v>343</v>
      </c>
      <c r="I157" s="16" t="s">
        <v>504</v>
      </c>
      <c r="J157" s="11"/>
    </row>
    <row r="158" spans="1:10" s="1" customFormat="1" ht="15" customHeight="1">
      <c r="A158" s="7">
        <f t="shared" si="5"/>
        <v>156</v>
      </c>
      <c r="B158" s="45">
        <v>2</v>
      </c>
      <c r="C158" s="45">
        <v>9</v>
      </c>
      <c r="D158" s="5">
        <f t="shared" si="4"/>
        <v>6</v>
      </c>
      <c r="E158" s="11"/>
      <c r="F158" s="8" t="s">
        <v>505</v>
      </c>
      <c r="G158" s="12" t="s">
        <v>324</v>
      </c>
      <c r="H158" s="10" t="s">
        <v>344</v>
      </c>
      <c r="I158" s="16" t="s">
        <v>506</v>
      </c>
      <c r="J158" s="11"/>
    </row>
    <row r="159" spans="1:10" s="1" customFormat="1" ht="15" customHeight="1">
      <c r="A159" s="7">
        <f t="shared" si="5"/>
        <v>157</v>
      </c>
      <c r="B159" s="45">
        <v>2</v>
      </c>
      <c r="C159" s="45">
        <v>9</v>
      </c>
      <c r="D159" s="5">
        <f t="shared" si="4"/>
        <v>7</v>
      </c>
      <c r="E159" s="5"/>
      <c r="F159" s="8" t="s">
        <v>345</v>
      </c>
      <c r="G159" s="12" t="s">
        <v>346</v>
      </c>
      <c r="H159" s="10" t="s">
        <v>347</v>
      </c>
      <c r="I159" s="16"/>
      <c r="J159" s="11"/>
    </row>
    <row r="160" spans="1:10" s="1" customFormat="1" ht="15" customHeight="1">
      <c r="A160" s="7">
        <f t="shared" si="5"/>
        <v>158</v>
      </c>
      <c r="B160" s="45">
        <v>2</v>
      </c>
      <c r="C160" s="45">
        <v>9</v>
      </c>
      <c r="D160" s="5">
        <f t="shared" si="4"/>
        <v>8</v>
      </c>
      <c r="E160" s="13"/>
      <c r="F160" s="8" t="s">
        <v>457</v>
      </c>
      <c r="G160" s="12" t="s">
        <v>348</v>
      </c>
      <c r="H160" s="10" t="s">
        <v>349</v>
      </c>
      <c r="I160" s="16" t="s">
        <v>350</v>
      </c>
      <c r="J160" s="11"/>
    </row>
    <row r="161" spans="1:10" s="1" customFormat="1" ht="15" customHeight="1">
      <c r="A161" s="7">
        <f t="shared" si="5"/>
        <v>159</v>
      </c>
      <c r="B161" s="33">
        <v>2</v>
      </c>
      <c r="C161" s="33">
        <v>10</v>
      </c>
      <c r="D161" s="5">
        <f t="shared" si="4"/>
        <v>1</v>
      </c>
      <c r="E161" s="13"/>
      <c r="F161" s="8" t="s">
        <v>357</v>
      </c>
      <c r="G161" s="10" t="s">
        <v>358</v>
      </c>
      <c r="H161" s="10" t="s">
        <v>359</v>
      </c>
      <c r="I161" s="16" t="s">
        <v>507</v>
      </c>
      <c r="J161" s="11"/>
    </row>
    <row r="162" spans="1:10" s="1" customFormat="1" ht="15" customHeight="1">
      <c r="A162" s="7">
        <f t="shared" si="5"/>
        <v>160</v>
      </c>
      <c r="B162" s="33">
        <v>2</v>
      </c>
      <c r="C162" s="33">
        <v>10</v>
      </c>
      <c r="D162" s="5">
        <f t="shared" si="4"/>
        <v>2</v>
      </c>
      <c r="E162" s="5"/>
      <c r="F162" s="15" t="s">
        <v>369</v>
      </c>
      <c r="G162" s="10" t="s">
        <v>370</v>
      </c>
      <c r="H162" s="10" t="s">
        <v>371</v>
      </c>
      <c r="I162" s="16" t="s">
        <v>508</v>
      </c>
      <c r="J162" s="11"/>
    </row>
    <row r="163" spans="1:10" s="1" customFormat="1" ht="15" customHeight="1">
      <c r="A163" s="7">
        <f t="shared" si="5"/>
        <v>161</v>
      </c>
      <c r="B163" s="33">
        <v>2</v>
      </c>
      <c r="C163" s="33">
        <v>10</v>
      </c>
      <c r="D163" s="5">
        <f t="shared" si="4"/>
        <v>3</v>
      </c>
      <c r="E163" s="13"/>
      <c r="F163" s="8" t="s">
        <v>375</v>
      </c>
      <c r="G163" s="10" t="s">
        <v>376</v>
      </c>
      <c r="H163" s="10" t="s">
        <v>377</v>
      </c>
      <c r="I163" s="16" t="s">
        <v>509</v>
      </c>
      <c r="J163" s="11"/>
    </row>
    <row r="164" spans="1:10" s="1" customFormat="1" ht="15" customHeight="1">
      <c r="A164" s="7">
        <f t="shared" si="5"/>
        <v>162</v>
      </c>
      <c r="B164" s="33">
        <v>2</v>
      </c>
      <c r="C164" s="33">
        <v>10</v>
      </c>
      <c r="D164" s="5">
        <f t="shared" si="4"/>
        <v>4</v>
      </c>
      <c r="E164" s="5"/>
      <c r="F164" s="8" t="s">
        <v>381</v>
      </c>
      <c r="G164" s="9" t="s">
        <v>382</v>
      </c>
      <c r="H164" s="10" t="s">
        <v>383</v>
      </c>
      <c r="I164" s="16" t="s">
        <v>384</v>
      </c>
      <c r="J164" s="11"/>
    </row>
    <row r="165" spans="1:10" s="1" customFormat="1" ht="15" customHeight="1">
      <c r="A165" s="7">
        <f t="shared" si="5"/>
        <v>163</v>
      </c>
      <c r="B165" s="33">
        <v>2</v>
      </c>
      <c r="C165" s="33">
        <v>10</v>
      </c>
      <c r="D165" s="5">
        <f t="shared" si="4"/>
        <v>5</v>
      </c>
      <c r="E165" s="14"/>
      <c r="F165" s="8" t="s">
        <v>363</v>
      </c>
      <c r="G165" s="12" t="s">
        <v>364</v>
      </c>
      <c r="H165" s="10" t="s">
        <v>365</v>
      </c>
      <c r="I165" s="16" t="s">
        <v>510</v>
      </c>
      <c r="J165" s="11"/>
    </row>
    <row r="166" spans="1:10" s="1" customFormat="1" ht="15" customHeight="1">
      <c r="A166" s="7">
        <f t="shared" si="5"/>
        <v>164</v>
      </c>
      <c r="B166" s="33">
        <v>2</v>
      </c>
      <c r="C166" s="33">
        <v>10</v>
      </c>
      <c r="D166" s="5">
        <f t="shared" si="4"/>
        <v>6</v>
      </c>
      <c r="E166" s="5"/>
      <c r="F166" s="8" t="s">
        <v>360</v>
      </c>
      <c r="G166" s="10" t="s">
        <v>361</v>
      </c>
      <c r="H166" s="10" t="s">
        <v>362</v>
      </c>
      <c r="I166" s="16"/>
      <c r="J166" s="11"/>
    </row>
    <row r="167" spans="1:10" s="1" customFormat="1" ht="15" customHeight="1">
      <c r="A167" s="7">
        <f t="shared" si="5"/>
        <v>165</v>
      </c>
      <c r="B167" s="33">
        <v>2</v>
      </c>
      <c r="C167" s="33">
        <v>10</v>
      </c>
      <c r="D167" s="5">
        <f t="shared" si="4"/>
        <v>7</v>
      </c>
      <c r="E167" s="5"/>
      <c r="F167" s="8" t="s">
        <v>372</v>
      </c>
      <c r="G167" s="10" t="s">
        <v>373</v>
      </c>
      <c r="H167" s="10" t="s">
        <v>374</v>
      </c>
      <c r="I167" s="16" t="s">
        <v>511</v>
      </c>
      <c r="J167" s="11"/>
    </row>
    <row r="168" spans="1:10" s="1" customFormat="1" ht="15" customHeight="1">
      <c r="A168" s="7">
        <f t="shared" si="5"/>
        <v>166</v>
      </c>
      <c r="B168" s="33">
        <v>2</v>
      </c>
      <c r="C168" s="33">
        <v>10</v>
      </c>
      <c r="D168" s="5">
        <f t="shared" si="4"/>
        <v>8</v>
      </c>
      <c r="E168" s="14"/>
      <c r="F168" s="8" t="s">
        <v>378</v>
      </c>
      <c r="G168" s="10" t="s">
        <v>379</v>
      </c>
      <c r="H168" s="10" t="s">
        <v>380</v>
      </c>
      <c r="I168" s="16" t="s">
        <v>512</v>
      </c>
      <c r="J168" s="11"/>
    </row>
    <row r="169" spans="1:10" s="1" customFormat="1" ht="15" customHeight="1">
      <c r="A169" s="7">
        <f t="shared" si="5"/>
        <v>167</v>
      </c>
      <c r="B169" s="33">
        <v>2</v>
      </c>
      <c r="C169" s="33">
        <v>10</v>
      </c>
      <c r="D169" s="5">
        <f t="shared" si="4"/>
        <v>9</v>
      </c>
      <c r="E169" s="14" t="s">
        <v>21</v>
      </c>
      <c r="F169" s="8" t="s">
        <v>366</v>
      </c>
      <c r="G169" s="10" t="s">
        <v>367</v>
      </c>
      <c r="H169" s="10" t="s">
        <v>368</v>
      </c>
      <c r="I169" s="16" t="s">
        <v>513</v>
      </c>
      <c r="J169" s="11"/>
    </row>
    <row r="170" spans="1:10" s="1" customFormat="1" ht="15" customHeight="1">
      <c r="A170" s="7">
        <f t="shared" si="5"/>
        <v>168</v>
      </c>
      <c r="B170" s="33">
        <v>2</v>
      </c>
      <c r="C170" s="33">
        <v>10</v>
      </c>
      <c r="D170" s="5">
        <f t="shared" si="4"/>
        <v>10</v>
      </c>
      <c r="E170" s="5"/>
      <c r="F170" s="8" t="s">
        <v>354</v>
      </c>
      <c r="G170" s="12" t="s">
        <v>355</v>
      </c>
      <c r="H170" s="10" t="s">
        <v>356</v>
      </c>
      <c r="I170" s="16" t="s">
        <v>514</v>
      </c>
      <c r="J170" s="11"/>
    </row>
    <row r="171" spans="1:10" s="1" customFormat="1" ht="15" customHeight="1">
      <c r="A171" s="7">
        <f t="shared" si="5"/>
        <v>169</v>
      </c>
      <c r="B171" s="33">
        <v>2</v>
      </c>
      <c r="C171" s="33">
        <v>10</v>
      </c>
      <c r="D171" s="5">
        <f t="shared" si="4"/>
        <v>11</v>
      </c>
      <c r="E171" s="5"/>
      <c r="F171" s="8" t="s">
        <v>351</v>
      </c>
      <c r="G171" s="12" t="s">
        <v>352</v>
      </c>
      <c r="H171" s="10" t="s">
        <v>353</v>
      </c>
      <c r="I171" s="16"/>
      <c r="J171" s="11"/>
    </row>
    <row r="172" spans="1:10" s="58" customFormat="1" ht="15" customHeight="1">
      <c r="A172" s="7">
        <f t="shared" si="5"/>
        <v>170</v>
      </c>
      <c r="B172" s="29">
        <v>2</v>
      </c>
      <c r="C172" s="29">
        <v>11</v>
      </c>
      <c r="D172" s="5">
        <f t="shared" si="4"/>
        <v>1</v>
      </c>
      <c r="E172" s="14"/>
      <c r="F172" s="15" t="s">
        <v>467</v>
      </c>
      <c r="G172" s="26" t="s">
        <v>385</v>
      </c>
      <c r="H172" s="16" t="s">
        <v>460</v>
      </c>
      <c r="I172" s="16" t="s">
        <v>453</v>
      </c>
      <c r="J172" s="21"/>
    </row>
    <row r="173" spans="1:10" s="1" customFormat="1" ht="15" customHeight="1">
      <c r="A173" s="7">
        <f t="shared" si="5"/>
        <v>171</v>
      </c>
      <c r="B173" s="29">
        <v>2</v>
      </c>
      <c r="C173" s="29">
        <v>11</v>
      </c>
      <c r="D173" s="5">
        <f t="shared" si="4"/>
        <v>2</v>
      </c>
      <c r="E173" s="5"/>
      <c r="F173" s="8" t="s">
        <v>386</v>
      </c>
      <c r="G173" s="12" t="s">
        <v>385</v>
      </c>
      <c r="H173" s="10" t="s">
        <v>387</v>
      </c>
      <c r="I173" s="16" t="s">
        <v>515</v>
      </c>
      <c r="J173" s="11"/>
    </row>
    <row r="174" spans="1:10" s="1" customFormat="1" ht="15" customHeight="1">
      <c r="A174" s="7">
        <f t="shared" si="5"/>
        <v>172</v>
      </c>
      <c r="B174" s="29">
        <v>2</v>
      </c>
      <c r="C174" s="29">
        <v>11</v>
      </c>
      <c r="D174" s="5">
        <f t="shared" si="4"/>
        <v>3</v>
      </c>
      <c r="E174" s="14" t="s">
        <v>21</v>
      </c>
      <c r="F174" s="8" t="s">
        <v>388</v>
      </c>
      <c r="G174" s="12" t="s">
        <v>385</v>
      </c>
      <c r="H174" s="10" t="s">
        <v>447</v>
      </c>
      <c r="I174" s="16" t="s">
        <v>516</v>
      </c>
      <c r="J174" s="11"/>
    </row>
    <row r="175" spans="1:10" s="1" customFormat="1" ht="15" customHeight="1">
      <c r="A175" s="7">
        <f t="shared" si="5"/>
        <v>173</v>
      </c>
      <c r="B175" s="29">
        <v>2</v>
      </c>
      <c r="C175" s="29">
        <v>11</v>
      </c>
      <c r="D175" s="5">
        <f t="shared" si="4"/>
        <v>4</v>
      </c>
      <c r="E175" s="5"/>
      <c r="F175" s="8" t="s">
        <v>389</v>
      </c>
      <c r="G175" s="12" t="s">
        <v>385</v>
      </c>
      <c r="H175" s="10" t="s">
        <v>390</v>
      </c>
      <c r="I175" s="16" t="s">
        <v>522</v>
      </c>
      <c r="J175" s="11"/>
    </row>
    <row r="176" spans="1:10" s="1" customFormat="1" ht="15" customHeight="1">
      <c r="A176" s="7">
        <f t="shared" si="5"/>
        <v>174</v>
      </c>
      <c r="B176" s="29">
        <v>2</v>
      </c>
      <c r="C176" s="29">
        <v>11</v>
      </c>
      <c r="D176" s="5">
        <f t="shared" si="4"/>
        <v>5</v>
      </c>
      <c r="E176" s="5"/>
      <c r="F176" s="8" t="s">
        <v>391</v>
      </c>
      <c r="G176" s="12" t="s">
        <v>324</v>
      </c>
      <c r="H176" s="10" t="s">
        <v>392</v>
      </c>
      <c r="I176" s="16" t="s">
        <v>620</v>
      </c>
      <c r="J176" s="11"/>
    </row>
    <row r="177" spans="1:10" s="1" customFormat="1" ht="15" customHeight="1">
      <c r="A177" s="7">
        <f t="shared" si="5"/>
        <v>175</v>
      </c>
      <c r="B177" s="29">
        <v>2</v>
      </c>
      <c r="C177" s="29">
        <v>11</v>
      </c>
      <c r="D177" s="5">
        <f t="shared" si="4"/>
        <v>6</v>
      </c>
      <c r="E177" s="5"/>
      <c r="F177" s="8" t="s">
        <v>393</v>
      </c>
      <c r="G177" s="12" t="s">
        <v>324</v>
      </c>
      <c r="H177" s="10" t="s">
        <v>394</v>
      </c>
      <c r="I177" s="16" t="s">
        <v>395</v>
      </c>
      <c r="J177" s="11"/>
    </row>
    <row r="178" spans="1:10" s="1" customFormat="1" ht="15" customHeight="1">
      <c r="A178" s="7">
        <f t="shared" si="5"/>
        <v>176</v>
      </c>
      <c r="B178" s="29">
        <v>2</v>
      </c>
      <c r="C178" s="29">
        <v>11</v>
      </c>
      <c r="D178" s="5">
        <f t="shared" si="4"/>
        <v>7</v>
      </c>
      <c r="E178" s="13"/>
      <c r="F178" s="8" t="s">
        <v>396</v>
      </c>
      <c r="G178" s="12" t="s">
        <v>397</v>
      </c>
      <c r="H178" s="10" t="s">
        <v>398</v>
      </c>
      <c r="I178" s="16" t="s">
        <v>517</v>
      </c>
      <c r="J178" s="11"/>
    </row>
    <row r="179" spans="1:10" s="1" customFormat="1" ht="15" customHeight="1">
      <c r="A179" s="7">
        <f t="shared" si="5"/>
        <v>177</v>
      </c>
      <c r="B179" s="29">
        <v>2</v>
      </c>
      <c r="C179" s="29">
        <v>11</v>
      </c>
      <c r="D179" s="5">
        <f t="shared" si="4"/>
        <v>8</v>
      </c>
      <c r="E179" s="14"/>
      <c r="F179" s="8" t="s">
        <v>399</v>
      </c>
      <c r="G179" s="12" t="s">
        <v>397</v>
      </c>
      <c r="H179" s="10" t="s">
        <v>400</v>
      </c>
      <c r="I179" s="16" t="s">
        <v>521</v>
      </c>
      <c r="J179" s="11"/>
    </row>
    <row r="180" spans="1:10" s="1" customFormat="1" ht="15" customHeight="1">
      <c r="A180" s="7">
        <f t="shared" si="5"/>
        <v>178</v>
      </c>
      <c r="B180" s="29">
        <v>2</v>
      </c>
      <c r="C180" s="29">
        <v>11</v>
      </c>
      <c r="D180" s="5">
        <f t="shared" si="4"/>
        <v>9</v>
      </c>
      <c r="E180" s="13"/>
      <c r="F180" s="8" t="s">
        <v>401</v>
      </c>
      <c r="G180" s="26" t="s">
        <v>571</v>
      </c>
      <c r="H180" s="10" t="s">
        <v>402</v>
      </c>
      <c r="I180" s="16" t="s">
        <v>579</v>
      </c>
      <c r="J180" s="11"/>
    </row>
    <row r="181" spans="1:10" s="1" customFormat="1" ht="15" customHeight="1">
      <c r="A181" s="7">
        <f t="shared" si="5"/>
        <v>179</v>
      </c>
      <c r="B181" s="29">
        <v>2</v>
      </c>
      <c r="C181" s="29">
        <v>11</v>
      </c>
      <c r="D181" s="5">
        <f t="shared" si="4"/>
        <v>10</v>
      </c>
      <c r="E181" s="5"/>
      <c r="F181" s="10" t="s">
        <v>405</v>
      </c>
      <c r="G181" s="26" t="s">
        <v>397</v>
      </c>
      <c r="H181" s="52" t="s">
        <v>403</v>
      </c>
      <c r="I181" s="24" t="s">
        <v>404</v>
      </c>
      <c r="J181" s="11" t="s">
        <v>458</v>
      </c>
    </row>
    <row r="182" spans="1:10" s="1" customFormat="1" ht="15" customHeight="1">
      <c r="A182" s="7">
        <f t="shared" si="5"/>
        <v>180</v>
      </c>
      <c r="B182" s="33">
        <v>2</v>
      </c>
      <c r="C182" s="33">
        <v>12</v>
      </c>
      <c r="D182" s="5">
        <f t="shared" si="4"/>
        <v>1</v>
      </c>
      <c r="E182" s="5"/>
      <c r="F182" s="8" t="s">
        <v>406</v>
      </c>
      <c r="G182" s="10" t="s">
        <v>407</v>
      </c>
      <c r="H182" s="16" t="s">
        <v>408</v>
      </c>
      <c r="I182" s="16" t="s">
        <v>639</v>
      </c>
      <c r="J182" s="11"/>
    </row>
    <row r="183" spans="1:10" s="1" customFormat="1" ht="15" customHeight="1">
      <c r="A183" s="7">
        <f t="shared" si="5"/>
        <v>181</v>
      </c>
      <c r="B183" s="33">
        <v>2</v>
      </c>
      <c r="C183" s="33">
        <v>12</v>
      </c>
      <c r="D183" s="5">
        <f t="shared" si="4"/>
        <v>2</v>
      </c>
      <c r="E183" s="13"/>
      <c r="F183" s="8" t="s">
        <v>409</v>
      </c>
      <c r="G183" s="10" t="s">
        <v>606</v>
      </c>
      <c r="H183" s="10" t="s">
        <v>410</v>
      </c>
      <c r="I183" s="16" t="s">
        <v>607</v>
      </c>
      <c r="J183" s="11"/>
    </row>
    <row r="184" spans="1:10" s="1" customFormat="1" ht="15" customHeight="1">
      <c r="A184" s="7">
        <f t="shared" si="5"/>
        <v>182</v>
      </c>
      <c r="B184" s="33">
        <v>2</v>
      </c>
      <c r="C184" s="33">
        <v>12</v>
      </c>
      <c r="D184" s="5">
        <f t="shared" si="4"/>
        <v>3</v>
      </c>
      <c r="E184" s="13"/>
      <c r="F184" s="8" t="s">
        <v>411</v>
      </c>
      <c r="G184" s="10" t="s">
        <v>412</v>
      </c>
      <c r="H184" s="10" t="s">
        <v>413</v>
      </c>
      <c r="I184" s="16" t="s">
        <v>586</v>
      </c>
      <c r="J184" s="11"/>
    </row>
    <row r="185" spans="1:10" s="1" customFormat="1" ht="15" customHeight="1">
      <c r="A185" s="7">
        <f t="shared" si="5"/>
        <v>183</v>
      </c>
      <c r="B185" s="33">
        <v>2</v>
      </c>
      <c r="C185" s="33">
        <v>12</v>
      </c>
      <c r="D185" s="5">
        <f t="shared" si="4"/>
        <v>4</v>
      </c>
      <c r="E185" s="5"/>
      <c r="F185" s="8" t="s">
        <v>414</v>
      </c>
      <c r="G185" s="10" t="s">
        <v>415</v>
      </c>
      <c r="H185" s="10" t="s">
        <v>416</v>
      </c>
      <c r="I185" s="16"/>
      <c r="J185" s="11"/>
    </row>
    <row r="186" spans="1:10" s="1" customFormat="1" ht="15" customHeight="1">
      <c r="A186" s="7">
        <f t="shared" si="5"/>
        <v>184</v>
      </c>
      <c r="B186" s="33">
        <v>2</v>
      </c>
      <c r="C186" s="33">
        <v>12</v>
      </c>
      <c r="D186" s="5">
        <f t="shared" si="4"/>
        <v>5</v>
      </c>
      <c r="E186" s="5"/>
      <c r="F186" s="8" t="s">
        <v>417</v>
      </c>
      <c r="G186" s="10" t="s">
        <v>418</v>
      </c>
      <c r="H186" s="10" t="s">
        <v>419</v>
      </c>
      <c r="I186" s="16"/>
      <c r="J186" s="11"/>
    </row>
    <row r="187" spans="1:10" s="1" customFormat="1" ht="15" customHeight="1">
      <c r="A187" s="7">
        <f t="shared" si="5"/>
        <v>185</v>
      </c>
      <c r="B187" s="33">
        <v>2</v>
      </c>
      <c r="C187" s="33">
        <v>12</v>
      </c>
      <c r="D187" s="5">
        <f t="shared" si="4"/>
        <v>6</v>
      </c>
      <c r="E187" s="5"/>
      <c r="F187" s="8" t="s">
        <v>420</v>
      </c>
      <c r="G187" s="37" t="s">
        <v>418</v>
      </c>
      <c r="H187" s="37"/>
      <c r="I187" s="42" t="s">
        <v>421</v>
      </c>
      <c r="J187" s="11"/>
    </row>
    <row r="188" spans="1:10" s="58" customFormat="1" ht="15" customHeight="1">
      <c r="A188" s="7">
        <f t="shared" si="5"/>
        <v>186</v>
      </c>
      <c r="B188" s="33">
        <v>2</v>
      </c>
      <c r="C188" s="33">
        <v>12</v>
      </c>
      <c r="D188" s="14">
        <f t="shared" si="4"/>
        <v>7</v>
      </c>
      <c r="E188" s="14"/>
      <c r="F188" s="15" t="s">
        <v>422</v>
      </c>
      <c r="G188" s="16" t="s">
        <v>423</v>
      </c>
      <c r="H188" s="16" t="s">
        <v>424</v>
      </c>
      <c r="I188" s="16" t="s">
        <v>602</v>
      </c>
      <c r="J188" s="21"/>
    </row>
    <row r="189" spans="1:10" s="1" customFormat="1" ht="15" customHeight="1">
      <c r="A189" s="7">
        <f t="shared" si="5"/>
        <v>187</v>
      </c>
      <c r="B189" s="33">
        <v>2</v>
      </c>
      <c r="C189" s="33">
        <v>12</v>
      </c>
      <c r="D189" s="5">
        <f t="shared" si="4"/>
        <v>8</v>
      </c>
      <c r="E189" s="14" t="s">
        <v>21</v>
      </c>
      <c r="F189" s="8" t="s">
        <v>425</v>
      </c>
      <c r="G189" s="10" t="s">
        <v>426</v>
      </c>
      <c r="H189" s="10" t="s">
        <v>446</v>
      </c>
      <c r="I189" s="16" t="s">
        <v>608</v>
      </c>
      <c r="J189" s="11"/>
    </row>
    <row r="190" spans="1:10" s="1" customFormat="1" ht="15" customHeight="1">
      <c r="A190" s="7">
        <f t="shared" si="5"/>
        <v>188</v>
      </c>
      <c r="B190" s="33">
        <v>2</v>
      </c>
      <c r="C190" s="33">
        <v>12</v>
      </c>
      <c r="D190" s="14">
        <f>IF(AND(B189=B190,C189=C190),D189+1,1)</f>
        <v>9</v>
      </c>
      <c r="E190" s="14"/>
      <c r="F190" s="15" t="s">
        <v>478</v>
      </c>
      <c r="G190" s="16" t="s">
        <v>479</v>
      </c>
      <c r="H190" s="16" t="s">
        <v>480</v>
      </c>
      <c r="I190" s="16" t="s">
        <v>481</v>
      </c>
      <c r="J190" s="11"/>
    </row>
    <row r="192" spans="1:10" s="3" customFormat="1">
      <c r="A192" t="s">
        <v>431</v>
      </c>
      <c r="B192"/>
      <c r="C192"/>
      <c r="D192" s="28" t="s">
        <v>21</v>
      </c>
      <c r="E192" t="s">
        <v>450</v>
      </c>
      <c r="H192" s="49"/>
      <c r="I192"/>
      <c r="J192"/>
    </row>
    <row r="193" spans="1:10" s="3" customFormat="1">
      <c r="A193"/>
      <c r="B193"/>
      <c r="C193"/>
      <c r="D193" s="35"/>
      <c r="E193" s="31" t="s">
        <v>432</v>
      </c>
      <c r="H193" s="24"/>
      <c r="I193" t="s">
        <v>572</v>
      </c>
      <c r="J193"/>
    </row>
    <row r="194" spans="1:10" s="3" customFormat="1">
      <c r="A194"/>
      <c r="B194"/>
      <c r="C194"/>
      <c r="D194" s="43"/>
      <c r="E194" t="s">
        <v>441</v>
      </c>
      <c r="I194"/>
      <c r="J194"/>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6427-F40D-4A26-8C7C-5BCD42BA07F1}">
  <sheetPr>
    <pageSetUpPr fitToPage="1"/>
  </sheetPr>
  <dimension ref="A1:J195"/>
  <sheetViews>
    <sheetView view="pageBreakPreview" zoomScaleNormal="120" zoomScaleSheetLayoutView="100" workbookViewId="0">
      <pane xSplit="6" ySplit="2" topLeftCell="G172" activePane="bottomRight" state="frozen"/>
      <selection pane="topRight" activeCell="G1" sqref="G1"/>
      <selection pane="bottomLeft" activeCell="A3" sqref="A3"/>
      <selection pane="bottomRight" activeCell="D194" sqref="D194:E194"/>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s>
  <sheetData>
    <row r="1" spans="1:10" ht="40.5" customHeight="1">
      <c r="A1" s="155" t="s">
        <v>624</v>
      </c>
      <c r="B1" s="156"/>
      <c r="C1" s="156"/>
      <c r="D1" s="156"/>
      <c r="E1" s="156"/>
      <c r="F1" s="156"/>
      <c r="G1" s="156"/>
      <c r="H1" s="156"/>
      <c r="I1" s="156"/>
      <c r="J1" s="11"/>
    </row>
    <row r="2" spans="1:10" s="2" customFormat="1" ht="21" customHeight="1">
      <c r="A2" s="5" t="s">
        <v>0</v>
      </c>
      <c r="B2" s="5" t="s">
        <v>1</v>
      </c>
      <c r="C2" s="5" t="s">
        <v>2</v>
      </c>
      <c r="D2" s="5" t="s">
        <v>3</v>
      </c>
      <c r="E2" s="5" t="s">
        <v>4</v>
      </c>
      <c r="F2" s="5" t="s">
        <v>5</v>
      </c>
      <c r="G2" s="5" t="s">
        <v>6</v>
      </c>
      <c r="H2" s="5" t="s">
        <v>7</v>
      </c>
      <c r="I2" s="5" t="s">
        <v>8</v>
      </c>
      <c r="J2" s="6"/>
    </row>
    <row r="3" spans="1:10" s="1" customFormat="1" ht="15" customHeight="1">
      <c r="A3" s="7">
        <f>ROW()-2</f>
        <v>1</v>
      </c>
      <c r="B3" s="46">
        <v>1</v>
      </c>
      <c r="C3" s="46">
        <v>1</v>
      </c>
      <c r="D3" s="5">
        <f>IF(AND(B2=B3,C2=C3),D2+1,1)</f>
        <v>1</v>
      </c>
      <c r="E3" s="5"/>
      <c r="F3" s="8" t="s">
        <v>9</v>
      </c>
      <c r="G3" s="9" t="s">
        <v>10</v>
      </c>
      <c r="H3" s="10" t="s">
        <v>11</v>
      </c>
      <c r="I3" s="10" t="s">
        <v>484</v>
      </c>
      <c r="J3" s="11"/>
    </row>
    <row r="4" spans="1:10" s="1" customFormat="1" ht="15" customHeight="1">
      <c r="A4" s="7">
        <f t="shared" ref="A4:A69" si="0">ROW()-2</f>
        <v>2</v>
      </c>
      <c r="B4" s="46">
        <v>1</v>
      </c>
      <c r="C4" s="46">
        <v>1</v>
      </c>
      <c r="D4" s="5">
        <f>IF(AND(B3=B4,C3=C4),D3+1,1)</f>
        <v>2</v>
      </c>
      <c r="E4" s="5"/>
      <c r="F4" s="8" t="s">
        <v>12</v>
      </c>
      <c r="G4" s="12" t="s">
        <v>10</v>
      </c>
      <c r="H4" s="10" t="s">
        <v>13</v>
      </c>
      <c r="I4" s="10" t="s">
        <v>528</v>
      </c>
      <c r="J4" s="11"/>
    </row>
    <row r="5" spans="1:10" s="1" customFormat="1" ht="15" customHeight="1">
      <c r="A5" s="7">
        <f t="shared" si="0"/>
        <v>3</v>
      </c>
      <c r="B5" s="46">
        <v>1</v>
      </c>
      <c r="C5" s="46">
        <v>1</v>
      </c>
      <c r="D5" s="5">
        <f t="shared" ref="D5:D69" si="1">IF(AND(B4=B5,C4=C5),D4+1,1)</f>
        <v>3</v>
      </c>
      <c r="E5" s="13"/>
      <c r="F5" s="8" t="s">
        <v>14</v>
      </c>
      <c r="G5" s="12" t="s">
        <v>10</v>
      </c>
      <c r="H5" s="10" t="s">
        <v>15</v>
      </c>
      <c r="I5" s="10" t="s">
        <v>600</v>
      </c>
      <c r="J5" s="11"/>
    </row>
    <row r="6" spans="1:10" s="1" customFormat="1" ht="15" customHeight="1">
      <c r="A6" s="7">
        <f t="shared" si="0"/>
        <v>4</v>
      </c>
      <c r="B6" s="46">
        <v>1</v>
      </c>
      <c r="C6" s="46">
        <v>1</v>
      </c>
      <c r="D6" s="5">
        <f t="shared" si="1"/>
        <v>4</v>
      </c>
      <c r="E6" s="5"/>
      <c r="F6" s="8" t="s">
        <v>16</v>
      </c>
      <c r="G6" s="12" t="s">
        <v>10</v>
      </c>
      <c r="H6" s="10" t="s">
        <v>17</v>
      </c>
      <c r="I6" s="10" t="s">
        <v>529</v>
      </c>
      <c r="J6" s="11"/>
    </row>
    <row r="7" spans="1:10" s="1" customFormat="1" ht="15" customHeight="1">
      <c r="A7" s="7">
        <f t="shared" si="0"/>
        <v>5</v>
      </c>
      <c r="B7" s="46">
        <v>1</v>
      </c>
      <c r="C7" s="46">
        <v>1</v>
      </c>
      <c r="D7" s="5">
        <f t="shared" si="1"/>
        <v>5</v>
      </c>
      <c r="E7" s="13"/>
      <c r="F7" s="15" t="s">
        <v>18</v>
      </c>
      <c r="G7" s="26" t="s">
        <v>23</v>
      </c>
      <c r="H7" s="16" t="s">
        <v>19</v>
      </c>
      <c r="I7" s="10" t="s">
        <v>530</v>
      </c>
      <c r="J7" s="11"/>
    </row>
    <row r="8" spans="1:10" s="1" customFormat="1" ht="15" customHeight="1">
      <c r="A8" s="7">
        <f t="shared" si="0"/>
        <v>6</v>
      </c>
      <c r="B8" s="46">
        <v>1</v>
      </c>
      <c r="C8" s="46">
        <v>1</v>
      </c>
      <c r="D8" s="5">
        <f t="shared" si="1"/>
        <v>6</v>
      </c>
      <c r="E8" s="5"/>
      <c r="F8" s="15" t="s">
        <v>578</v>
      </c>
      <c r="G8" s="26" t="s">
        <v>23</v>
      </c>
      <c r="H8" s="42"/>
      <c r="I8" s="10" t="s">
        <v>533</v>
      </c>
      <c r="J8" s="11"/>
    </row>
    <row r="9" spans="1:10" s="1" customFormat="1" ht="15" customHeight="1">
      <c r="A9" s="7">
        <f t="shared" si="0"/>
        <v>7</v>
      </c>
      <c r="B9" s="46">
        <v>1</v>
      </c>
      <c r="C9" s="46">
        <v>1</v>
      </c>
      <c r="D9" s="5">
        <f t="shared" si="1"/>
        <v>7</v>
      </c>
      <c r="E9" s="14"/>
      <c r="F9" s="15" t="s">
        <v>22</v>
      </c>
      <c r="G9" s="12" t="s">
        <v>23</v>
      </c>
      <c r="H9" s="16" t="s">
        <v>24</v>
      </c>
      <c r="I9" s="10" t="s">
        <v>531</v>
      </c>
      <c r="J9" s="11"/>
    </row>
    <row r="10" spans="1:10" s="1" customFormat="1" ht="15" customHeight="1">
      <c r="A10" s="7">
        <f t="shared" si="0"/>
        <v>8</v>
      </c>
      <c r="B10" s="46">
        <v>1</v>
      </c>
      <c r="C10" s="46">
        <v>1</v>
      </c>
      <c r="D10" s="5">
        <f t="shared" si="1"/>
        <v>8</v>
      </c>
      <c r="E10" s="5"/>
      <c r="F10" s="15" t="s">
        <v>25</v>
      </c>
      <c r="G10" s="12" t="s">
        <v>23</v>
      </c>
      <c r="H10" s="16" t="s">
        <v>26</v>
      </c>
      <c r="I10" s="10" t="s">
        <v>27</v>
      </c>
      <c r="J10" s="11"/>
    </row>
    <row r="11" spans="1:10" s="1" customFormat="1" ht="15" customHeight="1">
      <c r="A11" s="7">
        <f t="shared" si="0"/>
        <v>9</v>
      </c>
      <c r="B11" s="46">
        <v>1</v>
      </c>
      <c r="C11" s="46">
        <v>1</v>
      </c>
      <c r="D11" s="5">
        <f t="shared" si="1"/>
        <v>9</v>
      </c>
      <c r="E11" s="14" t="s">
        <v>21</v>
      </c>
      <c r="F11" s="15" t="s">
        <v>28</v>
      </c>
      <c r="G11" s="12" t="s">
        <v>23</v>
      </c>
      <c r="H11" s="16" t="s">
        <v>29</v>
      </c>
      <c r="I11" s="10" t="s">
        <v>532</v>
      </c>
      <c r="J11" s="11"/>
    </row>
    <row r="12" spans="1:10" s="1" customFormat="1" ht="15" customHeight="1">
      <c r="A12" s="7">
        <f t="shared" si="0"/>
        <v>10</v>
      </c>
      <c r="B12" s="46">
        <v>1</v>
      </c>
      <c r="C12" s="46">
        <v>1</v>
      </c>
      <c r="D12" s="5">
        <f t="shared" ref="D12" si="2">IF(AND(B11=B12,C11=C12),D11+1,1)</f>
        <v>10</v>
      </c>
      <c r="E12" s="5"/>
      <c r="F12" s="50" t="s">
        <v>629</v>
      </c>
      <c r="G12" s="74"/>
      <c r="H12" s="74"/>
      <c r="I12" s="17"/>
      <c r="J12" s="11"/>
    </row>
    <row r="13" spans="1:10" s="1" customFormat="1" ht="15" customHeight="1">
      <c r="A13" s="7">
        <f t="shared" si="0"/>
        <v>11</v>
      </c>
      <c r="B13" s="44">
        <v>1</v>
      </c>
      <c r="C13" s="44">
        <v>2</v>
      </c>
      <c r="D13" s="5">
        <f>IF(AND(B11=B13,C11=C13),D11+1,1)</f>
        <v>1</v>
      </c>
      <c r="E13" s="5"/>
      <c r="F13" s="8" t="s">
        <v>30</v>
      </c>
      <c r="G13" s="12" t="s">
        <v>31</v>
      </c>
      <c r="H13" s="10" t="s">
        <v>32</v>
      </c>
      <c r="I13" s="10"/>
      <c r="J13" s="11"/>
    </row>
    <row r="14" spans="1:10" s="1" customFormat="1" ht="15" customHeight="1">
      <c r="A14" s="7">
        <f t="shared" si="0"/>
        <v>12</v>
      </c>
      <c r="B14" s="44">
        <v>1</v>
      </c>
      <c r="C14" s="44">
        <v>2</v>
      </c>
      <c r="D14" s="5">
        <f t="shared" si="1"/>
        <v>2</v>
      </c>
      <c r="E14" s="13"/>
      <c r="F14" s="8" t="s">
        <v>33</v>
      </c>
      <c r="G14" s="12" t="s">
        <v>34</v>
      </c>
      <c r="H14" s="10" t="s">
        <v>35</v>
      </c>
      <c r="I14" s="10" t="s">
        <v>36</v>
      </c>
      <c r="J14" s="11"/>
    </row>
    <row r="15" spans="1:10" s="1" customFormat="1" ht="15" customHeight="1">
      <c r="A15" s="7">
        <f t="shared" si="0"/>
        <v>13</v>
      </c>
      <c r="B15" s="44">
        <v>1</v>
      </c>
      <c r="C15" s="44">
        <v>2</v>
      </c>
      <c r="D15" s="5">
        <f t="shared" si="1"/>
        <v>3</v>
      </c>
      <c r="E15" s="14"/>
      <c r="F15" s="8" t="s">
        <v>37</v>
      </c>
      <c r="G15" s="12" t="s">
        <v>31</v>
      </c>
      <c r="H15" s="10" t="s">
        <v>38</v>
      </c>
      <c r="I15" s="10" t="s">
        <v>536</v>
      </c>
      <c r="J15" s="11"/>
    </row>
    <row r="16" spans="1:10" s="1" customFormat="1" ht="15" customHeight="1">
      <c r="A16" s="7">
        <f t="shared" si="0"/>
        <v>14</v>
      </c>
      <c r="B16" s="44">
        <v>1</v>
      </c>
      <c r="C16" s="44">
        <v>2</v>
      </c>
      <c r="D16" s="5">
        <f t="shared" si="1"/>
        <v>4</v>
      </c>
      <c r="E16" s="14" t="s">
        <v>21</v>
      </c>
      <c r="F16" s="8" t="s">
        <v>39</v>
      </c>
      <c r="G16" s="12" t="s">
        <v>34</v>
      </c>
      <c r="H16" s="10" t="s">
        <v>40</v>
      </c>
      <c r="I16" s="10" t="s">
        <v>534</v>
      </c>
      <c r="J16" s="11"/>
    </row>
    <row r="17" spans="1:10" s="1" customFormat="1" ht="15" customHeight="1">
      <c r="A17" s="7">
        <f t="shared" si="0"/>
        <v>15</v>
      </c>
      <c r="B17" s="44">
        <v>1</v>
      </c>
      <c r="C17" s="44">
        <v>2</v>
      </c>
      <c r="D17" s="5">
        <f t="shared" si="1"/>
        <v>5</v>
      </c>
      <c r="E17" s="5"/>
      <c r="F17" s="8" t="s">
        <v>41</v>
      </c>
      <c r="G17" s="12" t="s">
        <v>524</v>
      </c>
      <c r="H17" s="10" t="s">
        <v>42</v>
      </c>
      <c r="I17" s="10" t="s">
        <v>535</v>
      </c>
      <c r="J17" s="11"/>
    </row>
    <row r="18" spans="1:10" s="1" customFormat="1" ht="15" customHeight="1">
      <c r="A18" s="7">
        <f t="shared" si="0"/>
        <v>16</v>
      </c>
      <c r="B18" s="44">
        <v>1</v>
      </c>
      <c r="C18" s="44">
        <v>2</v>
      </c>
      <c r="D18" s="5">
        <f t="shared" si="1"/>
        <v>6</v>
      </c>
      <c r="E18" s="5"/>
      <c r="F18" s="8" t="s">
        <v>43</v>
      </c>
      <c r="G18" s="12" t="s">
        <v>34</v>
      </c>
      <c r="H18" s="10" t="s">
        <v>44</v>
      </c>
      <c r="I18" s="10"/>
      <c r="J18" s="11"/>
    </row>
    <row r="19" spans="1:10" s="1" customFormat="1" ht="15" customHeight="1">
      <c r="A19" s="7">
        <f t="shared" si="0"/>
        <v>17</v>
      </c>
      <c r="B19" s="44">
        <v>1</v>
      </c>
      <c r="C19" s="44">
        <v>2</v>
      </c>
      <c r="D19" s="5">
        <f t="shared" si="1"/>
        <v>7</v>
      </c>
      <c r="E19" s="5"/>
      <c r="F19" s="8" t="s">
        <v>45</v>
      </c>
      <c r="G19" s="12" t="s">
        <v>31</v>
      </c>
      <c r="H19" s="10" t="s">
        <v>46</v>
      </c>
      <c r="I19" s="10" t="s">
        <v>20</v>
      </c>
      <c r="J19" s="11"/>
    </row>
    <row r="20" spans="1:10" s="1" customFormat="1" ht="15" customHeight="1">
      <c r="A20" s="7">
        <f t="shared" si="0"/>
        <v>18</v>
      </c>
      <c r="B20" s="44">
        <v>1</v>
      </c>
      <c r="C20" s="44">
        <v>2</v>
      </c>
      <c r="D20" s="5">
        <f t="shared" si="1"/>
        <v>8</v>
      </c>
      <c r="E20" s="14"/>
      <c r="F20" s="15" t="s">
        <v>468</v>
      </c>
      <c r="G20" s="26" t="s">
        <v>470</v>
      </c>
      <c r="H20" s="26" t="s">
        <v>471</v>
      </c>
      <c r="I20" s="16" t="s">
        <v>469</v>
      </c>
      <c r="J20" s="11"/>
    </row>
    <row r="21" spans="1:10" s="1" customFormat="1" ht="15" customHeight="1">
      <c r="A21" s="7">
        <f t="shared" si="0"/>
        <v>19</v>
      </c>
      <c r="B21" s="44">
        <v>1</v>
      </c>
      <c r="C21" s="44">
        <v>2</v>
      </c>
      <c r="D21" s="5">
        <f t="shared" si="1"/>
        <v>9</v>
      </c>
      <c r="E21" s="14"/>
      <c r="F21" s="50" t="s">
        <v>621</v>
      </c>
      <c r="G21" s="74"/>
      <c r="H21" s="74"/>
      <c r="I21" s="17"/>
      <c r="J21" s="11"/>
    </row>
    <row r="22" spans="1:10" s="1" customFormat="1" ht="15" customHeight="1">
      <c r="A22" s="7">
        <f t="shared" si="0"/>
        <v>20</v>
      </c>
      <c r="B22" s="45">
        <v>1</v>
      </c>
      <c r="C22" s="45">
        <v>3</v>
      </c>
      <c r="D22" s="5">
        <f>IF(AND(B19=B22,C19=C22),D19+1,1)</f>
        <v>1</v>
      </c>
      <c r="E22" s="14" t="s">
        <v>21</v>
      </c>
      <c r="F22" s="8" t="s">
        <v>47</v>
      </c>
      <c r="G22" s="12" t="s">
        <v>31</v>
      </c>
      <c r="H22" s="10" t="s">
        <v>48</v>
      </c>
      <c r="I22" s="10" t="s">
        <v>598</v>
      </c>
      <c r="J22" s="11"/>
    </row>
    <row r="23" spans="1:10" s="1" customFormat="1" ht="15" customHeight="1">
      <c r="A23" s="7">
        <f t="shared" si="0"/>
        <v>21</v>
      </c>
      <c r="B23" s="45">
        <v>1</v>
      </c>
      <c r="C23" s="45">
        <v>3</v>
      </c>
      <c r="D23" s="5">
        <f t="shared" si="1"/>
        <v>2</v>
      </c>
      <c r="E23" s="13"/>
      <c r="F23" s="8" t="s">
        <v>49</v>
      </c>
      <c r="G23" s="12" t="s">
        <v>50</v>
      </c>
      <c r="H23" s="10" t="s">
        <v>51</v>
      </c>
      <c r="I23" s="16" t="s">
        <v>537</v>
      </c>
      <c r="J23" s="11"/>
    </row>
    <row r="24" spans="1:10" s="1" customFormat="1" ht="15" customHeight="1">
      <c r="A24" s="7">
        <f t="shared" si="0"/>
        <v>22</v>
      </c>
      <c r="B24" s="45">
        <v>1</v>
      </c>
      <c r="C24" s="45">
        <v>3</v>
      </c>
      <c r="D24" s="5">
        <f t="shared" si="1"/>
        <v>3</v>
      </c>
      <c r="E24" s="13"/>
      <c r="F24" s="8" t="s">
        <v>52</v>
      </c>
      <c r="G24" s="12" t="s">
        <v>50</v>
      </c>
      <c r="H24" s="10" t="s">
        <v>53</v>
      </c>
      <c r="I24" s="10" t="s">
        <v>538</v>
      </c>
      <c r="J24" s="11"/>
    </row>
    <row r="25" spans="1:10" s="1" customFormat="1" ht="15" customHeight="1">
      <c r="A25" s="7">
        <f t="shared" si="0"/>
        <v>23</v>
      </c>
      <c r="B25" s="45">
        <v>1</v>
      </c>
      <c r="C25" s="45">
        <v>3</v>
      </c>
      <c r="D25" s="5">
        <f t="shared" si="1"/>
        <v>4</v>
      </c>
      <c r="E25" s="5"/>
      <c r="F25" s="8" t="s">
        <v>54</v>
      </c>
      <c r="G25" s="12" t="s">
        <v>50</v>
      </c>
      <c r="H25" s="10" t="s">
        <v>55</v>
      </c>
      <c r="I25" s="16"/>
      <c r="J25" s="11"/>
    </row>
    <row r="26" spans="1:10" s="1" customFormat="1" ht="15" customHeight="1">
      <c r="A26" s="7">
        <f t="shared" si="0"/>
        <v>24</v>
      </c>
      <c r="B26" s="45">
        <v>1</v>
      </c>
      <c r="C26" s="45">
        <v>3</v>
      </c>
      <c r="D26" s="5">
        <f t="shared" si="1"/>
        <v>5</v>
      </c>
      <c r="E26" s="5"/>
      <c r="F26" s="8" t="s">
        <v>56</v>
      </c>
      <c r="G26" s="12" t="s">
        <v>50</v>
      </c>
      <c r="H26" s="10" t="s">
        <v>57</v>
      </c>
      <c r="I26" s="16" t="s">
        <v>58</v>
      </c>
      <c r="J26" s="11"/>
    </row>
    <row r="27" spans="1:10" s="1" customFormat="1" ht="15" customHeight="1">
      <c r="A27" s="7">
        <f t="shared" si="0"/>
        <v>25</v>
      </c>
      <c r="B27" s="45">
        <v>1</v>
      </c>
      <c r="C27" s="45">
        <v>3</v>
      </c>
      <c r="D27" s="5">
        <f t="shared" si="1"/>
        <v>6</v>
      </c>
      <c r="E27" s="14"/>
      <c r="F27" s="8" t="s">
        <v>59</v>
      </c>
      <c r="G27" s="26" t="s">
        <v>577</v>
      </c>
      <c r="H27" s="10" t="s">
        <v>60</v>
      </c>
      <c r="I27" s="10" t="s">
        <v>603</v>
      </c>
      <c r="J27" s="11"/>
    </row>
    <row r="28" spans="1:10" s="1" customFormat="1" ht="15" customHeight="1">
      <c r="A28" s="7">
        <f t="shared" si="0"/>
        <v>26</v>
      </c>
      <c r="B28" s="45">
        <v>1</v>
      </c>
      <c r="C28" s="45">
        <v>3</v>
      </c>
      <c r="D28" s="5">
        <f t="shared" si="1"/>
        <v>7</v>
      </c>
      <c r="E28" s="5"/>
      <c r="F28" s="8" t="s">
        <v>61</v>
      </c>
      <c r="G28" s="12" t="s">
        <v>50</v>
      </c>
      <c r="H28" s="10" t="s">
        <v>62</v>
      </c>
      <c r="I28" s="16" t="s">
        <v>63</v>
      </c>
      <c r="J28" s="11"/>
    </row>
    <row r="29" spans="1:10" s="1" customFormat="1" ht="15" customHeight="1">
      <c r="A29" s="7">
        <f t="shared" si="0"/>
        <v>27</v>
      </c>
      <c r="B29" s="45">
        <v>1</v>
      </c>
      <c r="C29" s="45">
        <v>3</v>
      </c>
      <c r="D29" s="5">
        <f t="shared" si="1"/>
        <v>8</v>
      </c>
      <c r="E29" s="5"/>
      <c r="F29" s="8" t="s">
        <v>455</v>
      </c>
      <c r="G29" s="12" t="s">
        <v>50</v>
      </c>
      <c r="H29" s="10" t="s">
        <v>64</v>
      </c>
      <c r="I29" s="10" t="s">
        <v>539</v>
      </c>
      <c r="J29" s="11"/>
    </row>
    <row r="30" spans="1:10" s="1" customFormat="1" ht="15" customHeight="1">
      <c r="A30" s="7">
        <f t="shared" si="0"/>
        <v>28</v>
      </c>
      <c r="B30" s="33">
        <v>1</v>
      </c>
      <c r="C30" s="33">
        <v>4</v>
      </c>
      <c r="D30" s="5">
        <f t="shared" si="1"/>
        <v>1</v>
      </c>
      <c r="E30" s="5"/>
      <c r="F30" s="8" t="s">
        <v>456</v>
      </c>
      <c r="G30" s="10" t="s">
        <v>65</v>
      </c>
      <c r="H30" s="10" t="s">
        <v>66</v>
      </c>
      <c r="I30" s="10" t="s">
        <v>67</v>
      </c>
      <c r="J30" s="11"/>
    </row>
    <row r="31" spans="1:10" s="1" customFormat="1" ht="15" customHeight="1">
      <c r="A31" s="7">
        <f t="shared" si="0"/>
        <v>29</v>
      </c>
      <c r="B31" s="33">
        <v>1</v>
      </c>
      <c r="C31" s="33">
        <v>4</v>
      </c>
      <c r="D31" s="5">
        <f t="shared" si="1"/>
        <v>2</v>
      </c>
      <c r="E31" s="14" t="s">
        <v>21</v>
      </c>
      <c r="F31" s="8" t="s">
        <v>68</v>
      </c>
      <c r="G31" s="10" t="s">
        <v>71</v>
      </c>
      <c r="H31" s="10" t="s">
        <v>69</v>
      </c>
      <c r="I31" s="10"/>
      <c r="J31" s="11"/>
    </row>
    <row r="32" spans="1:10" s="1" customFormat="1" ht="15" customHeight="1">
      <c r="A32" s="7">
        <f t="shared" si="0"/>
        <v>30</v>
      </c>
      <c r="B32" s="33">
        <v>1</v>
      </c>
      <c r="C32" s="33">
        <v>4</v>
      </c>
      <c r="D32" s="5">
        <f t="shared" si="1"/>
        <v>3</v>
      </c>
      <c r="E32" s="5"/>
      <c r="F32" s="8" t="s">
        <v>70</v>
      </c>
      <c r="G32" s="10" t="s">
        <v>71</v>
      </c>
      <c r="H32" s="10" t="s">
        <v>72</v>
      </c>
      <c r="I32" s="10" t="s">
        <v>541</v>
      </c>
      <c r="J32" s="11"/>
    </row>
    <row r="33" spans="1:10" s="1" customFormat="1" ht="15" customHeight="1">
      <c r="A33" s="7">
        <f t="shared" si="0"/>
        <v>31</v>
      </c>
      <c r="B33" s="33">
        <v>1</v>
      </c>
      <c r="C33" s="33">
        <v>4</v>
      </c>
      <c r="D33" s="5">
        <f t="shared" si="1"/>
        <v>4</v>
      </c>
      <c r="E33" s="13"/>
      <c r="F33" s="8" t="s">
        <v>73</v>
      </c>
      <c r="G33" s="10" t="s">
        <v>71</v>
      </c>
      <c r="H33" s="10" t="s">
        <v>74</v>
      </c>
      <c r="I33" s="10" t="s">
        <v>527</v>
      </c>
      <c r="J33" s="11"/>
    </row>
    <row r="34" spans="1:10" s="1" customFormat="1" ht="15" customHeight="1">
      <c r="A34" s="7">
        <f t="shared" si="0"/>
        <v>32</v>
      </c>
      <c r="B34" s="33">
        <v>1</v>
      </c>
      <c r="C34" s="33">
        <v>4</v>
      </c>
      <c r="D34" s="5">
        <f t="shared" si="1"/>
        <v>5</v>
      </c>
      <c r="E34" s="13"/>
      <c r="F34" s="8" t="s">
        <v>75</v>
      </c>
      <c r="G34" s="10" t="s">
        <v>71</v>
      </c>
      <c r="H34" s="10" t="s">
        <v>76</v>
      </c>
      <c r="I34" s="16" t="s">
        <v>540</v>
      </c>
      <c r="J34" s="11"/>
    </row>
    <row r="35" spans="1:10" s="1" customFormat="1" ht="15" customHeight="1">
      <c r="A35" s="7">
        <f t="shared" si="0"/>
        <v>33</v>
      </c>
      <c r="B35" s="34">
        <v>1</v>
      </c>
      <c r="C35" s="34">
        <v>4</v>
      </c>
      <c r="D35" s="5">
        <f t="shared" si="1"/>
        <v>6</v>
      </c>
      <c r="E35" s="14"/>
      <c r="F35" s="15" t="s">
        <v>77</v>
      </c>
      <c r="G35" s="16" t="s">
        <v>65</v>
      </c>
      <c r="H35" s="16" t="s">
        <v>78</v>
      </c>
      <c r="I35" s="16" t="s">
        <v>595</v>
      </c>
      <c r="J35" s="11"/>
    </row>
    <row r="36" spans="1:10" s="1" customFormat="1" ht="15" customHeight="1">
      <c r="A36" s="7">
        <f t="shared" si="0"/>
        <v>34</v>
      </c>
      <c r="B36" s="39">
        <v>1</v>
      </c>
      <c r="C36" s="39">
        <v>5</v>
      </c>
      <c r="D36" s="5">
        <f t="shared" si="1"/>
        <v>1</v>
      </c>
      <c r="E36" s="14" t="s">
        <v>21</v>
      </c>
      <c r="F36" s="15" t="s">
        <v>79</v>
      </c>
      <c r="G36" s="16" t="s">
        <v>80</v>
      </c>
      <c r="H36" s="16" t="s">
        <v>81</v>
      </c>
      <c r="I36" s="16" t="s">
        <v>612</v>
      </c>
      <c r="J36" s="11"/>
    </row>
    <row r="37" spans="1:10" s="1" customFormat="1" ht="15" customHeight="1">
      <c r="A37" s="7">
        <f t="shared" si="0"/>
        <v>35</v>
      </c>
      <c r="B37" s="39">
        <v>1</v>
      </c>
      <c r="C37" s="39">
        <v>5</v>
      </c>
      <c r="D37" s="5">
        <f t="shared" si="1"/>
        <v>2</v>
      </c>
      <c r="E37" s="13"/>
      <c r="F37" s="15" t="s">
        <v>82</v>
      </c>
      <c r="G37" s="16" t="s">
        <v>80</v>
      </c>
      <c r="H37" s="16" t="s">
        <v>83</v>
      </c>
      <c r="I37" s="16" t="s">
        <v>84</v>
      </c>
      <c r="J37" s="11"/>
    </row>
    <row r="38" spans="1:10" s="1" customFormat="1" ht="15" customHeight="1">
      <c r="A38" s="7">
        <f t="shared" si="0"/>
        <v>36</v>
      </c>
      <c r="B38" s="39">
        <v>1</v>
      </c>
      <c r="C38" s="39">
        <v>5</v>
      </c>
      <c r="D38" s="5">
        <f t="shared" si="1"/>
        <v>3</v>
      </c>
      <c r="E38" s="14"/>
      <c r="F38" s="15" t="s">
        <v>85</v>
      </c>
      <c r="G38" s="16" t="s">
        <v>80</v>
      </c>
      <c r="H38" s="16" t="s">
        <v>86</v>
      </c>
      <c r="I38" s="16" t="s">
        <v>605</v>
      </c>
      <c r="J38" s="11"/>
    </row>
    <row r="39" spans="1:10" s="1" customFormat="1" ht="15" customHeight="1">
      <c r="A39" s="7">
        <f t="shared" si="0"/>
        <v>37</v>
      </c>
      <c r="B39" s="47">
        <v>1</v>
      </c>
      <c r="C39" s="47">
        <v>6</v>
      </c>
      <c r="D39" s="5">
        <f t="shared" si="1"/>
        <v>1</v>
      </c>
      <c r="E39" s="13"/>
      <c r="F39" s="15" t="s">
        <v>87</v>
      </c>
      <c r="G39" s="16" t="s">
        <v>88</v>
      </c>
      <c r="H39" s="16" t="s">
        <v>89</v>
      </c>
      <c r="I39" s="16" t="s">
        <v>485</v>
      </c>
      <c r="J39" s="11"/>
    </row>
    <row r="40" spans="1:10" s="1" customFormat="1" ht="15" customHeight="1">
      <c r="A40" s="7">
        <f t="shared" si="0"/>
        <v>38</v>
      </c>
      <c r="B40" s="47">
        <v>1</v>
      </c>
      <c r="C40" s="47">
        <v>6</v>
      </c>
      <c r="D40" s="5">
        <f t="shared" si="1"/>
        <v>2</v>
      </c>
      <c r="E40" s="14"/>
      <c r="F40" s="15" t="s">
        <v>90</v>
      </c>
      <c r="G40" s="16" t="s">
        <v>91</v>
      </c>
      <c r="H40" s="16" t="s">
        <v>92</v>
      </c>
      <c r="I40" s="16"/>
      <c r="J40" s="11"/>
    </row>
    <row r="41" spans="1:10" s="1" customFormat="1" ht="15" customHeight="1">
      <c r="A41" s="7">
        <f t="shared" si="0"/>
        <v>39</v>
      </c>
      <c r="B41" s="47">
        <v>1</v>
      </c>
      <c r="C41" s="47">
        <v>6</v>
      </c>
      <c r="D41" s="5">
        <f t="shared" si="1"/>
        <v>3</v>
      </c>
      <c r="E41" s="5"/>
      <c r="F41" s="15" t="s">
        <v>93</v>
      </c>
      <c r="G41" s="16" t="s">
        <v>91</v>
      </c>
      <c r="H41" s="16" t="s">
        <v>94</v>
      </c>
      <c r="I41" s="16" t="s">
        <v>542</v>
      </c>
      <c r="J41" s="11"/>
    </row>
    <row r="42" spans="1:10" s="1" customFormat="1" ht="15" customHeight="1">
      <c r="A42" s="7">
        <f t="shared" si="0"/>
        <v>40</v>
      </c>
      <c r="B42" s="47">
        <v>1</v>
      </c>
      <c r="C42" s="47">
        <v>6</v>
      </c>
      <c r="D42" s="5">
        <f t="shared" si="1"/>
        <v>4</v>
      </c>
      <c r="E42" s="13"/>
      <c r="F42" s="15" t="s">
        <v>95</v>
      </c>
      <c r="G42" s="16" t="s">
        <v>96</v>
      </c>
      <c r="H42" s="16" t="s">
        <v>97</v>
      </c>
      <c r="I42" s="16" t="s">
        <v>585</v>
      </c>
      <c r="J42" s="11"/>
    </row>
    <row r="43" spans="1:10" s="1" customFormat="1" ht="15" customHeight="1">
      <c r="A43" s="7">
        <f t="shared" si="0"/>
        <v>41</v>
      </c>
      <c r="B43" s="47">
        <v>1</v>
      </c>
      <c r="C43" s="47">
        <v>6</v>
      </c>
      <c r="D43" s="5">
        <f t="shared" si="1"/>
        <v>5</v>
      </c>
      <c r="E43" s="14" t="s">
        <v>21</v>
      </c>
      <c r="F43" s="15" t="s">
        <v>98</v>
      </c>
      <c r="G43" s="16" t="s">
        <v>99</v>
      </c>
      <c r="H43" s="16" t="s">
        <v>100</v>
      </c>
      <c r="I43" s="16" t="s">
        <v>101</v>
      </c>
      <c r="J43" s="11"/>
    </row>
    <row r="44" spans="1:10" s="1" customFormat="1" ht="15" customHeight="1">
      <c r="A44" s="7">
        <f t="shared" si="0"/>
        <v>42</v>
      </c>
      <c r="B44" s="47">
        <v>1</v>
      </c>
      <c r="C44" s="47">
        <v>6</v>
      </c>
      <c r="D44" s="5">
        <f t="shared" si="1"/>
        <v>6</v>
      </c>
      <c r="E44" s="5"/>
      <c r="F44" s="15" t="s">
        <v>436</v>
      </c>
      <c r="G44" s="42" t="s">
        <v>437</v>
      </c>
      <c r="H44" s="42" t="s">
        <v>438</v>
      </c>
      <c r="I44" s="16" t="s">
        <v>439</v>
      </c>
      <c r="J44" s="11"/>
    </row>
    <row r="45" spans="1:10" s="1" customFormat="1" ht="15" customHeight="1">
      <c r="A45" s="7">
        <f t="shared" si="0"/>
        <v>43</v>
      </c>
      <c r="B45" s="47">
        <v>1</v>
      </c>
      <c r="C45" s="47">
        <v>6</v>
      </c>
      <c r="D45" s="14">
        <f t="shared" si="1"/>
        <v>7</v>
      </c>
      <c r="E45" s="14"/>
      <c r="F45" s="15" t="s">
        <v>464</v>
      </c>
      <c r="G45" s="16" t="s">
        <v>466</v>
      </c>
      <c r="H45" s="16" t="s">
        <v>465</v>
      </c>
      <c r="I45" s="16" t="s">
        <v>590</v>
      </c>
      <c r="J45" s="11"/>
    </row>
    <row r="46" spans="1:10" s="1" customFormat="1" ht="15" customHeight="1">
      <c r="A46" s="7">
        <f t="shared" si="0"/>
        <v>44</v>
      </c>
      <c r="B46" s="33">
        <v>1</v>
      </c>
      <c r="C46" s="33">
        <v>7</v>
      </c>
      <c r="D46" s="5">
        <f>IF(AND(B43=B46,C43=C46),D43+1,1)</f>
        <v>1</v>
      </c>
      <c r="E46" s="14" t="s">
        <v>21</v>
      </c>
      <c r="F46" s="8" t="s">
        <v>102</v>
      </c>
      <c r="G46" s="10" t="s">
        <v>91</v>
      </c>
      <c r="H46" s="10" t="s">
        <v>103</v>
      </c>
      <c r="I46" s="16" t="s">
        <v>526</v>
      </c>
      <c r="J46" s="11"/>
    </row>
    <row r="47" spans="1:10" s="1" customFormat="1" ht="15" customHeight="1">
      <c r="A47" s="7">
        <f t="shared" si="0"/>
        <v>45</v>
      </c>
      <c r="B47" s="33">
        <v>1</v>
      </c>
      <c r="C47" s="33">
        <v>7</v>
      </c>
      <c r="D47" s="5">
        <f t="shared" si="1"/>
        <v>2</v>
      </c>
      <c r="E47" s="13"/>
      <c r="F47" s="8" t="s">
        <v>104</v>
      </c>
      <c r="G47" s="10" t="s">
        <v>91</v>
      </c>
      <c r="H47" s="10" t="s">
        <v>105</v>
      </c>
      <c r="I47" s="16"/>
      <c r="J47" s="11"/>
    </row>
    <row r="48" spans="1:10" s="1" customFormat="1" ht="15" customHeight="1">
      <c r="A48" s="7">
        <f t="shared" si="0"/>
        <v>46</v>
      </c>
      <c r="B48" s="33">
        <v>1</v>
      </c>
      <c r="C48" s="33">
        <v>7</v>
      </c>
      <c r="D48" s="5">
        <f t="shared" si="1"/>
        <v>3</v>
      </c>
      <c r="E48" s="13"/>
      <c r="F48" s="8" t="s">
        <v>106</v>
      </c>
      <c r="G48" s="10" t="s">
        <v>434</v>
      </c>
      <c r="H48" s="10" t="s">
        <v>107</v>
      </c>
      <c r="I48" s="16" t="s">
        <v>475</v>
      </c>
      <c r="J48" s="11"/>
    </row>
    <row r="49" spans="1:10" s="1" customFormat="1" ht="15" customHeight="1">
      <c r="A49" s="7">
        <f t="shared" si="0"/>
        <v>47</v>
      </c>
      <c r="B49" s="33">
        <v>1</v>
      </c>
      <c r="C49" s="33">
        <v>7</v>
      </c>
      <c r="D49" s="5">
        <f t="shared" si="1"/>
        <v>4</v>
      </c>
      <c r="E49" s="5"/>
      <c r="F49" s="8" t="s">
        <v>108</v>
      </c>
      <c r="G49" s="10" t="s">
        <v>434</v>
      </c>
      <c r="H49" s="10" t="s">
        <v>109</v>
      </c>
      <c r="I49" s="16" t="s">
        <v>543</v>
      </c>
      <c r="J49" s="11"/>
    </row>
    <row r="50" spans="1:10" s="1" customFormat="1" ht="15" customHeight="1">
      <c r="A50" s="7">
        <f t="shared" si="0"/>
        <v>48</v>
      </c>
      <c r="B50" s="33">
        <v>1</v>
      </c>
      <c r="C50" s="33">
        <v>7</v>
      </c>
      <c r="D50" s="5">
        <f t="shared" si="1"/>
        <v>5</v>
      </c>
      <c r="E50" s="14"/>
      <c r="F50" s="52" t="s">
        <v>110</v>
      </c>
      <c r="G50" s="10" t="s">
        <v>91</v>
      </c>
      <c r="H50" s="10" t="s">
        <v>111</v>
      </c>
      <c r="I50" s="16" t="s">
        <v>477</v>
      </c>
      <c r="J50" s="11"/>
    </row>
    <row r="51" spans="1:10" s="1" customFormat="1" ht="15" customHeight="1">
      <c r="A51" s="7">
        <f t="shared" si="0"/>
        <v>49</v>
      </c>
      <c r="B51" s="45">
        <v>1</v>
      </c>
      <c r="C51" s="45">
        <v>8</v>
      </c>
      <c r="D51" s="5">
        <f t="shared" si="1"/>
        <v>1</v>
      </c>
      <c r="E51" s="5"/>
      <c r="F51" s="8" t="s">
        <v>112</v>
      </c>
      <c r="G51" s="10" t="s">
        <v>113</v>
      </c>
      <c r="H51" s="10" t="s">
        <v>114</v>
      </c>
      <c r="I51" s="16" t="s">
        <v>486</v>
      </c>
      <c r="J51" s="11"/>
    </row>
    <row r="52" spans="1:10" s="1" customFormat="1" ht="15" customHeight="1">
      <c r="A52" s="7">
        <f t="shared" si="0"/>
        <v>50</v>
      </c>
      <c r="B52" s="45">
        <v>1</v>
      </c>
      <c r="C52" s="45">
        <v>8</v>
      </c>
      <c r="D52" s="5">
        <f t="shared" si="1"/>
        <v>2</v>
      </c>
      <c r="E52" s="13"/>
      <c r="F52" s="8" t="s">
        <v>115</v>
      </c>
      <c r="G52" s="10" t="s">
        <v>113</v>
      </c>
      <c r="H52" s="10" t="s">
        <v>116</v>
      </c>
      <c r="I52" s="10" t="s">
        <v>546</v>
      </c>
      <c r="J52" s="11"/>
    </row>
    <row r="53" spans="1:10" s="1" customFormat="1" ht="15" customHeight="1">
      <c r="A53" s="7">
        <f t="shared" si="0"/>
        <v>51</v>
      </c>
      <c r="B53" s="45">
        <v>1</v>
      </c>
      <c r="C53" s="45">
        <v>8</v>
      </c>
      <c r="D53" s="5">
        <f t="shared" si="1"/>
        <v>3</v>
      </c>
      <c r="E53" s="14" t="s">
        <v>21</v>
      </c>
      <c r="F53" s="8" t="s">
        <v>117</v>
      </c>
      <c r="G53" s="10" t="s">
        <v>88</v>
      </c>
      <c r="H53" s="10" t="s">
        <v>118</v>
      </c>
      <c r="I53" s="16" t="s">
        <v>544</v>
      </c>
      <c r="J53" s="11"/>
    </row>
    <row r="54" spans="1:10" s="1" customFormat="1" ht="15" customHeight="1">
      <c r="A54" s="7">
        <f t="shared" si="0"/>
        <v>52</v>
      </c>
      <c r="B54" s="45">
        <v>1</v>
      </c>
      <c r="C54" s="45">
        <v>8</v>
      </c>
      <c r="D54" s="5">
        <f t="shared" si="1"/>
        <v>4</v>
      </c>
      <c r="E54" s="5"/>
      <c r="F54" s="8" t="s">
        <v>119</v>
      </c>
      <c r="G54" s="10" t="s">
        <v>123</v>
      </c>
      <c r="H54" s="10" t="s">
        <v>121</v>
      </c>
      <c r="I54" s="16" t="s">
        <v>545</v>
      </c>
      <c r="J54" s="11"/>
    </row>
    <row r="55" spans="1:10" s="1" customFormat="1" ht="15" customHeight="1">
      <c r="A55" s="7">
        <f t="shared" si="0"/>
        <v>53</v>
      </c>
      <c r="B55" s="45">
        <v>1</v>
      </c>
      <c r="C55" s="45">
        <v>8</v>
      </c>
      <c r="D55" s="5">
        <f t="shared" si="1"/>
        <v>5</v>
      </c>
      <c r="E55" s="5"/>
      <c r="F55" s="18" t="s">
        <v>122</v>
      </c>
      <c r="G55" s="10" t="s">
        <v>123</v>
      </c>
      <c r="H55" s="10" t="s">
        <v>124</v>
      </c>
      <c r="I55" s="10" t="s">
        <v>593</v>
      </c>
      <c r="J55" s="10"/>
    </row>
    <row r="56" spans="1:10" s="1" customFormat="1" ht="15" customHeight="1">
      <c r="A56" s="7">
        <f t="shared" si="0"/>
        <v>54</v>
      </c>
      <c r="B56" s="45">
        <v>1</v>
      </c>
      <c r="C56" s="45">
        <v>8</v>
      </c>
      <c r="D56" s="5">
        <f t="shared" si="1"/>
        <v>6</v>
      </c>
      <c r="E56" s="13"/>
      <c r="F56" s="8" t="s">
        <v>125</v>
      </c>
      <c r="G56" s="16" t="s">
        <v>576</v>
      </c>
      <c r="H56" s="10" t="s">
        <v>126</v>
      </c>
      <c r="I56" s="16" t="s">
        <v>592</v>
      </c>
      <c r="J56" s="11"/>
    </row>
    <row r="57" spans="1:10" s="1" customFormat="1" ht="15" customHeight="1">
      <c r="A57" s="7">
        <f t="shared" si="0"/>
        <v>55</v>
      </c>
      <c r="B57" s="45">
        <v>1</v>
      </c>
      <c r="C57" s="45">
        <v>8</v>
      </c>
      <c r="D57" s="5">
        <f t="shared" si="1"/>
        <v>7</v>
      </c>
      <c r="E57" s="14"/>
      <c r="F57" s="8" t="s">
        <v>127</v>
      </c>
      <c r="G57" s="10" t="s">
        <v>120</v>
      </c>
      <c r="H57" s="10" t="s">
        <v>128</v>
      </c>
      <c r="I57" s="16" t="s">
        <v>587</v>
      </c>
      <c r="J57" s="11"/>
    </row>
    <row r="58" spans="1:10" s="1" customFormat="1" ht="15" customHeight="1">
      <c r="A58" s="7">
        <f t="shared" si="0"/>
        <v>56</v>
      </c>
      <c r="B58" s="29">
        <v>1</v>
      </c>
      <c r="C58" s="29">
        <v>9</v>
      </c>
      <c r="D58" s="5">
        <f t="shared" si="1"/>
        <v>1</v>
      </c>
      <c r="E58" s="14" t="s">
        <v>21</v>
      </c>
      <c r="F58" s="8" t="s">
        <v>129</v>
      </c>
      <c r="G58" s="10" t="s">
        <v>120</v>
      </c>
      <c r="H58" s="10" t="s">
        <v>130</v>
      </c>
      <c r="I58" s="16" t="s">
        <v>547</v>
      </c>
      <c r="J58" s="11"/>
    </row>
    <row r="59" spans="1:10" s="1" customFormat="1" ht="15" customHeight="1">
      <c r="A59" s="7">
        <f t="shared" si="0"/>
        <v>57</v>
      </c>
      <c r="B59" s="29">
        <v>1</v>
      </c>
      <c r="C59" s="29">
        <v>9</v>
      </c>
      <c r="D59" s="5">
        <f t="shared" si="1"/>
        <v>2</v>
      </c>
      <c r="E59" s="14"/>
      <c r="F59" s="19" t="s">
        <v>131</v>
      </c>
      <c r="G59" s="10" t="s">
        <v>120</v>
      </c>
      <c r="H59" s="10" t="s">
        <v>132</v>
      </c>
      <c r="I59" s="20" t="s">
        <v>548</v>
      </c>
      <c r="J59" s="11"/>
    </row>
    <row r="60" spans="1:10" s="4" customFormat="1" ht="15" customHeight="1">
      <c r="A60" s="7">
        <f t="shared" si="0"/>
        <v>58</v>
      </c>
      <c r="B60" s="32">
        <v>1</v>
      </c>
      <c r="C60" s="32">
        <v>9</v>
      </c>
      <c r="D60" s="5">
        <f t="shared" si="1"/>
        <v>3</v>
      </c>
      <c r="E60" s="13"/>
      <c r="F60" s="15" t="s">
        <v>133</v>
      </c>
      <c r="G60" s="16" t="s">
        <v>120</v>
      </c>
      <c r="H60" s="10" t="s">
        <v>134</v>
      </c>
      <c r="I60" s="16" t="s">
        <v>135</v>
      </c>
      <c r="J60" s="21"/>
    </row>
    <row r="61" spans="1:10" s="1" customFormat="1" ht="15" customHeight="1">
      <c r="A61" s="7">
        <f t="shared" si="0"/>
        <v>59</v>
      </c>
      <c r="B61" s="29">
        <v>1</v>
      </c>
      <c r="C61" s="29">
        <v>9</v>
      </c>
      <c r="D61" s="5">
        <f t="shared" si="1"/>
        <v>4</v>
      </c>
      <c r="E61" s="5"/>
      <c r="F61" s="8" t="s">
        <v>136</v>
      </c>
      <c r="G61" s="10" t="s">
        <v>137</v>
      </c>
      <c r="H61" s="10" t="s">
        <v>138</v>
      </c>
      <c r="I61" s="16" t="s">
        <v>619</v>
      </c>
      <c r="J61" s="11"/>
    </row>
    <row r="62" spans="1:10" s="1" customFormat="1" ht="15" customHeight="1">
      <c r="A62" s="7">
        <f t="shared" si="0"/>
        <v>60</v>
      </c>
      <c r="B62" s="29">
        <v>1</v>
      </c>
      <c r="C62" s="29">
        <v>9</v>
      </c>
      <c r="D62" s="5">
        <f t="shared" si="1"/>
        <v>5</v>
      </c>
      <c r="E62" s="11"/>
      <c r="F62" s="8" t="s">
        <v>139</v>
      </c>
      <c r="G62" s="10" t="s">
        <v>137</v>
      </c>
      <c r="H62" s="10" t="s">
        <v>140</v>
      </c>
      <c r="I62" s="16"/>
      <c r="J62" s="11"/>
    </row>
    <row r="63" spans="1:10" s="1" customFormat="1" ht="15" customHeight="1">
      <c r="A63" s="7">
        <f t="shared" si="0"/>
        <v>61</v>
      </c>
      <c r="B63" s="29">
        <v>1</v>
      </c>
      <c r="C63" s="29">
        <v>9</v>
      </c>
      <c r="D63" s="5">
        <f t="shared" si="1"/>
        <v>6</v>
      </c>
      <c r="E63" s="5"/>
      <c r="F63" s="8" t="s">
        <v>141</v>
      </c>
      <c r="G63" s="10" t="s">
        <v>137</v>
      </c>
      <c r="H63" s="10" t="s">
        <v>142</v>
      </c>
      <c r="I63" s="16" t="s">
        <v>523</v>
      </c>
      <c r="J63" s="11"/>
    </row>
    <row r="64" spans="1:10" s="1" customFormat="1" ht="15" customHeight="1">
      <c r="A64" s="7">
        <f t="shared" si="0"/>
        <v>62</v>
      </c>
      <c r="B64" s="29">
        <v>1</v>
      </c>
      <c r="C64" s="29">
        <v>9</v>
      </c>
      <c r="D64" s="5">
        <f t="shared" si="1"/>
        <v>7</v>
      </c>
      <c r="E64" s="5"/>
      <c r="F64" s="8" t="s">
        <v>143</v>
      </c>
      <c r="G64" s="10" t="s">
        <v>123</v>
      </c>
      <c r="H64" s="10" t="s">
        <v>144</v>
      </c>
      <c r="I64" s="16" t="s">
        <v>594</v>
      </c>
      <c r="J64" s="11"/>
    </row>
    <row r="65" spans="1:10" s="1" customFormat="1" ht="15" customHeight="1">
      <c r="A65" s="7">
        <f t="shared" si="0"/>
        <v>63</v>
      </c>
      <c r="B65" s="29">
        <v>1</v>
      </c>
      <c r="C65" s="29">
        <v>9</v>
      </c>
      <c r="D65" s="5">
        <f t="shared" si="1"/>
        <v>8</v>
      </c>
      <c r="E65" s="13"/>
      <c r="F65" s="8" t="s">
        <v>145</v>
      </c>
      <c r="G65" s="10" t="s">
        <v>123</v>
      </c>
      <c r="H65" s="10" t="s">
        <v>146</v>
      </c>
      <c r="I65" s="16" t="s">
        <v>589</v>
      </c>
      <c r="J65" s="11"/>
    </row>
    <row r="66" spans="1:10" s="1" customFormat="1" ht="15" customHeight="1">
      <c r="A66" s="7">
        <f t="shared" si="0"/>
        <v>64</v>
      </c>
      <c r="B66" s="29">
        <v>1</v>
      </c>
      <c r="C66" s="29">
        <v>9</v>
      </c>
      <c r="D66" s="5">
        <f t="shared" si="1"/>
        <v>9</v>
      </c>
      <c r="E66" s="13"/>
      <c r="F66" s="8" t="s">
        <v>147</v>
      </c>
      <c r="G66" s="10" t="s">
        <v>123</v>
      </c>
      <c r="H66" s="10" t="s">
        <v>148</v>
      </c>
      <c r="I66" s="16" t="s">
        <v>440</v>
      </c>
      <c r="J66" s="11"/>
    </row>
    <row r="67" spans="1:10" s="1" customFormat="1" ht="15" customHeight="1">
      <c r="A67" s="7">
        <f t="shared" si="0"/>
        <v>65</v>
      </c>
      <c r="B67" s="33">
        <v>1</v>
      </c>
      <c r="C67" s="33">
        <v>10</v>
      </c>
      <c r="D67" s="5">
        <f>IF(AND(B65=B67,C65=C67),D65+1,1)</f>
        <v>1</v>
      </c>
      <c r="E67" s="5"/>
      <c r="F67" s="8" t="s">
        <v>149</v>
      </c>
      <c r="G67" s="12" t="s">
        <v>150</v>
      </c>
      <c r="H67" s="10" t="s">
        <v>151</v>
      </c>
      <c r="I67" s="16"/>
      <c r="J67" s="11"/>
    </row>
    <row r="68" spans="1:10" s="1" customFormat="1" ht="15" customHeight="1">
      <c r="A68" s="7">
        <f t="shared" si="0"/>
        <v>66</v>
      </c>
      <c r="B68" s="33">
        <v>1</v>
      </c>
      <c r="C68" s="33">
        <v>10</v>
      </c>
      <c r="D68" s="5">
        <f t="shared" si="1"/>
        <v>2</v>
      </c>
      <c r="E68" s="13"/>
      <c r="F68" s="8" t="s">
        <v>152</v>
      </c>
      <c r="G68" s="12" t="s">
        <v>153</v>
      </c>
      <c r="H68" s="10" t="s">
        <v>154</v>
      </c>
      <c r="I68" s="16" t="s">
        <v>551</v>
      </c>
      <c r="J68" s="11"/>
    </row>
    <row r="69" spans="1:10" s="1" customFormat="1" ht="15" customHeight="1">
      <c r="A69" s="7">
        <f t="shared" si="0"/>
        <v>67</v>
      </c>
      <c r="B69" s="33">
        <v>1</v>
      </c>
      <c r="C69" s="33">
        <v>10</v>
      </c>
      <c r="D69" s="5">
        <f t="shared" si="1"/>
        <v>3</v>
      </c>
      <c r="E69" s="14"/>
      <c r="F69" s="8" t="s">
        <v>155</v>
      </c>
      <c r="G69" s="12" t="s">
        <v>153</v>
      </c>
      <c r="H69" s="10" t="s">
        <v>156</v>
      </c>
      <c r="I69" s="16" t="s">
        <v>550</v>
      </c>
      <c r="J69" s="11"/>
    </row>
    <row r="70" spans="1:10" s="1" customFormat="1" ht="15" customHeight="1">
      <c r="A70" s="7">
        <f t="shared" ref="A70:A135" si="3">ROW()-2</f>
        <v>68</v>
      </c>
      <c r="B70" s="33">
        <v>1</v>
      </c>
      <c r="C70" s="33">
        <v>10</v>
      </c>
      <c r="D70" s="5">
        <f t="shared" ref="D70:D133" si="4">IF(AND(B69=B70,C69=C70),D69+1,1)</f>
        <v>4</v>
      </c>
      <c r="E70" s="14" t="s">
        <v>21</v>
      </c>
      <c r="F70" s="8" t="s">
        <v>157</v>
      </c>
      <c r="G70" s="12" t="s">
        <v>153</v>
      </c>
      <c r="H70" s="10" t="s">
        <v>158</v>
      </c>
      <c r="I70" s="16" t="s">
        <v>549</v>
      </c>
      <c r="J70" s="11"/>
    </row>
    <row r="71" spans="1:10" s="1" customFormat="1" ht="15" customHeight="1">
      <c r="A71" s="7">
        <f t="shared" si="3"/>
        <v>69</v>
      </c>
      <c r="B71" s="33">
        <v>1</v>
      </c>
      <c r="C71" s="33">
        <v>10</v>
      </c>
      <c r="D71" s="5">
        <f t="shared" si="4"/>
        <v>5</v>
      </c>
      <c r="E71" s="13"/>
      <c r="F71" s="8" t="s">
        <v>159</v>
      </c>
      <c r="G71" s="38"/>
      <c r="H71" s="37"/>
      <c r="I71" s="30" t="s">
        <v>160</v>
      </c>
      <c r="J71" s="11"/>
    </row>
    <row r="72" spans="1:10" s="1" customFormat="1" ht="15" customHeight="1">
      <c r="A72" s="7">
        <f t="shared" si="3"/>
        <v>70</v>
      </c>
      <c r="B72" s="33">
        <v>1</v>
      </c>
      <c r="C72" s="33">
        <v>10</v>
      </c>
      <c r="D72" s="5">
        <f t="shared" si="4"/>
        <v>6</v>
      </c>
      <c r="E72" s="14"/>
      <c r="F72" s="50" t="s">
        <v>625</v>
      </c>
      <c r="G72" s="27" t="s">
        <v>626</v>
      </c>
      <c r="H72" s="23" t="s">
        <v>627</v>
      </c>
      <c r="I72" s="17" t="s">
        <v>628</v>
      </c>
      <c r="J72" s="11"/>
    </row>
    <row r="73" spans="1:10" s="1" customFormat="1" ht="15" customHeight="1">
      <c r="A73" s="7">
        <f t="shared" si="3"/>
        <v>71</v>
      </c>
      <c r="B73" s="40">
        <v>1</v>
      </c>
      <c r="C73" s="40">
        <v>11</v>
      </c>
      <c r="D73" s="5">
        <f>IF(AND(B70=B73,C70=C73),D70+1,1)</f>
        <v>1</v>
      </c>
      <c r="E73" s="5"/>
      <c r="F73" s="8" t="s">
        <v>161</v>
      </c>
      <c r="G73" s="10" t="s">
        <v>162</v>
      </c>
      <c r="H73" s="10" t="s">
        <v>163</v>
      </c>
      <c r="I73" s="16" t="s">
        <v>552</v>
      </c>
      <c r="J73" s="11"/>
    </row>
    <row r="74" spans="1:10" s="1" customFormat="1" ht="15" customHeight="1">
      <c r="A74" s="7">
        <f t="shared" si="3"/>
        <v>72</v>
      </c>
      <c r="B74" s="40">
        <v>1</v>
      </c>
      <c r="C74" s="40">
        <v>11</v>
      </c>
      <c r="D74" s="5">
        <f t="shared" si="4"/>
        <v>2</v>
      </c>
      <c r="E74" s="5"/>
      <c r="F74" s="8" t="s">
        <v>487</v>
      </c>
      <c r="G74" s="10" t="s">
        <v>162</v>
      </c>
      <c r="H74" s="10" t="s">
        <v>164</v>
      </c>
      <c r="I74" s="16" t="s">
        <v>555</v>
      </c>
      <c r="J74" s="11"/>
    </row>
    <row r="75" spans="1:10" s="1" customFormat="1" ht="15" customHeight="1">
      <c r="A75" s="7">
        <f t="shared" si="3"/>
        <v>73</v>
      </c>
      <c r="B75" s="40">
        <v>1</v>
      </c>
      <c r="C75" s="40">
        <v>11</v>
      </c>
      <c r="D75" s="5">
        <f t="shared" si="4"/>
        <v>3</v>
      </c>
      <c r="E75" s="5"/>
      <c r="F75" s="8" t="s">
        <v>165</v>
      </c>
      <c r="G75" s="10" t="s">
        <v>162</v>
      </c>
      <c r="H75" s="10" t="s">
        <v>166</v>
      </c>
      <c r="I75" s="16" t="s">
        <v>553</v>
      </c>
      <c r="J75" s="11"/>
    </row>
    <row r="76" spans="1:10" s="1" customFormat="1" ht="15" customHeight="1">
      <c r="A76" s="7">
        <f t="shared" si="3"/>
        <v>74</v>
      </c>
      <c r="B76" s="40">
        <v>1</v>
      </c>
      <c r="C76" s="40">
        <v>11</v>
      </c>
      <c r="D76" s="5">
        <f t="shared" si="4"/>
        <v>4</v>
      </c>
      <c r="E76" s="13"/>
      <c r="F76" s="8" t="s">
        <v>167</v>
      </c>
      <c r="G76" s="10" t="s">
        <v>162</v>
      </c>
      <c r="H76" s="10" t="s">
        <v>168</v>
      </c>
      <c r="I76" s="16" t="s">
        <v>451</v>
      </c>
      <c r="J76" s="11"/>
    </row>
    <row r="77" spans="1:10" s="1" customFormat="1" ht="15" customHeight="1">
      <c r="A77" s="7">
        <f t="shared" si="3"/>
        <v>75</v>
      </c>
      <c r="B77" s="40">
        <v>1</v>
      </c>
      <c r="C77" s="40">
        <v>11</v>
      </c>
      <c r="D77" s="5">
        <f t="shared" si="4"/>
        <v>5</v>
      </c>
      <c r="E77" s="13"/>
      <c r="F77" s="22" t="s">
        <v>169</v>
      </c>
      <c r="G77" s="10" t="s">
        <v>162</v>
      </c>
      <c r="H77" s="10" t="s">
        <v>170</v>
      </c>
      <c r="I77" s="16" t="s">
        <v>171</v>
      </c>
      <c r="J77" s="11"/>
    </row>
    <row r="78" spans="1:10" s="1" customFormat="1" ht="15" customHeight="1">
      <c r="A78" s="7">
        <f t="shared" si="3"/>
        <v>76</v>
      </c>
      <c r="B78" s="40">
        <v>1</v>
      </c>
      <c r="C78" s="40">
        <v>11</v>
      </c>
      <c r="D78" s="5">
        <f t="shared" si="4"/>
        <v>6</v>
      </c>
      <c r="E78" s="14"/>
      <c r="F78" s="8" t="s">
        <v>172</v>
      </c>
      <c r="G78" s="10" t="s">
        <v>162</v>
      </c>
      <c r="H78" s="37"/>
      <c r="I78" s="16" t="s">
        <v>554</v>
      </c>
      <c r="J78" s="11"/>
    </row>
    <row r="79" spans="1:10" s="1" customFormat="1" ht="15" customHeight="1">
      <c r="A79" s="7">
        <f t="shared" si="3"/>
        <v>77</v>
      </c>
      <c r="B79" s="40">
        <v>1</v>
      </c>
      <c r="C79" s="40">
        <v>11</v>
      </c>
      <c r="D79" s="5">
        <f t="shared" si="4"/>
        <v>7</v>
      </c>
      <c r="E79" s="14" t="s">
        <v>21</v>
      </c>
      <c r="F79" s="8" t="s">
        <v>173</v>
      </c>
      <c r="G79" s="10" t="s">
        <v>162</v>
      </c>
      <c r="H79" s="10" t="s">
        <v>449</v>
      </c>
      <c r="I79" s="16" t="s">
        <v>174</v>
      </c>
      <c r="J79" s="11"/>
    </row>
    <row r="80" spans="1:10" s="1" customFormat="1" ht="15" customHeight="1">
      <c r="A80" s="7">
        <f t="shared" si="3"/>
        <v>78</v>
      </c>
      <c r="B80" s="40">
        <v>1</v>
      </c>
      <c r="C80" s="40">
        <v>11</v>
      </c>
      <c r="D80" s="5">
        <f t="shared" si="4"/>
        <v>8</v>
      </c>
      <c r="E80" s="5"/>
      <c r="F80" s="8" t="s">
        <v>175</v>
      </c>
      <c r="G80" s="10" t="s">
        <v>162</v>
      </c>
      <c r="H80" s="37"/>
      <c r="I80" s="16" t="s">
        <v>176</v>
      </c>
      <c r="J80" s="11"/>
    </row>
    <row r="81" spans="1:10" s="1" customFormat="1" ht="15" customHeight="1">
      <c r="A81" s="7">
        <f t="shared" si="3"/>
        <v>79</v>
      </c>
      <c r="B81" s="40">
        <v>1</v>
      </c>
      <c r="C81" s="40">
        <v>11</v>
      </c>
      <c r="D81" s="5">
        <f t="shared" si="4"/>
        <v>9</v>
      </c>
      <c r="E81" s="5"/>
      <c r="F81" s="8" t="s">
        <v>177</v>
      </c>
      <c r="G81" s="10" t="s">
        <v>162</v>
      </c>
      <c r="H81" s="10" t="s">
        <v>178</v>
      </c>
      <c r="I81" s="16" t="s">
        <v>616</v>
      </c>
      <c r="J81" s="11"/>
    </row>
    <row r="82" spans="1:10" s="1" customFormat="1" ht="15" customHeight="1">
      <c r="A82" s="7">
        <f t="shared" si="3"/>
        <v>80</v>
      </c>
      <c r="B82" s="41">
        <v>1</v>
      </c>
      <c r="C82" s="41">
        <v>12</v>
      </c>
      <c r="D82" s="5">
        <f t="shared" si="4"/>
        <v>1</v>
      </c>
      <c r="E82" s="14" t="s">
        <v>21</v>
      </c>
      <c r="F82" s="8" t="s">
        <v>179</v>
      </c>
      <c r="G82" s="10" t="s">
        <v>162</v>
      </c>
      <c r="H82" s="10" t="s">
        <v>180</v>
      </c>
      <c r="I82" s="16" t="s">
        <v>556</v>
      </c>
      <c r="J82" s="11"/>
    </row>
    <row r="83" spans="1:10" s="1" customFormat="1" ht="15" customHeight="1">
      <c r="A83" s="7">
        <f t="shared" si="3"/>
        <v>81</v>
      </c>
      <c r="B83" s="41">
        <v>1</v>
      </c>
      <c r="C83" s="41">
        <v>12</v>
      </c>
      <c r="D83" s="5">
        <f t="shared" si="4"/>
        <v>2</v>
      </c>
      <c r="E83" s="5"/>
      <c r="F83" s="8" t="s">
        <v>181</v>
      </c>
      <c r="G83" s="10" t="s">
        <v>162</v>
      </c>
      <c r="H83" s="37"/>
      <c r="I83" s="16" t="s">
        <v>182</v>
      </c>
      <c r="J83" s="11"/>
    </row>
    <row r="84" spans="1:10" s="1" customFormat="1" ht="15" customHeight="1">
      <c r="A84" s="7">
        <f t="shared" si="3"/>
        <v>82</v>
      </c>
      <c r="B84" s="41">
        <v>1</v>
      </c>
      <c r="C84" s="41">
        <v>12</v>
      </c>
      <c r="D84" s="5">
        <f t="shared" si="4"/>
        <v>3</v>
      </c>
      <c r="E84" s="5"/>
      <c r="F84" s="8" t="s">
        <v>183</v>
      </c>
      <c r="G84" s="10" t="s">
        <v>162</v>
      </c>
      <c r="H84" s="10" t="s">
        <v>184</v>
      </c>
      <c r="I84" s="16" t="s">
        <v>185</v>
      </c>
      <c r="J84" s="11"/>
    </row>
    <row r="85" spans="1:10" s="1" customFormat="1" ht="15" customHeight="1">
      <c r="A85" s="7">
        <f t="shared" si="3"/>
        <v>83</v>
      </c>
      <c r="B85" s="41">
        <v>1</v>
      </c>
      <c r="C85" s="41">
        <v>12</v>
      </c>
      <c r="D85" s="5">
        <f t="shared" si="4"/>
        <v>4</v>
      </c>
      <c r="E85" s="13"/>
      <c r="F85" s="8" t="s">
        <v>442</v>
      </c>
      <c r="G85" s="10" t="s">
        <v>162</v>
      </c>
      <c r="H85" s="10" t="s">
        <v>443</v>
      </c>
      <c r="I85" s="16" t="s">
        <v>444</v>
      </c>
      <c r="J85" s="11"/>
    </row>
    <row r="86" spans="1:10" s="1" customFormat="1" ht="15" customHeight="1">
      <c r="A86" s="7">
        <f t="shared" si="3"/>
        <v>84</v>
      </c>
      <c r="B86" s="41">
        <v>1</v>
      </c>
      <c r="C86" s="41">
        <v>12</v>
      </c>
      <c r="D86" s="5">
        <f t="shared" si="4"/>
        <v>5</v>
      </c>
      <c r="E86" s="5"/>
      <c r="F86" s="8" t="s">
        <v>186</v>
      </c>
      <c r="G86" s="10" t="s">
        <v>162</v>
      </c>
      <c r="H86" s="10" t="s">
        <v>187</v>
      </c>
      <c r="I86" s="16" t="s">
        <v>188</v>
      </c>
      <c r="J86" s="11"/>
    </row>
    <row r="87" spans="1:10" s="1" customFormat="1" ht="15" customHeight="1">
      <c r="A87" s="7">
        <f t="shared" si="3"/>
        <v>85</v>
      </c>
      <c r="B87" s="41">
        <v>1</v>
      </c>
      <c r="C87" s="41">
        <v>12</v>
      </c>
      <c r="D87" s="5">
        <f t="shared" si="4"/>
        <v>6</v>
      </c>
      <c r="E87" s="5"/>
      <c r="F87" s="8" t="s">
        <v>189</v>
      </c>
      <c r="G87" s="10" t="s">
        <v>162</v>
      </c>
      <c r="H87" s="10" t="s">
        <v>190</v>
      </c>
      <c r="I87" s="16" t="s">
        <v>613</v>
      </c>
      <c r="J87" s="11"/>
    </row>
    <row r="88" spans="1:10" s="1" customFormat="1" ht="15" customHeight="1">
      <c r="A88" s="7">
        <f t="shared" si="3"/>
        <v>86</v>
      </c>
      <c r="B88" s="41">
        <v>1</v>
      </c>
      <c r="C88" s="41">
        <v>12</v>
      </c>
      <c r="D88" s="5">
        <f t="shared" si="4"/>
        <v>7</v>
      </c>
      <c r="E88" s="5"/>
      <c r="F88" s="8" t="s">
        <v>191</v>
      </c>
      <c r="G88" s="10" t="s">
        <v>162</v>
      </c>
      <c r="H88" s="10" t="s">
        <v>582</v>
      </c>
      <c r="I88" s="16" t="s">
        <v>597</v>
      </c>
      <c r="J88" s="11"/>
    </row>
    <row r="89" spans="1:10" s="1" customFormat="1" ht="15" customHeight="1">
      <c r="A89" s="7">
        <f t="shared" si="3"/>
        <v>87</v>
      </c>
      <c r="B89" s="41">
        <v>1</v>
      </c>
      <c r="C89" s="41">
        <v>12</v>
      </c>
      <c r="D89" s="5">
        <f t="shared" si="4"/>
        <v>8</v>
      </c>
      <c r="E89" s="5"/>
      <c r="F89" s="8" t="s">
        <v>192</v>
      </c>
      <c r="G89" s="10" t="s">
        <v>162</v>
      </c>
      <c r="H89" s="37"/>
      <c r="I89" s="16" t="s">
        <v>557</v>
      </c>
      <c r="J89" s="11"/>
    </row>
    <row r="90" spans="1:10" s="1" customFormat="1" ht="15" customHeight="1">
      <c r="A90" s="7">
        <f t="shared" si="3"/>
        <v>88</v>
      </c>
      <c r="B90" s="41">
        <v>1</v>
      </c>
      <c r="C90" s="41">
        <v>12</v>
      </c>
      <c r="D90" s="5">
        <f t="shared" si="4"/>
        <v>9</v>
      </c>
      <c r="E90" s="5"/>
      <c r="F90" s="8" t="s">
        <v>193</v>
      </c>
      <c r="G90" s="10" t="s">
        <v>162</v>
      </c>
      <c r="H90" s="10" t="s">
        <v>194</v>
      </c>
      <c r="I90" s="16" t="s">
        <v>615</v>
      </c>
      <c r="J90" s="11"/>
    </row>
    <row r="91" spans="1:10" s="1" customFormat="1" ht="15" customHeight="1">
      <c r="A91" s="7">
        <f t="shared" si="3"/>
        <v>89</v>
      </c>
      <c r="B91" s="41">
        <v>1</v>
      </c>
      <c r="C91" s="41">
        <v>12</v>
      </c>
      <c r="D91" s="5">
        <f t="shared" si="4"/>
        <v>10</v>
      </c>
      <c r="E91" s="5"/>
      <c r="F91" s="8" t="s">
        <v>195</v>
      </c>
      <c r="G91" s="10" t="s">
        <v>162</v>
      </c>
      <c r="H91" s="37"/>
      <c r="I91" s="16" t="s">
        <v>591</v>
      </c>
      <c r="J91" s="11"/>
    </row>
    <row r="92" spans="1:10" s="1" customFormat="1" ht="15" customHeight="1">
      <c r="A92" s="7">
        <f t="shared" si="3"/>
        <v>90</v>
      </c>
      <c r="B92" s="41">
        <v>1</v>
      </c>
      <c r="C92" s="41">
        <v>12</v>
      </c>
      <c r="D92" s="5">
        <f t="shared" si="4"/>
        <v>11</v>
      </c>
      <c r="E92" s="5"/>
      <c r="F92" s="15" t="s">
        <v>196</v>
      </c>
      <c r="G92" s="10" t="s">
        <v>162</v>
      </c>
      <c r="H92" s="16" t="s">
        <v>197</v>
      </c>
      <c r="I92" s="16" t="s">
        <v>614</v>
      </c>
      <c r="J92" s="11"/>
    </row>
    <row r="93" spans="1:10" s="1" customFormat="1" ht="15" customHeight="1">
      <c r="A93" s="7">
        <f t="shared" si="3"/>
        <v>91</v>
      </c>
      <c r="B93" s="41">
        <v>1</v>
      </c>
      <c r="C93" s="41">
        <v>12</v>
      </c>
      <c r="D93" s="5">
        <f t="shared" si="4"/>
        <v>12</v>
      </c>
      <c r="E93" s="13"/>
      <c r="F93" s="15" t="s">
        <v>198</v>
      </c>
      <c r="G93" s="10" t="s">
        <v>162</v>
      </c>
      <c r="H93" s="16" t="s">
        <v>199</v>
      </c>
      <c r="I93" s="16" t="s">
        <v>200</v>
      </c>
      <c r="J93" s="11"/>
    </row>
    <row r="94" spans="1:10" s="1" customFormat="1" ht="15" customHeight="1">
      <c r="A94" s="7">
        <f t="shared" si="3"/>
        <v>92</v>
      </c>
      <c r="B94" s="41">
        <v>1</v>
      </c>
      <c r="C94" s="41">
        <v>12</v>
      </c>
      <c r="D94" s="5">
        <f t="shared" si="4"/>
        <v>13</v>
      </c>
      <c r="E94" s="14"/>
      <c r="F94" s="15" t="s">
        <v>482</v>
      </c>
      <c r="G94" s="16" t="s">
        <v>162</v>
      </c>
      <c r="H94" s="16" t="s">
        <v>570</v>
      </c>
      <c r="I94" s="16" t="s">
        <v>569</v>
      </c>
      <c r="J94" s="11"/>
    </row>
    <row r="95" spans="1:10" s="1" customFormat="1" ht="15" customHeight="1">
      <c r="A95" s="7">
        <f t="shared" si="3"/>
        <v>93</v>
      </c>
      <c r="B95" s="41">
        <v>1</v>
      </c>
      <c r="C95" s="41">
        <v>12</v>
      </c>
      <c r="D95" s="5">
        <f t="shared" si="4"/>
        <v>14</v>
      </c>
      <c r="E95" s="14"/>
      <c r="F95" s="8" t="s">
        <v>201</v>
      </c>
      <c r="G95" s="10" t="s">
        <v>162</v>
      </c>
      <c r="H95" s="10" t="s">
        <v>202</v>
      </c>
      <c r="I95" s="16" t="s">
        <v>203</v>
      </c>
      <c r="J95" s="11"/>
    </row>
    <row r="96" spans="1:10" s="1" customFormat="1" ht="15" customHeight="1">
      <c r="A96" s="7">
        <f t="shared" si="3"/>
        <v>94</v>
      </c>
      <c r="B96" s="41">
        <v>1</v>
      </c>
      <c r="C96" s="41">
        <v>12</v>
      </c>
      <c r="D96" s="5">
        <f t="shared" si="4"/>
        <v>15</v>
      </c>
      <c r="E96" s="5"/>
      <c r="F96" s="8" t="s">
        <v>204</v>
      </c>
      <c r="G96" s="10" t="s">
        <v>162</v>
      </c>
      <c r="H96" s="10" t="s">
        <v>205</v>
      </c>
      <c r="I96" s="16" t="s">
        <v>525</v>
      </c>
      <c r="J96" s="11"/>
    </row>
    <row r="97" spans="1:10" s="1" customFormat="1" ht="15" customHeight="1" thickBot="1">
      <c r="A97" s="60">
        <f t="shared" si="3"/>
        <v>95</v>
      </c>
      <c r="B97" s="61">
        <v>1</v>
      </c>
      <c r="C97" s="61">
        <v>12</v>
      </c>
      <c r="D97" s="62">
        <f t="shared" si="4"/>
        <v>16</v>
      </c>
      <c r="E97" s="63"/>
      <c r="F97" s="64" t="s">
        <v>206</v>
      </c>
      <c r="G97" s="65" t="s">
        <v>162</v>
      </c>
      <c r="H97" s="65" t="s">
        <v>207</v>
      </c>
      <c r="I97" s="66" t="s">
        <v>208</v>
      </c>
      <c r="J97" s="11"/>
    </row>
    <row r="98" spans="1:10" s="1" customFormat="1" ht="15" customHeight="1" thickTop="1">
      <c r="A98" s="67">
        <f t="shared" si="3"/>
        <v>96</v>
      </c>
      <c r="B98" s="68">
        <v>2</v>
      </c>
      <c r="C98" s="68">
        <v>1</v>
      </c>
      <c r="D98" s="69">
        <f>IF(AND(B97=B98,C97=C98),D97+1,1)</f>
        <v>1</v>
      </c>
      <c r="E98" s="69"/>
      <c r="F98" s="70" t="s">
        <v>209</v>
      </c>
      <c r="G98" s="71" t="s">
        <v>433</v>
      </c>
      <c r="H98" s="72" t="s">
        <v>211</v>
      </c>
      <c r="I98" s="72" t="s">
        <v>618</v>
      </c>
      <c r="J98" s="11"/>
    </row>
    <row r="99" spans="1:10" s="1" customFormat="1" ht="15" customHeight="1">
      <c r="A99" s="7">
        <f t="shared" si="3"/>
        <v>97</v>
      </c>
      <c r="B99" s="44">
        <v>2</v>
      </c>
      <c r="C99" s="44">
        <v>1</v>
      </c>
      <c r="D99" s="5">
        <f t="shared" si="4"/>
        <v>2</v>
      </c>
      <c r="E99" s="14"/>
      <c r="F99" s="15" t="s">
        <v>212</v>
      </c>
      <c r="G99" s="9" t="s">
        <v>210</v>
      </c>
      <c r="H99" s="10" t="s">
        <v>213</v>
      </c>
      <c r="I99" s="16" t="s">
        <v>601</v>
      </c>
      <c r="J99" s="11"/>
    </row>
    <row r="100" spans="1:10" s="1" customFormat="1" ht="15" customHeight="1">
      <c r="A100" s="7">
        <f t="shared" si="3"/>
        <v>98</v>
      </c>
      <c r="B100" s="44">
        <v>2</v>
      </c>
      <c r="C100" s="44">
        <v>1</v>
      </c>
      <c r="D100" s="5">
        <f t="shared" si="4"/>
        <v>3</v>
      </c>
      <c r="E100" s="13"/>
      <c r="F100" s="8" t="s">
        <v>214</v>
      </c>
      <c r="G100" s="26" t="s">
        <v>518</v>
      </c>
      <c r="H100" s="10" t="s">
        <v>215</v>
      </c>
      <c r="I100" s="16" t="s">
        <v>519</v>
      </c>
      <c r="J100" s="11"/>
    </row>
    <row r="101" spans="1:10" s="1" customFormat="1" ht="15" customHeight="1">
      <c r="A101" s="7">
        <f t="shared" si="3"/>
        <v>99</v>
      </c>
      <c r="B101" s="44">
        <v>2</v>
      </c>
      <c r="C101" s="44">
        <v>1</v>
      </c>
      <c r="D101" s="5">
        <f t="shared" si="4"/>
        <v>4</v>
      </c>
      <c r="E101" s="13"/>
      <c r="F101" s="8" t="s">
        <v>216</v>
      </c>
      <c r="G101" s="12" t="s">
        <v>210</v>
      </c>
      <c r="H101" s="10" t="s">
        <v>217</v>
      </c>
      <c r="I101" s="16" t="s">
        <v>559</v>
      </c>
      <c r="J101" s="11"/>
    </row>
    <row r="102" spans="1:10" s="1" customFormat="1" ht="15" customHeight="1">
      <c r="A102" s="7">
        <f t="shared" si="3"/>
        <v>100</v>
      </c>
      <c r="B102" s="44">
        <v>2</v>
      </c>
      <c r="C102" s="44">
        <v>1</v>
      </c>
      <c r="D102" s="5">
        <f t="shared" si="4"/>
        <v>5</v>
      </c>
      <c r="E102" s="5"/>
      <c r="F102" s="8" t="s">
        <v>218</v>
      </c>
      <c r="G102" s="12" t="s">
        <v>210</v>
      </c>
      <c r="H102" s="42" t="s">
        <v>219</v>
      </c>
      <c r="I102" s="16" t="s">
        <v>220</v>
      </c>
      <c r="J102" s="11"/>
    </row>
    <row r="103" spans="1:10" s="1" customFormat="1" ht="15" customHeight="1">
      <c r="A103" s="7">
        <f t="shared" si="3"/>
        <v>101</v>
      </c>
      <c r="B103" s="44">
        <v>2</v>
      </c>
      <c r="C103" s="44">
        <v>1</v>
      </c>
      <c r="D103" s="5">
        <f t="shared" si="4"/>
        <v>6</v>
      </c>
      <c r="E103" s="5"/>
      <c r="F103" s="8" t="s">
        <v>221</v>
      </c>
      <c r="G103" s="12" t="s">
        <v>210</v>
      </c>
      <c r="H103" s="10" t="s">
        <v>222</v>
      </c>
      <c r="I103" s="16" t="s">
        <v>558</v>
      </c>
      <c r="J103" s="11"/>
    </row>
    <row r="104" spans="1:10" s="1" customFormat="1" ht="15" customHeight="1">
      <c r="A104" s="7">
        <f t="shared" si="3"/>
        <v>102</v>
      </c>
      <c r="B104" s="44">
        <v>2</v>
      </c>
      <c r="C104" s="44">
        <v>1</v>
      </c>
      <c r="D104" s="5">
        <f t="shared" si="4"/>
        <v>7</v>
      </c>
      <c r="E104" s="14" t="s">
        <v>21</v>
      </c>
      <c r="F104" s="8" t="s">
        <v>223</v>
      </c>
      <c r="G104" s="12" t="s">
        <v>224</v>
      </c>
      <c r="H104" s="10" t="s">
        <v>225</v>
      </c>
      <c r="I104" s="16" t="s">
        <v>588</v>
      </c>
      <c r="J104" s="11"/>
    </row>
    <row r="105" spans="1:10" s="1" customFormat="1" ht="15" customHeight="1">
      <c r="A105" s="7">
        <f t="shared" si="3"/>
        <v>103</v>
      </c>
      <c r="B105" s="44">
        <v>2</v>
      </c>
      <c r="C105" s="44">
        <v>1</v>
      </c>
      <c r="D105" s="5">
        <f t="shared" si="4"/>
        <v>8</v>
      </c>
      <c r="E105" s="5"/>
      <c r="F105" s="8" t="s">
        <v>226</v>
      </c>
      <c r="G105" s="12" t="s">
        <v>210</v>
      </c>
      <c r="H105" s="12" t="s">
        <v>227</v>
      </c>
      <c r="I105" s="16" t="s">
        <v>560</v>
      </c>
      <c r="J105" s="11"/>
    </row>
    <row r="106" spans="1:10" s="1" customFormat="1" ht="15" customHeight="1">
      <c r="A106" s="7">
        <f t="shared" si="3"/>
        <v>104</v>
      </c>
      <c r="B106" s="45">
        <v>2</v>
      </c>
      <c r="C106" s="45">
        <v>2</v>
      </c>
      <c r="D106" s="5">
        <f>IF(AND(B104=B106,C104=C106),D104+1,1)</f>
        <v>1</v>
      </c>
      <c r="E106" s="14"/>
      <c r="F106" s="8" t="s">
        <v>452</v>
      </c>
      <c r="G106" s="12" t="s">
        <v>210</v>
      </c>
      <c r="H106" s="10" t="s">
        <v>228</v>
      </c>
      <c r="I106" s="16" t="s">
        <v>609</v>
      </c>
      <c r="J106" s="11"/>
    </row>
    <row r="107" spans="1:10" s="1" customFormat="1" ht="15" customHeight="1">
      <c r="A107" s="7">
        <f t="shared" si="3"/>
        <v>105</v>
      </c>
      <c r="B107" s="45">
        <v>2</v>
      </c>
      <c r="C107" s="45">
        <v>2</v>
      </c>
      <c r="D107" s="5">
        <f t="shared" si="4"/>
        <v>2</v>
      </c>
      <c r="E107" s="13"/>
      <c r="F107" s="8" t="s">
        <v>229</v>
      </c>
      <c r="G107" s="12" t="s">
        <v>210</v>
      </c>
      <c r="H107" s="10" t="s">
        <v>230</v>
      </c>
      <c r="I107" s="16" t="s">
        <v>231</v>
      </c>
      <c r="J107" s="11"/>
    </row>
    <row r="108" spans="1:10" s="1" customFormat="1" ht="15" customHeight="1">
      <c r="A108" s="7">
        <f t="shared" si="3"/>
        <v>106</v>
      </c>
      <c r="B108" s="45">
        <v>2</v>
      </c>
      <c r="C108" s="45">
        <v>2</v>
      </c>
      <c r="D108" s="5">
        <f t="shared" si="4"/>
        <v>3</v>
      </c>
      <c r="E108" s="13"/>
      <c r="F108" s="8" t="s">
        <v>232</v>
      </c>
      <c r="G108" s="12" t="s">
        <v>210</v>
      </c>
      <c r="H108" s="10" t="s">
        <v>233</v>
      </c>
      <c r="I108" s="16" t="s">
        <v>234</v>
      </c>
      <c r="J108" s="11"/>
    </row>
    <row r="109" spans="1:10" s="1" customFormat="1" ht="15" customHeight="1">
      <c r="A109" s="7">
        <f t="shared" si="3"/>
        <v>107</v>
      </c>
      <c r="B109" s="45">
        <v>2</v>
      </c>
      <c r="C109" s="45">
        <v>2</v>
      </c>
      <c r="D109" s="5">
        <f t="shared" si="4"/>
        <v>4</v>
      </c>
      <c r="E109" s="5"/>
      <c r="F109" s="8" t="s">
        <v>235</v>
      </c>
      <c r="G109" s="12" t="s">
        <v>236</v>
      </c>
      <c r="H109" s="10" t="s">
        <v>237</v>
      </c>
      <c r="I109" s="16" t="s">
        <v>561</v>
      </c>
      <c r="J109" s="11"/>
    </row>
    <row r="110" spans="1:10" s="1" customFormat="1" ht="15" customHeight="1">
      <c r="A110" s="7">
        <f t="shared" si="3"/>
        <v>108</v>
      </c>
      <c r="B110" s="45">
        <v>2</v>
      </c>
      <c r="C110" s="45">
        <v>2</v>
      </c>
      <c r="D110" s="5">
        <f t="shared" si="4"/>
        <v>5</v>
      </c>
      <c r="E110" s="14" t="s">
        <v>21</v>
      </c>
      <c r="F110" s="8" t="s">
        <v>238</v>
      </c>
      <c r="G110" s="25" t="s">
        <v>239</v>
      </c>
      <c r="H110" s="10" t="s">
        <v>240</v>
      </c>
      <c r="I110" s="16" t="s">
        <v>562</v>
      </c>
      <c r="J110" s="11"/>
    </row>
    <row r="111" spans="1:10" s="1" customFormat="1" ht="15" customHeight="1">
      <c r="A111" s="7">
        <f t="shared" si="3"/>
        <v>109</v>
      </c>
      <c r="B111" s="46">
        <v>2</v>
      </c>
      <c r="C111" s="46">
        <v>3</v>
      </c>
      <c r="D111" s="5">
        <f t="shared" si="4"/>
        <v>1</v>
      </c>
      <c r="E111" s="14"/>
      <c r="F111" s="8" t="s">
        <v>241</v>
      </c>
      <c r="G111" s="12" t="s">
        <v>242</v>
      </c>
      <c r="H111" s="10" t="s">
        <v>243</v>
      </c>
      <c r="I111" s="16" t="s">
        <v>565</v>
      </c>
      <c r="J111" s="11"/>
    </row>
    <row r="112" spans="1:10" s="1" customFormat="1" ht="15" customHeight="1">
      <c r="A112" s="7">
        <f t="shared" si="3"/>
        <v>110</v>
      </c>
      <c r="B112" s="46">
        <v>2</v>
      </c>
      <c r="C112" s="46">
        <v>3</v>
      </c>
      <c r="D112" s="5">
        <f t="shared" si="4"/>
        <v>2</v>
      </c>
      <c r="E112" s="13"/>
      <c r="F112" s="8" t="s">
        <v>244</v>
      </c>
      <c r="G112" s="12" t="s">
        <v>242</v>
      </c>
      <c r="H112" s="10" t="s">
        <v>245</v>
      </c>
      <c r="I112" s="16" t="s">
        <v>563</v>
      </c>
      <c r="J112" s="11"/>
    </row>
    <row r="113" spans="1:10" s="1" customFormat="1" ht="15" customHeight="1">
      <c r="A113" s="7">
        <f t="shared" si="3"/>
        <v>111</v>
      </c>
      <c r="B113" s="46">
        <v>2</v>
      </c>
      <c r="C113" s="46">
        <v>3</v>
      </c>
      <c r="D113" s="5">
        <f t="shared" si="4"/>
        <v>3</v>
      </c>
      <c r="E113" s="14"/>
      <c r="F113" s="15" t="s">
        <v>246</v>
      </c>
      <c r="G113" s="12" t="s">
        <v>242</v>
      </c>
      <c r="H113" s="10" t="s">
        <v>247</v>
      </c>
      <c r="I113" s="16" t="s">
        <v>564</v>
      </c>
      <c r="J113" s="11"/>
    </row>
    <row r="114" spans="1:10" s="1" customFormat="1" ht="15" customHeight="1">
      <c r="A114" s="7">
        <f t="shared" si="3"/>
        <v>112</v>
      </c>
      <c r="B114" s="46">
        <v>2</v>
      </c>
      <c r="C114" s="46">
        <v>3</v>
      </c>
      <c r="D114" s="5">
        <f t="shared" si="4"/>
        <v>4</v>
      </c>
      <c r="E114" s="14" t="s">
        <v>21</v>
      </c>
      <c r="F114" s="15" t="s">
        <v>248</v>
      </c>
      <c r="G114" s="26" t="s">
        <v>249</v>
      </c>
      <c r="H114" s="16" t="s">
        <v>250</v>
      </c>
      <c r="I114" s="16" t="s">
        <v>251</v>
      </c>
      <c r="J114" s="11"/>
    </row>
    <row r="115" spans="1:10" s="1" customFormat="1" ht="15" customHeight="1">
      <c r="A115" s="7">
        <f t="shared" si="3"/>
        <v>113</v>
      </c>
      <c r="B115" s="46">
        <v>2</v>
      </c>
      <c r="C115" s="46">
        <v>3</v>
      </c>
      <c r="D115" s="5">
        <f t="shared" si="4"/>
        <v>5</v>
      </c>
      <c r="E115" s="13"/>
      <c r="F115" s="59" t="s">
        <v>630</v>
      </c>
      <c r="G115" s="26" t="s">
        <v>249</v>
      </c>
      <c r="H115" s="16" t="s">
        <v>252</v>
      </c>
      <c r="I115" s="16" t="s">
        <v>462</v>
      </c>
      <c r="J115" s="11"/>
    </row>
    <row r="116" spans="1:10" s="1" customFormat="1" ht="15" customHeight="1">
      <c r="A116" s="7">
        <f t="shared" si="3"/>
        <v>114</v>
      </c>
      <c r="B116" s="46">
        <v>2</v>
      </c>
      <c r="C116" s="46">
        <v>3</v>
      </c>
      <c r="D116" s="5">
        <f t="shared" si="4"/>
        <v>6</v>
      </c>
      <c r="E116" s="13"/>
      <c r="F116" s="15" t="s">
        <v>463</v>
      </c>
      <c r="G116" s="26" t="s">
        <v>242</v>
      </c>
      <c r="H116" s="16"/>
      <c r="I116" s="24" t="s">
        <v>461</v>
      </c>
      <c r="J116" s="11"/>
    </row>
    <row r="117" spans="1:10" s="1" customFormat="1" ht="15" customHeight="1">
      <c r="A117" s="7">
        <f t="shared" si="3"/>
        <v>115</v>
      </c>
      <c r="B117" s="33">
        <v>2</v>
      </c>
      <c r="C117" s="33">
        <v>4</v>
      </c>
      <c r="D117" s="5">
        <f>IF(AND(B115=B117,C115=C117),D115+1,1)</f>
        <v>1</v>
      </c>
      <c r="E117" s="13"/>
      <c r="F117" s="8" t="s">
        <v>253</v>
      </c>
      <c r="G117" s="12" t="s">
        <v>254</v>
      </c>
      <c r="H117" s="10" t="s">
        <v>255</v>
      </c>
      <c r="I117" s="16" t="s">
        <v>567</v>
      </c>
      <c r="J117" s="11"/>
    </row>
    <row r="118" spans="1:10" s="1" customFormat="1" ht="15" customHeight="1">
      <c r="A118" s="7">
        <f t="shared" si="3"/>
        <v>116</v>
      </c>
      <c r="B118" s="33">
        <v>2</v>
      </c>
      <c r="C118" s="33">
        <v>4</v>
      </c>
      <c r="D118" s="5">
        <f t="shared" si="4"/>
        <v>2</v>
      </c>
      <c r="E118" s="5"/>
      <c r="F118" s="8" t="s">
        <v>256</v>
      </c>
      <c r="G118" s="12" t="s">
        <v>257</v>
      </c>
      <c r="H118" s="10" t="s">
        <v>258</v>
      </c>
      <c r="I118" s="16" t="s">
        <v>566</v>
      </c>
      <c r="J118" s="11"/>
    </row>
    <row r="119" spans="1:10" s="1" customFormat="1" ht="15" customHeight="1">
      <c r="A119" s="7">
        <f t="shared" si="3"/>
        <v>117</v>
      </c>
      <c r="B119" s="33">
        <v>2</v>
      </c>
      <c r="C119" s="33">
        <v>4</v>
      </c>
      <c r="D119" s="5">
        <f t="shared" si="4"/>
        <v>3</v>
      </c>
      <c r="E119" s="13"/>
      <c r="F119" s="15" t="s">
        <v>259</v>
      </c>
      <c r="G119" s="26" t="s">
        <v>254</v>
      </c>
      <c r="H119" s="16" t="s">
        <v>260</v>
      </c>
      <c r="I119" s="16"/>
      <c r="J119" s="11"/>
    </row>
    <row r="120" spans="1:10" s="1" customFormat="1" ht="15" customHeight="1">
      <c r="A120" s="7">
        <f t="shared" si="3"/>
        <v>118</v>
      </c>
      <c r="B120" s="33">
        <v>2</v>
      </c>
      <c r="C120" s="33">
        <v>4</v>
      </c>
      <c r="D120" s="5">
        <f t="shared" si="4"/>
        <v>4</v>
      </c>
      <c r="E120" s="14" t="s">
        <v>21</v>
      </c>
      <c r="F120" s="15" t="s">
        <v>261</v>
      </c>
      <c r="G120" s="10" t="s">
        <v>262</v>
      </c>
      <c r="H120" s="10" t="s">
        <v>263</v>
      </c>
      <c r="I120" s="16" t="s">
        <v>596</v>
      </c>
      <c r="J120" s="11"/>
    </row>
    <row r="121" spans="1:10" s="1" customFormat="1" ht="15" customHeight="1">
      <c r="A121" s="7">
        <f t="shared" si="3"/>
        <v>119</v>
      </c>
      <c r="B121" s="33">
        <v>2</v>
      </c>
      <c r="C121" s="33">
        <v>4</v>
      </c>
      <c r="D121" s="5">
        <f t="shared" si="4"/>
        <v>5</v>
      </c>
      <c r="E121" s="14"/>
      <c r="F121" s="8" t="s">
        <v>264</v>
      </c>
      <c r="G121" s="26" t="s">
        <v>257</v>
      </c>
      <c r="H121" s="10" t="s">
        <v>265</v>
      </c>
      <c r="I121" s="16" t="s">
        <v>568</v>
      </c>
      <c r="J121" s="11"/>
    </row>
    <row r="122" spans="1:10" s="1" customFormat="1" ht="15" customHeight="1">
      <c r="A122" s="7">
        <f t="shared" si="3"/>
        <v>120</v>
      </c>
      <c r="B122" s="44">
        <v>2</v>
      </c>
      <c r="C122" s="44">
        <v>5</v>
      </c>
      <c r="D122" s="5">
        <f t="shared" si="4"/>
        <v>1</v>
      </c>
      <c r="E122" s="5"/>
      <c r="F122" s="8" t="s">
        <v>435</v>
      </c>
      <c r="G122" s="26" t="s">
        <v>266</v>
      </c>
      <c r="H122" s="10" t="s">
        <v>267</v>
      </c>
      <c r="I122" s="16" t="s">
        <v>445</v>
      </c>
      <c r="J122" s="11"/>
    </row>
    <row r="123" spans="1:10" s="1" customFormat="1" ht="15" customHeight="1">
      <c r="A123" s="7">
        <f t="shared" si="3"/>
        <v>121</v>
      </c>
      <c r="B123" s="44">
        <v>2</v>
      </c>
      <c r="C123" s="44">
        <v>5</v>
      </c>
      <c r="D123" s="5">
        <f t="shared" si="4"/>
        <v>2</v>
      </c>
      <c r="E123" s="14" t="s">
        <v>21</v>
      </c>
      <c r="F123" s="8" t="s">
        <v>268</v>
      </c>
      <c r="G123" s="26" t="s">
        <v>266</v>
      </c>
      <c r="H123" s="10" t="s">
        <v>269</v>
      </c>
      <c r="I123" s="16" t="s">
        <v>270</v>
      </c>
      <c r="J123" s="11"/>
    </row>
    <row r="124" spans="1:10" s="1" customFormat="1" ht="15" customHeight="1">
      <c r="A124" s="7">
        <f t="shared" si="3"/>
        <v>122</v>
      </c>
      <c r="B124" s="44">
        <v>2</v>
      </c>
      <c r="C124" s="44">
        <v>5</v>
      </c>
      <c r="D124" s="5">
        <f t="shared" si="4"/>
        <v>3</v>
      </c>
      <c r="E124" s="5"/>
      <c r="F124" s="8" t="s">
        <v>271</v>
      </c>
      <c r="G124" s="26" t="s">
        <v>254</v>
      </c>
      <c r="H124" s="10" t="s">
        <v>272</v>
      </c>
      <c r="I124" s="16" t="s">
        <v>488</v>
      </c>
      <c r="J124" s="11"/>
    </row>
    <row r="125" spans="1:10" s="1" customFormat="1" ht="15" customHeight="1">
      <c r="A125" s="7">
        <f t="shared" si="3"/>
        <v>123</v>
      </c>
      <c r="B125" s="44">
        <v>2</v>
      </c>
      <c r="C125" s="44">
        <v>5</v>
      </c>
      <c r="D125" s="5">
        <f t="shared" si="4"/>
        <v>4</v>
      </c>
      <c r="E125" s="11"/>
      <c r="F125" s="8" t="s">
        <v>273</v>
      </c>
      <c r="G125" s="26" t="s">
        <v>266</v>
      </c>
      <c r="H125" s="10" t="s">
        <v>274</v>
      </c>
      <c r="I125" s="16" t="s">
        <v>520</v>
      </c>
      <c r="J125" s="11"/>
    </row>
    <row r="126" spans="1:10" s="1" customFormat="1" ht="15" customHeight="1">
      <c r="A126" s="7">
        <f t="shared" si="3"/>
        <v>124</v>
      </c>
      <c r="B126" s="44">
        <v>2</v>
      </c>
      <c r="C126" s="44">
        <v>5</v>
      </c>
      <c r="D126" s="5">
        <f t="shared" si="4"/>
        <v>5</v>
      </c>
      <c r="E126" s="13"/>
      <c r="F126" s="8" t="s">
        <v>275</v>
      </c>
      <c r="G126" s="26" t="s">
        <v>254</v>
      </c>
      <c r="H126" s="10" t="s">
        <v>276</v>
      </c>
      <c r="I126" s="16" t="s">
        <v>489</v>
      </c>
      <c r="J126" s="11"/>
    </row>
    <row r="127" spans="1:10" s="1" customFormat="1" ht="15" customHeight="1">
      <c r="A127" s="7">
        <f t="shared" si="3"/>
        <v>125</v>
      </c>
      <c r="B127" s="44">
        <v>2</v>
      </c>
      <c r="C127" s="44">
        <v>5</v>
      </c>
      <c r="D127" s="5">
        <f t="shared" si="4"/>
        <v>6</v>
      </c>
      <c r="E127" s="14"/>
      <c r="F127" s="8" t="s">
        <v>277</v>
      </c>
      <c r="G127" s="26" t="s">
        <v>266</v>
      </c>
      <c r="H127" s="10" t="s">
        <v>278</v>
      </c>
      <c r="J127" s="11"/>
    </row>
    <row r="128" spans="1:10" s="1" customFormat="1" ht="15" customHeight="1">
      <c r="A128" s="7">
        <f t="shared" si="3"/>
        <v>126</v>
      </c>
      <c r="B128" s="44">
        <v>2</v>
      </c>
      <c r="C128" s="44">
        <v>5</v>
      </c>
      <c r="D128" s="5">
        <f t="shared" si="4"/>
        <v>7</v>
      </c>
      <c r="E128" s="5"/>
      <c r="F128" s="8" t="s">
        <v>279</v>
      </c>
      <c r="G128" s="26" t="s">
        <v>266</v>
      </c>
      <c r="H128" s="10" t="s">
        <v>280</v>
      </c>
      <c r="I128" s="16" t="s">
        <v>483</v>
      </c>
      <c r="J128" s="11"/>
    </row>
    <row r="129" spans="1:10" s="1" customFormat="1" ht="15" customHeight="1">
      <c r="A129" s="7">
        <f t="shared" si="3"/>
        <v>127</v>
      </c>
      <c r="B129" s="44">
        <v>2</v>
      </c>
      <c r="C129" s="44">
        <v>5</v>
      </c>
      <c r="D129" s="5">
        <f t="shared" si="4"/>
        <v>8</v>
      </c>
      <c r="E129" s="13"/>
      <c r="F129" s="8" t="s">
        <v>281</v>
      </c>
      <c r="G129" s="26" t="s">
        <v>254</v>
      </c>
      <c r="H129" s="10" t="s">
        <v>282</v>
      </c>
      <c r="I129" s="16"/>
      <c r="J129" s="11"/>
    </row>
    <row r="130" spans="1:10" s="1" customFormat="1" ht="15" customHeight="1">
      <c r="A130" s="7">
        <f t="shared" si="3"/>
        <v>128</v>
      </c>
      <c r="B130" s="44">
        <v>2</v>
      </c>
      <c r="C130" s="44">
        <v>5</v>
      </c>
      <c r="D130" s="5">
        <f t="shared" si="4"/>
        <v>9</v>
      </c>
      <c r="E130" s="14"/>
      <c r="F130" s="8" t="s">
        <v>283</v>
      </c>
      <c r="G130" s="38"/>
      <c r="H130" s="37"/>
      <c r="I130" s="24" t="s">
        <v>284</v>
      </c>
      <c r="J130" s="11" t="s">
        <v>285</v>
      </c>
    </row>
    <row r="131" spans="1:10" s="1" customFormat="1" ht="15" customHeight="1">
      <c r="A131" s="7">
        <f t="shared" si="3"/>
        <v>129</v>
      </c>
      <c r="B131" s="46">
        <v>2</v>
      </c>
      <c r="C131" s="46">
        <v>6</v>
      </c>
      <c r="D131" s="5">
        <f>IF(AND(B129=B131,C129=C131),D129+1,1)</f>
        <v>1</v>
      </c>
      <c r="E131" s="14" t="s">
        <v>21</v>
      </c>
      <c r="F131" s="8" t="s">
        <v>286</v>
      </c>
      <c r="G131" s="12" t="s">
        <v>287</v>
      </c>
      <c r="H131" s="10" t="s">
        <v>288</v>
      </c>
      <c r="I131" s="16" t="s">
        <v>490</v>
      </c>
      <c r="J131" s="11"/>
    </row>
    <row r="132" spans="1:10" s="1" customFormat="1" ht="15" customHeight="1">
      <c r="A132" s="7">
        <f t="shared" si="3"/>
        <v>130</v>
      </c>
      <c r="B132" s="46">
        <v>2</v>
      </c>
      <c r="C132" s="46">
        <v>6</v>
      </c>
      <c r="D132" s="5">
        <f t="shared" si="4"/>
        <v>2</v>
      </c>
      <c r="E132" s="11"/>
      <c r="F132" s="8" t="s">
        <v>289</v>
      </c>
      <c r="G132" s="12" t="s">
        <v>287</v>
      </c>
      <c r="H132" s="10" t="s">
        <v>290</v>
      </c>
      <c r="I132" s="16" t="s">
        <v>491</v>
      </c>
      <c r="J132" s="11"/>
    </row>
    <row r="133" spans="1:10" s="1" customFormat="1" ht="15" customHeight="1">
      <c r="A133" s="7">
        <f t="shared" si="3"/>
        <v>131</v>
      </c>
      <c r="B133" s="46">
        <v>2</v>
      </c>
      <c r="C133" s="46">
        <v>6</v>
      </c>
      <c r="D133" s="5">
        <f t="shared" si="4"/>
        <v>3</v>
      </c>
      <c r="E133" s="14"/>
      <c r="F133" s="8" t="s">
        <v>291</v>
      </c>
      <c r="G133" s="12" t="s">
        <v>287</v>
      </c>
      <c r="H133" s="10" t="s">
        <v>292</v>
      </c>
      <c r="I133" s="16" t="s">
        <v>604</v>
      </c>
      <c r="J133" s="11"/>
    </row>
    <row r="134" spans="1:10" s="1" customFormat="1" ht="15" customHeight="1">
      <c r="A134" s="7">
        <f t="shared" si="3"/>
        <v>132</v>
      </c>
      <c r="B134" s="46">
        <v>2</v>
      </c>
      <c r="C134" s="46">
        <v>6</v>
      </c>
      <c r="D134" s="5">
        <f t="shared" ref="D134:D189" si="5">IF(AND(B133=B134,C133=C134),D133+1,1)</f>
        <v>4</v>
      </c>
      <c r="E134" s="5"/>
      <c r="F134" s="8" t="s">
        <v>293</v>
      </c>
      <c r="G134" s="12" t="s">
        <v>287</v>
      </c>
      <c r="H134" s="10" t="s">
        <v>294</v>
      </c>
      <c r="I134" s="16" t="s">
        <v>492</v>
      </c>
      <c r="J134" s="11"/>
    </row>
    <row r="135" spans="1:10" s="1" customFormat="1" ht="15" customHeight="1">
      <c r="A135" s="7">
        <f t="shared" si="3"/>
        <v>133</v>
      </c>
      <c r="B135" s="46">
        <v>2</v>
      </c>
      <c r="C135" s="46">
        <v>6</v>
      </c>
      <c r="D135" s="5">
        <f t="shared" si="5"/>
        <v>5</v>
      </c>
      <c r="E135" s="5"/>
      <c r="F135" s="8" t="s">
        <v>295</v>
      </c>
      <c r="G135" s="12" t="s">
        <v>296</v>
      </c>
      <c r="H135" s="10" t="s">
        <v>297</v>
      </c>
      <c r="I135" s="16" t="s">
        <v>298</v>
      </c>
      <c r="J135" s="11"/>
    </row>
    <row r="136" spans="1:10" s="1" customFormat="1" ht="15" customHeight="1">
      <c r="A136" s="7">
        <f t="shared" ref="A136:A191" si="6">ROW()-2</f>
        <v>134</v>
      </c>
      <c r="B136" s="46">
        <v>2</v>
      </c>
      <c r="C136" s="46">
        <v>6</v>
      </c>
      <c r="D136" s="5">
        <f t="shared" si="5"/>
        <v>6</v>
      </c>
      <c r="E136" s="13"/>
      <c r="F136" s="8" t="s">
        <v>299</v>
      </c>
      <c r="G136" s="12" t="s">
        <v>296</v>
      </c>
      <c r="H136" s="10" t="s">
        <v>300</v>
      </c>
      <c r="I136" s="16"/>
      <c r="J136" s="11"/>
    </row>
    <row r="137" spans="1:10" s="1" customFormat="1" ht="15" customHeight="1">
      <c r="A137" s="7">
        <f t="shared" si="6"/>
        <v>135</v>
      </c>
      <c r="B137" s="29">
        <v>2</v>
      </c>
      <c r="C137" s="29">
        <v>7</v>
      </c>
      <c r="D137" s="5">
        <f t="shared" si="5"/>
        <v>1</v>
      </c>
      <c r="E137" s="14" t="s">
        <v>21</v>
      </c>
      <c r="F137" s="8" t="s">
        <v>301</v>
      </c>
      <c r="G137" s="12" t="s">
        <v>239</v>
      </c>
      <c r="H137" s="10" t="s">
        <v>583</v>
      </c>
      <c r="I137" s="16" t="s">
        <v>584</v>
      </c>
      <c r="J137" s="11"/>
    </row>
    <row r="138" spans="1:10" s="1" customFormat="1" ht="15" customHeight="1">
      <c r="A138" s="7">
        <f t="shared" si="6"/>
        <v>136</v>
      </c>
      <c r="B138" s="29">
        <v>2</v>
      </c>
      <c r="C138" s="29">
        <v>7</v>
      </c>
      <c r="D138" s="5">
        <f t="shared" si="5"/>
        <v>2</v>
      </c>
      <c r="E138" s="5"/>
      <c r="F138" s="8" t="s">
        <v>302</v>
      </c>
      <c r="G138" s="12" t="s">
        <v>239</v>
      </c>
      <c r="H138" s="10" t="s">
        <v>303</v>
      </c>
      <c r="I138" s="10"/>
      <c r="J138" s="11"/>
    </row>
    <row r="139" spans="1:10" s="1" customFormat="1" ht="15" customHeight="1">
      <c r="A139" s="7">
        <f t="shared" si="6"/>
        <v>137</v>
      </c>
      <c r="B139" s="29">
        <v>2</v>
      </c>
      <c r="C139" s="29">
        <v>7</v>
      </c>
      <c r="D139" s="5">
        <f t="shared" si="5"/>
        <v>3</v>
      </c>
      <c r="E139" s="5"/>
      <c r="F139" s="8" t="s">
        <v>304</v>
      </c>
      <c r="G139" s="12" t="s">
        <v>239</v>
      </c>
      <c r="H139" s="10" t="s">
        <v>305</v>
      </c>
      <c r="I139" s="10" t="s">
        <v>493</v>
      </c>
      <c r="J139" s="11"/>
    </row>
    <row r="140" spans="1:10" s="1" customFormat="1" ht="15" customHeight="1">
      <c r="A140" s="7">
        <f t="shared" si="6"/>
        <v>138</v>
      </c>
      <c r="B140" s="29">
        <v>2</v>
      </c>
      <c r="C140" s="29">
        <v>7</v>
      </c>
      <c r="D140" s="5">
        <f t="shared" si="5"/>
        <v>4</v>
      </c>
      <c r="E140" s="5"/>
      <c r="F140" s="8" t="s">
        <v>306</v>
      </c>
      <c r="G140" s="12" t="s">
        <v>307</v>
      </c>
      <c r="H140" s="10" t="s">
        <v>308</v>
      </c>
      <c r="I140" s="10" t="s">
        <v>611</v>
      </c>
      <c r="J140" s="11"/>
    </row>
    <row r="141" spans="1:10" s="1" customFormat="1" ht="15" customHeight="1">
      <c r="A141" s="7">
        <f t="shared" si="6"/>
        <v>139</v>
      </c>
      <c r="B141" s="29">
        <v>2</v>
      </c>
      <c r="C141" s="29">
        <v>7</v>
      </c>
      <c r="D141" s="5">
        <f t="shared" si="5"/>
        <v>5</v>
      </c>
      <c r="E141" s="13"/>
      <c r="F141" s="8" t="s">
        <v>309</v>
      </c>
      <c r="G141" s="12" t="s">
        <v>239</v>
      </c>
      <c r="H141" s="10" t="s">
        <v>310</v>
      </c>
      <c r="I141" s="10"/>
      <c r="J141" s="11"/>
    </row>
    <row r="142" spans="1:10" s="1" customFormat="1" ht="15" customHeight="1">
      <c r="A142" s="7">
        <f t="shared" si="6"/>
        <v>140</v>
      </c>
      <c r="B142" s="29">
        <v>2</v>
      </c>
      <c r="C142" s="29">
        <v>7</v>
      </c>
      <c r="D142" s="5">
        <f t="shared" si="5"/>
        <v>6</v>
      </c>
      <c r="E142" s="5"/>
      <c r="F142" s="8" t="s">
        <v>311</v>
      </c>
      <c r="G142" s="26" t="s">
        <v>324</v>
      </c>
      <c r="H142" s="10" t="s">
        <v>312</v>
      </c>
      <c r="I142" s="10" t="s">
        <v>494</v>
      </c>
      <c r="J142" s="11"/>
    </row>
    <row r="143" spans="1:10" s="1" customFormat="1" ht="15" customHeight="1">
      <c r="A143" s="7">
        <f t="shared" si="6"/>
        <v>141</v>
      </c>
      <c r="B143" s="29">
        <v>2</v>
      </c>
      <c r="C143" s="29">
        <v>7</v>
      </c>
      <c r="D143" s="5">
        <f t="shared" si="5"/>
        <v>7</v>
      </c>
      <c r="E143" s="14"/>
      <c r="F143" s="8" t="s">
        <v>313</v>
      </c>
      <c r="G143" s="26" t="s">
        <v>573</v>
      </c>
      <c r="H143" s="16" t="s">
        <v>314</v>
      </c>
      <c r="I143" s="16" t="s">
        <v>495</v>
      </c>
      <c r="J143" s="11"/>
    </row>
    <row r="144" spans="1:10" s="1" customFormat="1" ht="15" customHeight="1">
      <c r="A144" s="7">
        <f t="shared" si="6"/>
        <v>142</v>
      </c>
      <c r="B144" s="29">
        <v>2</v>
      </c>
      <c r="C144" s="29">
        <v>7</v>
      </c>
      <c r="D144" s="5">
        <f t="shared" si="5"/>
        <v>8</v>
      </c>
      <c r="E144" s="13"/>
      <c r="F144" s="8" t="s">
        <v>318</v>
      </c>
      <c r="G144" s="26" t="s">
        <v>319</v>
      </c>
      <c r="H144" s="10" t="s">
        <v>320</v>
      </c>
      <c r="I144" s="10" t="s">
        <v>599</v>
      </c>
      <c r="J144" s="11"/>
    </row>
    <row r="145" spans="1:10" s="1" customFormat="1" ht="15" customHeight="1">
      <c r="A145" s="7">
        <f t="shared" si="6"/>
        <v>143</v>
      </c>
      <c r="B145" s="29">
        <v>2</v>
      </c>
      <c r="C145" s="29">
        <v>7</v>
      </c>
      <c r="D145" s="5">
        <f t="shared" si="5"/>
        <v>9</v>
      </c>
      <c r="E145" s="13"/>
      <c r="F145" s="8" t="s">
        <v>472</v>
      </c>
      <c r="G145" s="73"/>
      <c r="H145" s="37"/>
      <c r="I145" s="10" t="s">
        <v>476</v>
      </c>
      <c r="J145" s="11"/>
    </row>
    <row r="146" spans="1:10" s="1" customFormat="1" ht="15" customHeight="1">
      <c r="A146" s="7">
        <f t="shared" si="6"/>
        <v>144</v>
      </c>
      <c r="B146" s="46">
        <v>2</v>
      </c>
      <c r="C146" s="46">
        <v>8</v>
      </c>
      <c r="D146" s="5">
        <f>IF(AND(B145=B146,C145=C146),D145+1,1)</f>
        <v>1</v>
      </c>
      <c r="E146" s="14" t="s">
        <v>21</v>
      </c>
      <c r="F146" s="8" t="s">
        <v>321</v>
      </c>
      <c r="G146" s="26" t="s">
        <v>239</v>
      </c>
      <c r="H146" s="10" t="s">
        <v>322</v>
      </c>
      <c r="I146" s="10" t="s">
        <v>496</v>
      </c>
      <c r="J146" s="11"/>
    </row>
    <row r="147" spans="1:10" s="1" customFormat="1" ht="15" customHeight="1">
      <c r="A147" s="7">
        <f t="shared" si="6"/>
        <v>145</v>
      </c>
      <c r="B147" s="46">
        <v>2</v>
      </c>
      <c r="C147" s="46">
        <v>8</v>
      </c>
      <c r="D147" s="5">
        <f t="shared" si="5"/>
        <v>2</v>
      </c>
      <c r="E147" s="5"/>
      <c r="F147" s="8" t="s">
        <v>323</v>
      </c>
      <c r="G147" s="26" t="s">
        <v>574</v>
      </c>
      <c r="H147" s="10" t="s">
        <v>325</v>
      </c>
      <c r="I147" s="16"/>
      <c r="J147" s="11"/>
    </row>
    <row r="148" spans="1:10" s="1" customFormat="1" ht="15" customHeight="1">
      <c r="A148" s="7">
        <f t="shared" si="6"/>
        <v>146</v>
      </c>
      <c r="B148" s="46">
        <v>2</v>
      </c>
      <c r="C148" s="46">
        <v>8</v>
      </c>
      <c r="D148" s="5">
        <f t="shared" si="5"/>
        <v>3</v>
      </c>
      <c r="E148" s="5"/>
      <c r="F148" s="8" t="s">
        <v>326</v>
      </c>
      <c r="G148" s="26" t="s">
        <v>324</v>
      </c>
      <c r="H148" s="10" t="s">
        <v>327</v>
      </c>
      <c r="I148" s="16" t="s">
        <v>497</v>
      </c>
      <c r="J148" s="11"/>
    </row>
    <row r="149" spans="1:10" s="1" customFormat="1" ht="15" customHeight="1">
      <c r="A149" s="7">
        <f t="shared" si="6"/>
        <v>147</v>
      </c>
      <c r="B149" s="46">
        <v>2</v>
      </c>
      <c r="C149" s="46">
        <v>8</v>
      </c>
      <c r="D149" s="5">
        <f t="shared" si="5"/>
        <v>4</v>
      </c>
      <c r="E149" s="5"/>
      <c r="F149" s="8" t="s">
        <v>328</v>
      </c>
      <c r="G149" s="26" t="s">
        <v>324</v>
      </c>
      <c r="H149" s="10" t="s">
        <v>329</v>
      </c>
      <c r="I149" s="16" t="s">
        <v>498</v>
      </c>
      <c r="J149" s="11"/>
    </row>
    <row r="150" spans="1:10" s="1" customFormat="1" ht="15" customHeight="1">
      <c r="A150" s="7">
        <f t="shared" si="6"/>
        <v>148</v>
      </c>
      <c r="B150" s="46">
        <v>2</v>
      </c>
      <c r="C150" s="46">
        <v>8</v>
      </c>
      <c r="D150" s="5">
        <f t="shared" si="5"/>
        <v>5</v>
      </c>
      <c r="E150" s="13"/>
      <c r="F150" s="8" t="s">
        <v>330</v>
      </c>
      <c r="G150" s="26" t="s">
        <v>324</v>
      </c>
      <c r="H150" s="10" t="s">
        <v>331</v>
      </c>
      <c r="I150" s="16" t="s">
        <v>499</v>
      </c>
      <c r="J150" s="11"/>
    </row>
    <row r="151" spans="1:10" s="1" customFormat="1" ht="15" customHeight="1">
      <c r="A151" s="7">
        <f t="shared" si="6"/>
        <v>149</v>
      </c>
      <c r="B151" s="46">
        <v>2</v>
      </c>
      <c r="C151" s="46">
        <v>8</v>
      </c>
      <c r="D151" s="5">
        <f t="shared" si="5"/>
        <v>6</v>
      </c>
      <c r="E151" s="13"/>
      <c r="F151" s="8" t="s">
        <v>332</v>
      </c>
      <c r="G151" s="26" t="s">
        <v>575</v>
      </c>
      <c r="H151" s="10" t="s">
        <v>333</v>
      </c>
      <c r="I151" s="16" t="s">
        <v>500</v>
      </c>
      <c r="J151" s="11"/>
    </row>
    <row r="152" spans="1:10" s="1" customFormat="1" ht="15" customHeight="1">
      <c r="A152" s="7">
        <f t="shared" si="6"/>
        <v>150</v>
      </c>
      <c r="B152" s="46">
        <v>2</v>
      </c>
      <c r="C152" s="46">
        <v>8</v>
      </c>
      <c r="D152" s="5">
        <f t="shared" si="5"/>
        <v>7</v>
      </c>
      <c r="E152" s="13"/>
      <c r="F152" s="8" t="s">
        <v>473</v>
      </c>
      <c r="G152" s="38"/>
      <c r="H152" s="37"/>
      <c r="I152" s="10" t="s">
        <v>474</v>
      </c>
      <c r="J152" s="11"/>
    </row>
    <row r="153" spans="1:10" s="1" customFormat="1" ht="15" customHeight="1">
      <c r="A153" s="7">
        <f t="shared" si="6"/>
        <v>151</v>
      </c>
      <c r="B153" s="45">
        <v>2</v>
      </c>
      <c r="C153" s="45">
        <v>9</v>
      </c>
      <c r="D153" s="5">
        <f>IF(AND(B151=B153,C151=C153),D151+1,1)</f>
        <v>1</v>
      </c>
      <c r="E153" s="13"/>
      <c r="F153" s="8" t="s">
        <v>334</v>
      </c>
      <c r="G153" s="12" t="s">
        <v>324</v>
      </c>
      <c r="H153" s="10" t="s">
        <v>335</v>
      </c>
      <c r="I153" s="16" t="s">
        <v>501</v>
      </c>
      <c r="J153" s="11"/>
    </row>
    <row r="154" spans="1:10" s="1" customFormat="1" ht="15" customHeight="1">
      <c r="A154" s="7">
        <f t="shared" si="6"/>
        <v>152</v>
      </c>
      <c r="B154" s="45">
        <v>2</v>
      </c>
      <c r="C154" s="45">
        <v>9</v>
      </c>
      <c r="D154" s="5">
        <f t="shared" si="5"/>
        <v>2</v>
      </c>
      <c r="E154" s="14"/>
      <c r="F154" s="8" t="s">
        <v>336</v>
      </c>
      <c r="G154" s="12" t="s">
        <v>324</v>
      </c>
      <c r="H154" s="10" t="s">
        <v>337</v>
      </c>
      <c r="I154" s="16" t="s">
        <v>610</v>
      </c>
      <c r="J154" s="11"/>
    </row>
    <row r="155" spans="1:10" s="1" customFormat="1" ht="15" customHeight="1">
      <c r="A155" s="7">
        <f t="shared" si="6"/>
        <v>153</v>
      </c>
      <c r="B155" s="45">
        <v>2</v>
      </c>
      <c r="C155" s="45">
        <v>9</v>
      </c>
      <c r="D155" s="5">
        <f t="shared" si="5"/>
        <v>3</v>
      </c>
      <c r="E155" s="14" t="s">
        <v>21</v>
      </c>
      <c r="F155" s="8" t="s">
        <v>338</v>
      </c>
      <c r="G155" s="12" t="s">
        <v>324</v>
      </c>
      <c r="H155" s="10" t="s">
        <v>339</v>
      </c>
      <c r="I155" s="16" t="s">
        <v>502</v>
      </c>
      <c r="J155" s="11"/>
    </row>
    <row r="156" spans="1:10" s="1" customFormat="1" ht="15" customHeight="1">
      <c r="A156" s="7">
        <f t="shared" si="6"/>
        <v>154</v>
      </c>
      <c r="B156" s="45">
        <v>2</v>
      </c>
      <c r="C156" s="45">
        <v>9</v>
      </c>
      <c r="D156" s="5">
        <f t="shared" si="5"/>
        <v>4</v>
      </c>
      <c r="E156" s="5"/>
      <c r="F156" s="8" t="s">
        <v>340</v>
      </c>
      <c r="G156" s="12" t="s">
        <v>324</v>
      </c>
      <c r="H156" s="10" t="s">
        <v>341</v>
      </c>
      <c r="I156" s="16" t="s">
        <v>503</v>
      </c>
      <c r="J156" s="11"/>
    </row>
    <row r="157" spans="1:10" s="1" customFormat="1" ht="15" customHeight="1">
      <c r="A157" s="7">
        <f t="shared" si="6"/>
        <v>155</v>
      </c>
      <c r="B157" s="45">
        <v>2</v>
      </c>
      <c r="C157" s="45">
        <v>9</v>
      </c>
      <c r="D157" s="5">
        <f t="shared" si="5"/>
        <v>5</v>
      </c>
      <c r="E157" s="5"/>
      <c r="F157" s="8" t="s">
        <v>342</v>
      </c>
      <c r="G157" s="12" t="s">
        <v>324</v>
      </c>
      <c r="H157" s="10" t="s">
        <v>343</v>
      </c>
      <c r="I157" s="16" t="s">
        <v>504</v>
      </c>
      <c r="J157" s="11"/>
    </row>
    <row r="158" spans="1:10" s="1" customFormat="1" ht="15" customHeight="1">
      <c r="A158" s="7">
        <f t="shared" si="6"/>
        <v>156</v>
      </c>
      <c r="B158" s="45">
        <v>2</v>
      </c>
      <c r="C158" s="45">
        <v>9</v>
      </c>
      <c r="D158" s="5">
        <f t="shared" si="5"/>
        <v>6</v>
      </c>
      <c r="E158" s="11"/>
      <c r="F158" s="8" t="s">
        <v>505</v>
      </c>
      <c r="G158" s="12" t="s">
        <v>324</v>
      </c>
      <c r="H158" s="10" t="s">
        <v>344</v>
      </c>
      <c r="I158" s="16" t="s">
        <v>506</v>
      </c>
      <c r="J158" s="11"/>
    </row>
    <row r="159" spans="1:10" s="1" customFormat="1" ht="15" customHeight="1">
      <c r="A159" s="7">
        <f t="shared" si="6"/>
        <v>157</v>
      </c>
      <c r="B159" s="45">
        <v>2</v>
      </c>
      <c r="C159" s="45">
        <v>9</v>
      </c>
      <c r="D159" s="5">
        <f t="shared" si="5"/>
        <v>7</v>
      </c>
      <c r="E159" s="5"/>
      <c r="F159" s="8" t="s">
        <v>345</v>
      </c>
      <c r="G159" s="12" t="s">
        <v>346</v>
      </c>
      <c r="H159" s="10" t="s">
        <v>347</v>
      </c>
      <c r="I159" s="16"/>
      <c r="J159" s="11"/>
    </row>
    <row r="160" spans="1:10" s="1" customFormat="1" ht="15" customHeight="1">
      <c r="A160" s="7">
        <f t="shared" si="6"/>
        <v>158</v>
      </c>
      <c r="B160" s="45">
        <v>2</v>
      </c>
      <c r="C160" s="45">
        <v>9</v>
      </c>
      <c r="D160" s="5">
        <f t="shared" si="5"/>
        <v>8</v>
      </c>
      <c r="E160" s="13"/>
      <c r="F160" s="8" t="s">
        <v>457</v>
      </c>
      <c r="G160" s="12" t="s">
        <v>348</v>
      </c>
      <c r="H160" s="10" t="s">
        <v>349</v>
      </c>
      <c r="I160" s="16" t="s">
        <v>350</v>
      </c>
      <c r="J160" s="11"/>
    </row>
    <row r="161" spans="1:10" s="1" customFormat="1" ht="15" customHeight="1">
      <c r="A161" s="7">
        <f t="shared" si="6"/>
        <v>159</v>
      </c>
      <c r="B161" s="33">
        <v>2</v>
      </c>
      <c r="C161" s="33">
        <v>10</v>
      </c>
      <c r="D161" s="5">
        <f t="shared" si="5"/>
        <v>1</v>
      </c>
      <c r="E161" s="13"/>
      <c r="F161" s="8" t="s">
        <v>357</v>
      </c>
      <c r="G161" s="10" t="s">
        <v>358</v>
      </c>
      <c r="H161" s="10" t="s">
        <v>359</v>
      </c>
      <c r="I161" s="16" t="s">
        <v>507</v>
      </c>
      <c r="J161" s="11"/>
    </row>
    <row r="162" spans="1:10" s="1" customFormat="1" ht="15" customHeight="1">
      <c r="A162" s="7">
        <f t="shared" si="6"/>
        <v>160</v>
      </c>
      <c r="B162" s="33">
        <v>2</v>
      </c>
      <c r="C162" s="33">
        <v>10</v>
      </c>
      <c r="D162" s="5">
        <f t="shared" si="5"/>
        <v>2</v>
      </c>
      <c r="E162" s="5"/>
      <c r="F162" s="15" t="s">
        <v>369</v>
      </c>
      <c r="G162" s="10" t="s">
        <v>370</v>
      </c>
      <c r="H162" s="10" t="s">
        <v>371</v>
      </c>
      <c r="I162" s="16" t="s">
        <v>508</v>
      </c>
      <c r="J162" s="11"/>
    </row>
    <row r="163" spans="1:10" s="1" customFormat="1" ht="15" customHeight="1">
      <c r="A163" s="7">
        <f t="shared" si="6"/>
        <v>161</v>
      </c>
      <c r="B163" s="33">
        <v>2</v>
      </c>
      <c r="C163" s="33">
        <v>10</v>
      </c>
      <c r="D163" s="5">
        <f t="shared" si="5"/>
        <v>3</v>
      </c>
      <c r="E163" s="13"/>
      <c r="F163" s="8" t="s">
        <v>375</v>
      </c>
      <c r="G163" s="10" t="s">
        <v>376</v>
      </c>
      <c r="H163" s="10" t="s">
        <v>377</v>
      </c>
      <c r="I163" s="16" t="s">
        <v>509</v>
      </c>
      <c r="J163" s="11"/>
    </row>
    <row r="164" spans="1:10" s="1" customFormat="1" ht="15" customHeight="1">
      <c r="A164" s="7">
        <f t="shared" si="6"/>
        <v>162</v>
      </c>
      <c r="B164" s="33">
        <v>2</v>
      </c>
      <c r="C164" s="33">
        <v>10</v>
      </c>
      <c r="D164" s="5">
        <f t="shared" si="5"/>
        <v>4</v>
      </c>
      <c r="E164" s="5"/>
      <c r="F164" s="8" t="s">
        <v>381</v>
      </c>
      <c r="G164" s="9" t="s">
        <v>382</v>
      </c>
      <c r="H164" s="10" t="s">
        <v>383</v>
      </c>
      <c r="I164" s="16" t="s">
        <v>384</v>
      </c>
      <c r="J164" s="11"/>
    </row>
    <row r="165" spans="1:10" s="1" customFormat="1" ht="15" customHeight="1">
      <c r="A165" s="7">
        <f t="shared" si="6"/>
        <v>163</v>
      </c>
      <c r="B165" s="33">
        <v>2</v>
      </c>
      <c r="C165" s="33">
        <v>10</v>
      </c>
      <c r="D165" s="5">
        <f t="shared" si="5"/>
        <v>5</v>
      </c>
      <c r="E165" s="14"/>
      <c r="F165" s="8" t="s">
        <v>363</v>
      </c>
      <c r="G165" s="12" t="s">
        <v>364</v>
      </c>
      <c r="H165" s="10" t="s">
        <v>365</v>
      </c>
      <c r="I165" s="16" t="s">
        <v>510</v>
      </c>
      <c r="J165" s="11"/>
    </row>
    <row r="166" spans="1:10" s="1" customFormat="1" ht="15" customHeight="1">
      <c r="A166" s="7">
        <f t="shared" si="6"/>
        <v>164</v>
      </c>
      <c r="B166" s="33">
        <v>2</v>
      </c>
      <c r="C166" s="33">
        <v>10</v>
      </c>
      <c r="D166" s="5">
        <f t="shared" si="5"/>
        <v>6</v>
      </c>
      <c r="E166" s="5"/>
      <c r="F166" s="8" t="s">
        <v>360</v>
      </c>
      <c r="G166" s="10" t="s">
        <v>361</v>
      </c>
      <c r="H166" s="10" t="s">
        <v>362</v>
      </c>
      <c r="I166" s="16"/>
      <c r="J166" s="11"/>
    </row>
    <row r="167" spans="1:10" s="1" customFormat="1" ht="15" customHeight="1">
      <c r="A167" s="7">
        <f t="shared" si="6"/>
        <v>165</v>
      </c>
      <c r="B167" s="33">
        <v>2</v>
      </c>
      <c r="C167" s="33">
        <v>10</v>
      </c>
      <c r="D167" s="5">
        <f t="shared" si="5"/>
        <v>7</v>
      </c>
      <c r="E167" s="5"/>
      <c r="F167" s="8" t="s">
        <v>372</v>
      </c>
      <c r="G167" s="10" t="s">
        <v>373</v>
      </c>
      <c r="H167" s="10" t="s">
        <v>374</v>
      </c>
      <c r="I167" s="16" t="s">
        <v>511</v>
      </c>
      <c r="J167" s="11"/>
    </row>
    <row r="168" spans="1:10" s="1" customFormat="1" ht="15" customHeight="1">
      <c r="A168" s="7">
        <f t="shared" si="6"/>
        <v>166</v>
      </c>
      <c r="B168" s="33">
        <v>2</v>
      </c>
      <c r="C168" s="33">
        <v>10</v>
      </c>
      <c r="D168" s="5">
        <f t="shared" si="5"/>
        <v>8</v>
      </c>
      <c r="E168" s="14"/>
      <c r="F168" s="8" t="s">
        <v>378</v>
      </c>
      <c r="G168" s="10" t="s">
        <v>379</v>
      </c>
      <c r="H168" s="10" t="s">
        <v>380</v>
      </c>
      <c r="I168" s="16" t="s">
        <v>512</v>
      </c>
      <c r="J168" s="11"/>
    </row>
    <row r="169" spans="1:10" s="1" customFormat="1" ht="15" customHeight="1">
      <c r="A169" s="7">
        <f t="shared" si="6"/>
        <v>167</v>
      </c>
      <c r="B169" s="33">
        <v>2</v>
      </c>
      <c r="C169" s="33">
        <v>10</v>
      </c>
      <c r="D169" s="5">
        <f t="shared" si="5"/>
        <v>9</v>
      </c>
      <c r="E169" s="14" t="s">
        <v>21</v>
      </c>
      <c r="F169" s="8" t="s">
        <v>366</v>
      </c>
      <c r="G169" s="10" t="s">
        <v>367</v>
      </c>
      <c r="H169" s="10" t="s">
        <v>368</v>
      </c>
      <c r="I169" s="16" t="s">
        <v>513</v>
      </c>
      <c r="J169" s="11"/>
    </row>
    <row r="170" spans="1:10" s="1" customFormat="1" ht="15" customHeight="1">
      <c r="A170" s="7">
        <f t="shared" si="6"/>
        <v>168</v>
      </c>
      <c r="B170" s="33">
        <v>2</v>
      </c>
      <c r="C170" s="33">
        <v>10</v>
      </c>
      <c r="D170" s="5">
        <f t="shared" si="5"/>
        <v>10</v>
      </c>
      <c r="E170" s="5"/>
      <c r="F170" s="8" t="s">
        <v>354</v>
      </c>
      <c r="G170" s="12" t="s">
        <v>355</v>
      </c>
      <c r="H170" s="10" t="s">
        <v>356</v>
      </c>
      <c r="I170" s="16" t="s">
        <v>514</v>
      </c>
      <c r="J170" s="11"/>
    </row>
    <row r="171" spans="1:10" s="1" customFormat="1" ht="15" customHeight="1">
      <c r="A171" s="7">
        <f t="shared" si="6"/>
        <v>169</v>
      </c>
      <c r="B171" s="33">
        <v>2</v>
      </c>
      <c r="C171" s="33">
        <v>10</v>
      </c>
      <c r="D171" s="5">
        <f t="shared" si="5"/>
        <v>11</v>
      </c>
      <c r="E171" s="5"/>
      <c r="F171" s="8" t="s">
        <v>351</v>
      </c>
      <c r="G171" s="12" t="s">
        <v>352</v>
      </c>
      <c r="H171" s="10" t="s">
        <v>353</v>
      </c>
      <c r="I171" s="16"/>
      <c r="J171" s="11"/>
    </row>
    <row r="172" spans="1:10" s="58" customFormat="1" ht="15" customHeight="1">
      <c r="A172" s="7">
        <f t="shared" si="6"/>
        <v>170</v>
      </c>
      <c r="B172" s="29">
        <v>2</v>
      </c>
      <c r="C172" s="29">
        <v>11</v>
      </c>
      <c r="D172" s="5">
        <f t="shared" si="5"/>
        <v>1</v>
      </c>
      <c r="E172" s="14"/>
      <c r="F172" s="15" t="s">
        <v>467</v>
      </c>
      <c r="G172" s="26" t="s">
        <v>385</v>
      </c>
      <c r="H172" s="16" t="s">
        <v>460</v>
      </c>
      <c r="I172" s="16" t="s">
        <v>453</v>
      </c>
      <c r="J172" s="21"/>
    </row>
    <row r="173" spans="1:10" s="1" customFormat="1" ht="15" customHeight="1">
      <c r="A173" s="7">
        <f t="shared" si="6"/>
        <v>171</v>
      </c>
      <c r="B173" s="29">
        <v>2</v>
      </c>
      <c r="C173" s="29">
        <v>11</v>
      </c>
      <c r="D173" s="5">
        <f t="shared" si="5"/>
        <v>2</v>
      </c>
      <c r="E173" s="5"/>
      <c r="F173" s="8" t="s">
        <v>386</v>
      </c>
      <c r="G173" s="12" t="s">
        <v>385</v>
      </c>
      <c r="H173" s="10" t="s">
        <v>387</v>
      </c>
      <c r="I173" s="16" t="s">
        <v>515</v>
      </c>
      <c r="J173" s="11"/>
    </row>
    <row r="174" spans="1:10" s="1" customFormat="1" ht="15" customHeight="1">
      <c r="A174" s="7">
        <f t="shared" si="6"/>
        <v>172</v>
      </c>
      <c r="B174" s="29">
        <v>2</v>
      </c>
      <c r="C174" s="29">
        <v>11</v>
      </c>
      <c r="D174" s="5">
        <f t="shared" si="5"/>
        <v>3</v>
      </c>
      <c r="E174" s="14" t="s">
        <v>21</v>
      </c>
      <c r="F174" s="8" t="s">
        <v>388</v>
      </c>
      <c r="G174" s="12" t="s">
        <v>385</v>
      </c>
      <c r="H174" s="10" t="s">
        <v>447</v>
      </c>
      <c r="I174" s="16" t="s">
        <v>516</v>
      </c>
      <c r="J174" s="11"/>
    </row>
    <row r="175" spans="1:10" s="1" customFormat="1" ht="15" customHeight="1">
      <c r="A175" s="7">
        <f t="shared" si="6"/>
        <v>173</v>
      </c>
      <c r="B175" s="29">
        <v>2</v>
      </c>
      <c r="C175" s="29">
        <v>11</v>
      </c>
      <c r="D175" s="5">
        <f t="shared" si="5"/>
        <v>4</v>
      </c>
      <c r="E175" s="5"/>
      <c r="F175" s="8" t="s">
        <v>389</v>
      </c>
      <c r="G175" s="12" t="s">
        <v>385</v>
      </c>
      <c r="H175" s="10" t="s">
        <v>390</v>
      </c>
      <c r="I175" s="16" t="s">
        <v>522</v>
      </c>
      <c r="J175" s="11"/>
    </row>
    <row r="176" spans="1:10" s="1" customFormat="1" ht="15" customHeight="1">
      <c r="A176" s="7">
        <f t="shared" si="6"/>
        <v>174</v>
      </c>
      <c r="B176" s="29">
        <v>2</v>
      </c>
      <c r="C176" s="29">
        <v>11</v>
      </c>
      <c r="D176" s="5">
        <f t="shared" si="5"/>
        <v>5</v>
      </c>
      <c r="E176" s="5"/>
      <c r="F176" s="8" t="s">
        <v>391</v>
      </c>
      <c r="G176" s="12" t="s">
        <v>324</v>
      </c>
      <c r="H176" s="10" t="s">
        <v>392</v>
      </c>
      <c r="I176" s="16" t="s">
        <v>620</v>
      </c>
      <c r="J176" s="11"/>
    </row>
    <row r="177" spans="1:10" s="1" customFormat="1" ht="15" customHeight="1">
      <c r="A177" s="7">
        <f t="shared" si="6"/>
        <v>175</v>
      </c>
      <c r="B177" s="29">
        <v>2</v>
      </c>
      <c r="C177" s="29">
        <v>11</v>
      </c>
      <c r="D177" s="5">
        <f t="shared" si="5"/>
        <v>6</v>
      </c>
      <c r="E177" s="5"/>
      <c r="F177" s="8" t="s">
        <v>393</v>
      </c>
      <c r="G177" s="12" t="s">
        <v>324</v>
      </c>
      <c r="H177" s="10" t="s">
        <v>394</v>
      </c>
      <c r="I177" s="16" t="s">
        <v>395</v>
      </c>
      <c r="J177" s="11"/>
    </row>
    <row r="178" spans="1:10" s="1" customFormat="1" ht="15" customHeight="1">
      <c r="A178" s="7">
        <f t="shared" si="6"/>
        <v>176</v>
      </c>
      <c r="B178" s="29">
        <v>2</v>
      </c>
      <c r="C178" s="29">
        <v>11</v>
      </c>
      <c r="D178" s="5">
        <f t="shared" si="5"/>
        <v>7</v>
      </c>
      <c r="E178" s="13"/>
      <c r="F178" s="8" t="s">
        <v>396</v>
      </c>
      <c r="G178" s="12" t="s">
        <v>397</v>
      </c>
      <c r="H178" s="10" t="s">
        <v>398</v>
      </c>
      <c r="I178" s="16" t="s">
        <v>517</v>
      </c>
      <c r="J178" s="11"/>
    </row>
    <row r="179" spans="1:10" s="1" customFormat="1" ht="15" customHeight="1">
      <c r="A179" s="7">
        <f t="shared" si="6"/>
        <v>177</v>
      </c>
      <c r="B179" s="29">
        <v>2</v>
      </c>
      <c r="C179" s="29">
        <v>11</v>
      </c>
      <c r="D179" s="5">
        <f t="shared" si="5"/>
        <v>8</v>
      </c>
      <c r="E179" s="14"/>
      <c r="F179" s="8" t="s">
        <v>399</v>
      </c>
      <c r="G179" s="12" t="s">
        <v>397</v>
      </c>
      <c r="H179" s="10" t="s">
        <v>400</v>
      </c>
      <c r="I179" s="16" t="s">
        <v>521</v>
      </c>
      <c r="J179" s="11"/>
    </row>
    <row r="180" spans="1:10" s="1" customFormat="1" ht="15" customHeight="1">
      <c r="A180" s="7">
        <f t="shared" si="6"/>
        <v>178</v>
      </c>
      <c r="B180" s="29">
        <v>2</v>
      </c>
      <c r="C180" s="29">
        <v>11</v>
      </c>
      <c r="D180" s="5">
        <f t="shared" si="5"/>
        <v>9</v>
      </c>
      <c r="E180" s="13"/>
      <c r="F180" s="8" t="s">
        <v>401</v>
      </c>
      <c r="G180" s="26" t="s">
        <v>571</v>
      </c>
      <c r="H180" s="10" t="s">
        <v>402</v>
      </c>
      <c r="I180" s="16" t="s">
        <v>579</v>
      </c>
      <c r="J180" s="11"/>
    </row>
    <row r="181" spans="1:10" s="1" customFormat="1" ht="15" customHeight="1">
      <c r="A181" s="7">
        <f t="shared" si="6"/>
        <v>179</v>
      </c>
      <c r="B181" s="29">
        <v>2</v>
      </c>
      <c r="C181" s="29">
        <v>11</v>
      </c>
      <c r="D181" s="5">
        <f t="shared" si="5"/>
        <v>10</v>
      </c>
      <c r="E181" s="5"/>
      <c r="F181" s="10" t="s">
        <v>405</v>
      </c>
      <c r="G181" s="26" t="s">
        <v>397</v>
      </c>
      <c r="H181" s="52" t="s">
        <v>403</v>
      </c>
      <c r="I181" s="24" t="s">
        <v>404</v>
      </c>
      <c r="J181" s="11" t="s">
        <v>458</v>
      </c>
    </row>
    <row r="182" spans="1:10" s="1" customFormat="1" ht="15" customHeight="1">
      <c r="A182" s="7">
        <f t="shared" si="6"/>
        <v>180</v>
      </c>
      <c r="B182" s="33">
        <v>2</v>
      </c>
      <c r="C182" s="33">
        <v>12</v>
      </c>
      <c r="D182" s="5">
        <f t="shared" si="5"/>
        <v>1</v>
      </c>
      <c r="E182" s="5"/>
      <c r="F182" s="8" t="s">
        <v>406</v>
      </c>
      <c r="G182" s="10" t="s">
        <v>407</v>
      </c>
      <c r="H182" s="10" t="s">
        <v>580</v>
      </c>
      <c r="I182" s="16" t="s">
        <v>581</v>
      </c>
      <c r="J182" s="11"/>
    </row>
    <row r="183" spans="1:10" s="1" customFormat="1" ht="15" customHeight="1">
      <c r="A183" s="7">
        <f t="shared" si="6"/>
        <v>181</v>
      </c>
      <c r="B183" s="33">
        <v>2</v>
      </c>
      <c r="C183" s="33">
        <v>12</v>
      </c>
      <c r="D183" s="5">
        <f t="shared" si="5"/>
        <v>2</v>
      </c>
      <c r="E183" s="13"/>
      <c r="F183" s="8" t="s">
        <v>409</v>
      </c>
      <c r="G183" s="10" t="s">
        <v>606</v>
      </c>
      <c r="H183" s="10" t="s">
        <v>410</v>
      </c>
      <c r="I183" s="16" t="s">
        <v>607</v>
      </c>
      <c r="J183" s="11"/>
    </row>
    <row r="184" spans="1:10" s="1" customFormat="1" ht="15" customHeight="1">
      <c r="A184" s="7">
        <f t="shared" si="6"/>
        <v>182</v>
      </c>
      <c r="B184" s="33">
        <v>2</v>
      </c>
      <c r="C184" s="33">
        <v>12</v>
      </c>
      <c r="D184" s="5">
        <f t="shared" si="5"/>
        <v>3</v>
      </c>
      <c r="E184" s="13"/>
      <c r="F184" s="8" t="s">
        <v>411</v>
      </c>
      <c r="G184" s="10" t="s">
        <v>412</v>
      </c>
      <c r="H184" s="10" t="s">
        <v>413</v>
      </c>
      <c r="I184" s="16" t="s">
        <v>586</v>
      </c>
      <c r="J184" s="11"/>
    </row>
    <row r="185" spans="1:10" s="1" customFormat="1" ht="15" customHeight="1">
      <c r="A185" s="7">
        <f t="shared" si="6"/>
        <v>183</v>
      </c>
      <c r="B185" s="33">
        <v>2</v>
      </c>
      <c r="C185" s="33">
        <v>12</v>
      </c>
      <c r="D185" s="5">
        <f t="shared" si="5"/>
        <v>4</v>
      </c>
      <c r="E185" s="5"/>
      <c r="F185" s="8" t="s">
        <v>414</v>
      </c>
      <c r="G185" s="10" t="s">
        <v>415</v>
      </c>
      <c r="H185" s="10" t="s">
        <v>416</v>
      </c>
      <c r="I185" s="16"/>
      <c r="J185" s="11"/>
    </row>
    <row r="186" spans="1:10" s="1" customFormat="1" ht="15" customHeight="1">
      <c r="A186" s="7">
        <f t="shared" si="6"/>
        <v>184</v>
      </c>
      <c r="B186" s="33">
        <v>2</v>
      </c>
      <c r="C186" s="33">
        <v>12</v>
      </c>
      <c r="D186" s="5">
        <f t="shared" si="5"/>
        <v>5</v>
      </c>
      <c r="E186" s="5"/>
      <c r="F186" s="8" t="s">
        <v>417</v>
      </c>
      <c r="G186" s="10" t="s">
        <v>418</v>
      </c>
      <c r="H186" s="10" t="s">
        <v>419</v>
      </c>
      <c r="I186" s="16"/>
      <c r="J186" s="11"/>
    </row>
    <row r="187" spans="1:10" s="1" customFormat="1" ht="15" customHeight="1">
      <c r="A187" s="7">
        <f t="shared" si="6"/>
        <v>185</v>
      </c>
      <c r="B187" s="33">
        <v>2</v>
      </c>
      <c r="C187" s="33">
        <v>12</v>
      </c>
      <c r="D187" s="5">
        <f t="shared" si="5"/>
        <v>6</v>
      </c>
      <c r="E187" s="5"/>
      <c r="F187" s="8" t="s">
        <v>420</v>
      </c>
      <c r="G187" s="37" t="s">
        <v>418</v>
      </c>
      <c r="H187" s="37"/>
      <c r="I187" s="42" t="s">
        <v>421</v>
      </c>
      <c r="J187" s="11"/>
    </row>
    <row r="188" spans="1:10" s="58" customFormat="1" ht="15" customHeight="1">
      <c r="A188" s="7">
        <f t="shared" si="6"/>
        <v>186</v>
      </c>
      <c r="B188" s="33">
        <v>2</v>
      </c>
      <c r="C188" s="33">
        <v>12</v>
      </c>
      <c r="D188" s="14">
        <f t="shared" si="5"/>
        <v>7</v>
      </c>
      <c r="E188" s="14"/>
      <c r="F188" s="15" t="s">
        <v>422</v>
      </c>
      <c r="G188" s="16" t="s">
        <v>423</v>
      </c>
      <c r="H188" s="16" t="s">
        <v>424</v>
      </c>
      <c r="I188" s="16" t="s">
        <v>602</v>
      </c>
      <c r="J188" s="21"/>
    </row>
    <row r="189" spans="1:10" s="1" customFormat="1" ht="15" customHeight="1">
      <c r="A189" s="7">
        <f t="shared" si="6"/>
        <v>187</v>
      </c>
      <c r="B189" s="33">
        <v>2</v>
      </c>
      <c r="C189" s="33">
        <v>12</v>
      </c>
      <c r="D189" s="5">
        <f t="shared" si="5"/>
        <v>8</v>
      </c>
      <c r="E189" s="14" t="s">
        <v>21</v>
      </c>
      <c r="F189" s="8" t="s">
        <v>425</v>
      </c>
      <c r="G189" s="10" t="s">
        <v>426</v>
      </c>
      <c r="H189" s="10" t="s">
        <v>446</v>
      </c>
      <c r="I189" s="16" t="s">
        <v>608</v>
      </c>
      <c r="J189" s="11"/>
    </row>
    <row r="190" spans="1:10" s="1" customFormat="1" ht="15" customHeight="1">
      <c r="A190" s="56">
        <f t="shared" si="6"/>
        <v>188</v>
      </c>
      <c r="B190" s="56">
        <v>2</v>
      </c>
      <c r="C190" s="56">
        <v>12</v>
      </c>
      <c r="D190" s="53">
        <f>IF(AND(B188=B190,C188=C190),D188+1,1)</f>
        <v>8</v>
      </c>
      <c r="E190" s="53"/>
      <c r="F190" s="54" t="s">
        <v>427</v>
      </c>
      <c r="G190" s="55" t="s">
        <v>428</v>
      </c>
      <c r="H190" s="55" t="s">
        <v>429</v>
      </c>
      <c r="I190" s="55" t="s">
        <v>430</v>
      </c>
      <c r="J190" s="11"/>
    </row>
    <row r="191" spans="1:10" s="1" customFormat="1" ht="15" customHeight="1">
      <c r="A191" s="7">
        <f t="shared" si="6"/>
        <v>189</v>
      </c>
      <c r="B191" s="33">
        <v>2</v>
      </c>
      <c r="C191" s="33">
        <v>12</v>
      </c>
      <c r="D191" s="14">
        <f>IF(AND(B189=B191,C189=C191),D189+1,1)</f>
        <v>9</v>
      </c>
      <c r="E191" s="14"/>
      <c r="F191" s="15" t="s">
        <v>478</v>
      </c>
      <c r="G191" s="16" t="s">
        <v>479</v>
      </c>
      <c r="H191" s="16" t="s">
        <v>480</v>
      </c>
      <c r="I191" s="16" t="s">
        <v>481</v>
      </c>
      <c r="J191" s="11"/>
    </row>
    <row r="193" spans="1:10" s="3" customFormat="1">
      <c r="A193" t="s">
        <v>431</v>
      </c>
      <c r="B193"/>
      <c r="C193"/>
      <c r="D193" s="28" t="s">
        <v>21</v>
      </c>
      <c r="E193" t="s">
        <v>450</v>
      </c>
      <c r="H193" s="49"/>
      <c r="I193"/>
      <c r="J193"/>
    </row>
    <row r="194" spans="1:10" s="3" customFormat="1">
      <c r="A194"/>
      <c r="B194"/>
      <c r="C194"/>
      <c r="D194" s="35"/>
      <c r="E194" s="31" t="s">
        <v>432</v>
      </c>
      <c r="H194" s="24"/>
      <c r="I194" t="s">
        <v>572</v>
      </c>
      <c r="J194"/>
    </row>
    <row r="195" spans="1:10" s="3" customFormat="1">
      <c r="A195"/>
      <c r="B195"/>
      <c r="C195"/>
      <c r="D195" s="43"/>
      <c r="E195" t="s">
        <v>441</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1" max="8" man="1"/>
    <brk id="152" max="8"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5AAE-4C8B-44B6-B822-46D951DA582F}">
  <sheetPr>
    <pageSetUpPr fitToPage="1"/>
  </sheetPr>
  <dimension ref="A1:J195"/>
  <sheetViews>
    <sheetView view="pageBreakPreview" zoomScaleNormal="120" zoomScaleSheetLayoutView="100" workbookViewId="0">
      <pane xSplit="6" ySplit="2" topLeftCell="G167" activePane="bottomRight" state="frozen"/>
      <selection pane="topRight" activeCell="G1" sqref="G1"/>
      <selection pane="bottomLeft" activeCell="A3" sqref="A3"/>
      <selection pane="bottomRight" activeCell="A2" sqref="A2"/>
    </sheetView>
  </sheetViews>
  <sheetFormatPr defaultColWidth="8.77734375" defaultRowHeight="13.2"/>
  <cols>
    <col min="1" max="1" width="4.6640625" customWidth="1"/>
    <col min="2" max="2" width="4.109375" customWidth="1"/>
    <col min="3" max="3" width="4.6640625" customWidth="1"/>
    <col min="4" max="4" width="6.6640625" customWidth="1"/>
    <col min="5" max="5" width="7.44140625" bestFit="1" customWidth="1"/>
    <col min="6" max="6" width="23.88671875" style="3" bestFit="1" customWidth="1"/>
    <col min="7" max="7" width="13.77734375" style="3" customWidth="1"/>
    <col min="8" max="8" width="15" style="3" bestFit="1" customWidth="1"/>
    <col min="9" max="9" width="53.88671875" bestFit="1" customWidth="1"/>
  </cols>
  <sheetData>
    <row r="1" spans="1:10" ht="40.5" customHeight="1">
      <c r="A1" s="155" t="s">
        <v>623</v>
      </c>
      <c r="B1" s="156"/>
      <c r="C1" s="156"/>
      <c r="D1" s="156"/>
      <c r="E1" s="156"/>
      <c r="F1" s="156"/>
      <c r="G1" s="156"/>
      <c r="H1" s="156"/>
      <c r="I1" s="156"/>
      <c r="J1" s="11"/>
    </row>
    <row r="2" spans="1:10" s="2" customFormat="1" ht="21" customHeight="1">
      <c r="A2" s="5" t="s">
        <v>0</v>
      </c>
      <c r="B2" s="5" t="s">
        <v>1</v>
      </c>
      <c r="C2" s="5" t="s">
        <v>2</v>
      </c>
      <c r="D2" s="5" t="s">
        <v>3</v>
      </c>
      <c r="E2" s="5" t="s">
        <v>4</v>
      </c>
      <c r="F2" s="5" t="s">
        <v>5</v>
      </c>
      <c r="G2" s="5" t="s">
        <v>6</v>
      </c>
      <c r="H2" s="5" t="s">
        <v>7</v>
      </c>
      <c r="I2" s="5" t="s">
        <v>8</v>
      </c>
      <c r="J2" s="6"/>
    </row>
    <row r="3" spans="1:10" s="1" customFormat="1" ht="15" customHeight="1">
      <c r="A3" s="7">
        <f>ROW()-2</f>
        <v>1</v>
      </c>
      <c r="B3" s="46">
        <v>1</v>
      </c>
      <c r="C3" s="46">
        <v>1</v>
      </c>
      <c r="D3" s="5">
        <f>IF(AND(B2=B3,C2=C3),D2+1,1)</f>
        <v>1</v>
      </c>
      <c r="E3" s="5"/>
      <c r="F3" s="8" t="s">
        <v>9</v>
      </c>
      <c r="G3" s="9" t="s">
        <v>10</v>
      </c>
      <c r="H3" s="10" t="s">
        <v>11</v>
      </c>
      <c r="I3" s="10" t="s">
        <v>484</v>
      </c>
      <c r="J3" s="11"/>
    </row>
    <row r="4" spans="1:10" s="1" customFormat="1" ht="15" customHeight="1">
      <c r="A4" s="7">
        <f t="shared" ref="A4:A68" si="0">ROW()-2</f>
        <v>2</v>
      </c>
      <c r="B4" s="46">
        <v>1</v>
      </c>
      <c r="C4" s="46">
        <v>1</v>
      </c>
      <c r="D4" s="5">
        <f>IF(AND(B3=B4,C3=C4),D3+1,1)</f>
        <v>2</v>
      </c>
      <c r="E4" s="5"/>
      <c r="F4" s="8" t="s">
        <v>12</v>
      </c>
      <c r="G4" s="12" t="s">
        <v>10</v>
      </c>
      <c r="H4" s="10" t="s">
        <v>13</v>
      </c>
      <c r="I4" s="10" t="s">
        <v>528</v>
      </c>
      <c r="J4" s="11"/>
    </row>
    <row r="5" spans="1:10" s="1" customFormat="1" ht="15" customHeight="1">
      <c r="A5" s="7">
        <f t="shared" si="0"/>
        <v>3</v>
      </c>
      <c r="B5" s="46">
        <v>1</v>
      </c>
      <c r="C5" s="46">
        <v>1</v>
      </c>
      <c r="D5" s="5">
        <f t="shared" ref="D5:D69" si="1">IF(AND(B4=B5,C4=C5),D4+1,1)</f>
        <v>3</v>
      </c>
      <c r="E5" s="13"/>
      <c r="F5" s="8" t="s">
        <v>14</v>
      </c>
      <c r="G5" s="12" t="s">
        <v>10</v>
      </c>
      <c r="H5" s="10" t="s">
        <v>15</v>
      </c>
      <c r="I5" s="10" t="s">
        <v>600</v>
      </c>
      <c r="J5" s="11"/>
    </row>
    <row r="6" spans="1:10" s="1" customFormat="1" ht="15" customHeight="1">
      <c r="A6" s="7">
        <f t="shared" si="0"/>
        <v>4</v>
      </c>
      <c r="B6" s="46">
        <v>1</v>
      </c>
      <c r="C6" s="46">
        <v>1</v>
      </c>
      <c r="D6" s="5">
        <f t="shared" si="1"/>
        <v>4</v>
      </c>
      <c r="E6" s="5"/>
      <c r="F6" s="8" t="s">
        <v>16</v>
      </c>
      <c r="G6" s="12" t="s">
        <v>10</v>
      </c>
      <c r="H6" s="10" t="s">
        <v>17</v>
      </c>
      <c r="I6" s="10" t="s">
        <v>529</v>
      </c>
      <c r="J6" s="11"/>
    </row>
    <row r="7" spans="1:10" s="1" customFormat="1" ht="15" customHeight="1">
      <c r="A7" s="7">
        <f t="shared" si="0"/>
        <v>5</v>
      </c>
      <c r="B7" s="46">
        <v>1</v>
      </c>
      <c r="C7" s="46">
        <v>1</v>
      </c>
      <c r="D7" s="5">
        <f t="shared" si="1"/>
        <v>5</v>
      </c>
      <c r="E7" s="13"/>
      <c r="F7" s="15" t="s">
        <v>18</v>
      </c>
      <c r="G7" s="26" t="s">
        <v>23</v>
      </c>
      <c r="H7" s="16" t="s">
        <v>19</v>
      </c>
      <c r="I7" s="10" t="s">
        <v>530</v>
      </c>
      <c r="J7" s="11"/>
    </row>
    <row r="8" spans="1:10" s="1" customFormat="1" ht="15" customHeight="1">
      <c r="A8" s="7">
        <f t="shared" si="0"/>
        <v>6</v>
      </c>
      <c r="B8" s="46">
        <v>1</v>
      </c>
      <c r="C8" s="46">
        <v>1</v>
      </c>
      <c r="D8" s="5">
        <f t="shared" si="1"/>
        <v>6</v>
      </c>
      <c r="E8" s="5"/>
      <c r="F8" s="15" t="s">
        <v>578</v>
      </c>
      <c r="G8" s="26" t="s">
        <v>23</v>
      </c>
      <c r="H8" s="42"/>
      <c r="I8" s="10" t="s">
        <v>533</v>
      </c>
      <c r="J8" s="11"/>
    </row>
    <row r="9" spans="1:10" s="1" customFormat="1" ht="15" customHeight="1">
      <c r="A9" s="7">
        <f t="shared" si="0"/>
        <v>7</v>
      </c>
      <c r="B9" s="46">
        <v>1</v>
      </c>
      <c r="C9" s="46">
        <v>1</v>
      </c>
      <c r="D9" s="5">
        <f t="shared" si="1"/>
        <v>7</v>
      </c>
      <c r="E9" s="14"/>
      <c r="F9" s="15" t="s">
        <v>22</v>
      </c>
      <c r="G9" s="12" t="s">
        <v>23</v>
      </c>
      <c r="H9" s="16" t="s">
        <v>24</v>
      </c>
      <c r="I9" s="10" t="s">
        <v>531</v>
      </c>
      <c r="J9" s="11"/>
    </row>
    <row r="10" spans="1:10" s="1" customFormat="1" ht="15" customHeight="1">
      <c r="A10" s="7">
        <f t="shared" si="0"/>
        <v>8</v>
      </c>
      <c r="B10" s="46">
        <v>1</v>
      </c>
      <c r="C10" s="46">
        <v>1</v>
      </c>
      <c r="D10" s="5">
        <f t="shared" si="1"/>
        <v>8</v>
      </c>
      <c r="E10" s="5"/>
      <c r="F10" s="15" t="s">
        <v>25</v>
      </c>
      <c r="G10" s="12" t="s">
        <v>23</v>
      </c>
      <c r="H10" s="16" t="s">
        <v>26</v>
      </c>
      <c r="I10" s="10" t="s">
        <v>27</v>
      </c>
      <c r="J10" s="11"/>
    </row>
    <row r="11" spans="1:10" s="1" customFormat="1" ht="15" customHeight="1">
      <c r="A11" s="7">
        <f t="shared" si="0"/>
        <v>9</v>
      </c>
      <c r="B11" s="46">
        <v>1</v>
      </c>
      <c r="C11" s="46">
        <v>1</v>
      </c>
      <c r="D11" s="5">
        <f t="shared" si="1"/>
        <v>9</v>
      </c>
      <c r="E11" s="14" t="s">
        <v>21</v>
      </c>
      <c r="F11" s="15" t="s">
        <v>28</v>
      </c>
      <c r="G11" s="12" t="s">
        <v>23</v>
      </c>
      <c r="H11" s="16" t="s">
        <v>29</v>
      </c>
      <c r="I11" s="10" t="s">
        <v>532</v>
      </c>
      <c r="J11" s="11"/>
    </row>
    <row r="12" spans="1:10" s="1" customFormat="1" ht="15" customHeight="1">
      <c r="A12" s="7">
        <f t="shared" si="0"/>
        <v>10</v>
      </c>
      <c r="B12" s="44">
        <v>1</v>
      </c>
      <c r="C12" s="44">
        <v>2</v>
      </c>
      <c r="D12" s="5">
        <f t="shared" si="1"/>
        <v>1</v>
      </c>
      <c r="E12" s="5"/>
      <c r="F12" s="8" t="s">
        <v>30</v>
      </c>
      <c r="G12" s="12" t="s">
        <v>31</v>
      </c>
      <c r="H12" s="10" t="s">
        <v>32</v>
      </c>
      <c r="I12" s="10"/>
      <c r="J12" s="11"/>
    </row>
    <row r="13" spans="1:10" s="1" customFormat="1" ht="15" customHeight="1">
      <c r="A13" s="7">
        <f t="shared" si="0"/>
        <v>11</v>
      </c>
      <c r="B13" s="44">
        <v>1</v>
      </c>
      <c r="C13" s="44">
        <v>2</v>
      </c>
      <c r="D13" s="5">
        <f t="shared" si="1"/>
        <v>2</v>
      </c>
      <c r="E13" s="13"/>
      <c r="F13" s="8" t="s">
        <v>33</v>
      </c>
      <c r="G13" s="12" t="s">
        <v>34</v>
      </c>
      <c r="H13" s="10" t="s">
        <v>35</v>
      </c>
      <c r="I13" s="10" t="s">
        <v>36</v>
      </c>
      <c r="J13" s="11"/>
    </row>
    <row r="14" spans="1:10" s="1" customFormat="1" ht="15" customHeight="1">
      <c r="A14" s="7">
        <f t="shared" si="0"/>
        <v>12</v>
      </c>
      <c r="B14" s="44">
        <v>1</v>
      </c>
      <c r="C14" s="44">
        <v>2</v>
      </c>
      <c r="D14" s="5">
        <f t="shared" si="1"/>
        <v>3</v>
      </c>
      <c r="E14" s="14"/>
      <c r="F14" s="8" t="s">
        <v>37</v>
      </c>
      <c r="G14" s="12" t="s">
        <v>31</v>
      </c>
      <c r="H14" s="10" t="s">
        <v>38</v>
      </c>
      <c r="I14" s="10" t="s">
        <v>536</v>
      </c>
      <c r="J14" s="11"/>
    </row>
    <row r="15" spans="1:10" s="1" customFormat="1" ht="15" customHeight="1">
      <c r="A15" s="7">
        <f t="shared" si="0"/>
        <v>13</v>
      </c>
      <c r="B15" s="44">
        <v>1</v>
      </c>
      <c r="C15" s="44">
        <v>2</v>
      </c>
      <c r="D15" s="5">
        <f t="shared" si="1"/>
        <v>4</v>
      </c>
      <c r="E15" s="14" t="s">
        <v>21</v>
      </c>
      <c r="F15" s="8" t="s">
        <v>39</v>
      </c>
      <c r="G15" s="12" t="s">
        <v>34</v>
      </c>
      <c r="H15" s="10" t="s">
        <v>40</v>
      </c>
      <c r="I15" s="10" t="s">
        <v>534</v>
      </c>
      <c r="J15" s="11"/>
    </row>
    <row r="16" spans="1:10" s="1" customFormat="1" ht="15" customHeight="1">
      <c r="A16" s="7">
        <f t="shared" si="0"/>
        <v>14</v>
      </c>
      <c r="B16" s="44">
        <v>1</v>
      </c>
      <c r="C16" s="44">
        <v>2</v>
      </c>
      <c r="D16" s="5">
        <f t="shared" si="1"/>
        <v>5</v>
      </c>
      <c r="E16" s="5"/>
      <c r="F16" s="8" t="s">
        <v>41</v>
      </c>
      <c r="G16" s="12" t="s">
        <v>524</v>
      </c>
      <c r="H16" s="10" t="s">
        <v>42</v>
      </c>
      <c r="I16" s="10" t="s">
        <v>535</v>
      </c>
      <c r="J16" s="11"/>
    </row>
    <row r="17" spans="1:10" s="1" customFormat="1" ht="15" customHeight="1">
      <c r="A17" s="7">
        <f t="shared" si="0"/>
        <v>15</v>
      </c>
      <c r="B17" s="44">
        <v>1</v>
      </c>
      <c r="C17" s="44">
        <v>2</v>
      </c>
      <c r="D17" s="5">
        <f t="shared" si="1"/>
        <v>6</v>
      </c>
      <c r="E17" s="5"/>
      <c r="F17" s="8" t="s">
        <v>43</v>
      </c>
      <c r="G17" s="12" t="s">
        <v>34</v>
      </c>
      <c r="H17" s="10" t="s">
        <v>44</v>
      </c>
      <c r="I17" s="10"/>
      <c r="J17" s="11"/>
    </row>
    <row r="18" spans="1:10" s="1" customFormat="1" ht="15" customHeight="1">
      <c r="A18" s="7">
        <f t="shared" si="0"/>
        <v>16</v>
      </c>
      <c r="B18" s="44">
        <v>1</v>
      </c>
      <c r="C18" s="44">
        <v>2</v>
      </c>
      <c r="D18" s="5">
        <f t="shared" si="1"/>
        <v>7</v>
      </c>
      <c r="E18" s="5"/>
      <c r="F18" s="8" t="s">
        <v>45</v>
      </c>
      <c r="G18" s="12" t="s">
        <v>31</v>
      </c>
      <c r="H18" s="10" t="s">
        <v>46</v>
      </c>
      <c r="I18" s="10" t="s">
        <v>20</v>
      </c>
      <c r="J18" s="11"/>
    </row>
    <row r="19" spans="1:10" s="1" customFormat="1" ht="15" customHeight="1">
      <c r="A19" s="7">
        <f t="shared" si="0"/>
        <v>17</v>
      </c>
      <c r="B19" s="44">
        <v>1</v>
      </c>
      <c r="C19" s="44">
        <v>2</v>
      </c>
      <c r="D19" s="5">
        <f t="shared" si="1"/>
        <v>8</v>
      </c>
      <c r="E19" s="14"/>
      <c r="F19" s="15" t="s">
        <v>468</v>
      </c>
      <c r="G19" s="26" t="s">
        <v>470</v>
      </c>
      <c r="H19" s="26" t="s">
        <v>471</v>
      </c>
      <c r="I19" s="16" t="s">
        <v>469</v>
      </c>
      <c r="J19" s="11"/>
    </row>
    <row r="20" spans="1:10" s="1" customFormat="1" ht="15" customHeight="1">
      <c r="A20" s="7">
        <f t="shared" si="0"/>
        <v>18</v>
      </c>
      <c r="B20" s="44">
        <v>1</v>
      </c>
      <c r="C20" s="44">
        <v>2</v>
      </c>
      <c r="D20" s="5">
        <f t="shared" si="1"/>
        <v>9</v>
      </c>
      <c r="E20" s="14"/>
      <c r="F20" s="50" t="s">
        <v>621</v>
      </c>
      <c r="G20" s="74"/>
      <c r="H20" s="74"/>
      <c r="I20" s="17"/>
      <c r="J20" s="11"/>
    </row>
    <row r="21" spans="1:10" s="1" customFormat="1" ht="15" customHeight="1">
      <c r="A21" s="7">
        <f t="shared" si="0"/>
        <v>19</v>
      </c>
      <c r="B21" s="45">
        <v>1</v>
      </c>
      <c r="C21" s="45">
        <v>3</v>
      </c>
      <c r="D21" s="5">
        <f>IF(AND(B18=B21,C18=C21),D18+1,1)</f>
        <v>1</v>
      </c>
      <c r="E21" s="14" t="s">
        <v>21</v>
      </c>
      <c r="F21" s="8" t="s">
        <v>47</v>
      </c>
      <c r="G21" s="12" t="s">
        <v>31</v>
      </c>
      <c r="H21" s="10" t="s">
        <v>48</v>
      </c>
      <c r="I21" s="10" t="s">
        <v>598</v>
      </c>
      <c r="J21" s="11"/>
    </row>
    <row r="22" spans="1:10" s="1" customFormat="1" ht="15" customHeight="1">
      <c r="A22" s="7">
        <f t="shared" si="0"/>
        <v>20</v>
      </c>
      <c r="B22" s="45">
        <v>1</v>
      </c>
      <c r="C22" s="45">
        <v>3</v>
      </c>
      <c r="D22" s="5">
        <f t="shared" si="1"/>
        <v>2</v>
      </c>
      <c r="E22" s="13"/>
      <c r="F22" s="8" t="s">
        <v>49</v>
      </c>
      <c r="G22" s="12" t="s">
        <v>50</v>
      </c>
      <c r="H22" s="10" t="s">
        <v>51</v>
      </c>
      <c r="I22" s="16" t="s">
        <v>537</v>
      </c>
      <c r="J22" s="11"/>
    </row>
    <row r="23" spans="1:10" s="1" customFormat="1" ht="15" customHeight="1">
      <c r="A23" s="7">
        <f t="shared" si="0"/>
        <v>21</v>
      </c>
      <c r="B23" s="45">
        <v>1</v>
      </c>
      <c r="C23" s="45">
        <v>3</v>
      </c>
      <c r="D23" s="5">
        <f t="shared" si="1"/>
        <v>3</v>
      </c>
      <c r="E23" s="13"/>
      <c r="F23" s="8" t="s">
        <v>52</v>
      </c>
      <c r="G23" s="12" t="s">
        <v>50</v>
      </c>
      <c r="H23" s="10" t="s">
        <v>53</v>
      </c>
      <c r="I23" s="10" t="s">
        <v>538</v>
      </c>
      <c r="J23" s="11"/>
    </row>
    <row r="24" spans="1:10" s="1" customFormat="1" ht="15" customHeight="1">
      <c r="A24" s="7">
        <f t="shared" si="0"/>
        <v>22</v>
      </c>
      <c r="B24" s="45">
        <v>1</v>
      </c>
      <c r="C24" s="45">
        <v>3</v>
      </c>
      <c r="D24" s="5">
        <f t="shared" si="1"/>
        <v>4</v>
      </c>
      <c r="E24" s="5"/>
      <c r="F24" s="8" t="s">
        <v>54</v>
      </c>
      <c r="G24" s="12" t="s">
        <v>50</v>
      </c>
      <c r="H24" s="10" t="s">
        <v>55</v>
      </c>
      <c r="I24" s="16"/>
      <c r="J24" s="11"/>
    </row>
    <row r="25" spans="1:10" s="1" customFormat="1" ht="15" customHeight="1">
      <c r="A25" s="7">
        <f t="shared" si="0"/>
        <v>23</v>
      </c>
      <c r="B25" s="45">
        <v>1</v>
      </c>
      <c r="C25" s="45">
        <v>3</v>
      </c>
      <c r="D25" s="5">
        <f t="shared" si="1"/>
        <v>5</v>
      </c>
      <c r="E25" s="5"/>
      <c r="F25" s="8" t="s">
        <v>56</v>
      </c>
      <c r="G25" s="12" t="s">
        <v>50</v>
      </c>
      <c r="H25" s="10" t="s">
        <v>57</v>
      </c>
      <c r="I25" s="16" t="s">
        <v>58</v>
      </c>
      <c r="J25" s="11"/>
    </row>
    <row r="26" spans="1:10" s="1" customFormat="1" ht="15" customHeight="1">
      <c r="A26" s="7">
        <f t="shared" si="0"/>
        <v>24</v>
      </c>
      <c r="B26" s="45">
        <v>1</v>
      </c>
      <c r="C26" s="45">
        <v>3</v>
      </c>
      <c r="D26" s="5">
        <f t="shared" si="1"/>
        <v>6</v>
      </c>
      <c r="E26" s="14"/>
      <c r="F26" s="8" t="s">
        <v>59</v>
      </c>
      <c r="G26" s="26" t="s">
        <v>577</v>
      </c>
      <c r="H26" s="10" t="s">
        <v>60</v>
      </c>
      <c r="I26" s="10" t="s">
        <v>603</v>
      </c>
      <c r="J26" s="11"/>
    </row>
    <row r="27" spans="1:10" s="1" customFormat="1" ht="15" customHeight="1">
      <c r="A27" s="7">
        <f t="shared" si="0"/>
        <v>25</v>
      </c>
      <c r="B27" s="45">
        <v>1</v>
      </c>
      <c r="C27" s="45">
        <v>3</v>
      </c>
      <c r="D27" s="5">
        <f t="shared" si="1"/>
        <v>7</v>
      </c>
      <c r="E27" s="5"/>
      <c r="F27" s="8" t="s">
        <v>61</v>
      </c>
      <c r="G27" s="12" t="s">
        <v>50</v>
      </c>
      <c r="H27" s="10" t="s">
        <v>62</v>
      </c>
      <c r="I27" s="16" t="s">
        <v>63</v>
      </c>
      <c r="J27" s="11"/>
    </row>
    <row r="28" spans="1:10" s="1" customFormat="1" ht="15" customHeight="1">
      <c r="A28" s="7">
        <f t="shared" si="0"/>
        <v>26</v>
      </c>
      <c r="B28" s="45">
        <v>1</v>
      </c>
      <c r="C28" s="45">
        <v>3</v>
      </c>
      <c r="D28" s="5">
        <f t="shared" si="1"/>
        <v>8</v>
      </c>
      <c r="E28" s="5"/>
      <c r="F28" s="8" t="s">
        <v>455</v>
      </c>
      <c r="G28" s="12" t="s">
        <v>50</v>
      </c>
      <c r="H28" s="10" t="s">
        <v>64</v>
      </c>
      <c r="I28" s="10" t="s">
        <v>539</v>
      </c>
      <c r="J28" s="11"/>
    </row>
    <row r="29" spans="1:10" s="1" customFormat="1" ht="15" customHeight="1">
      <c r="A29" s="7">
        <f t="shared" si="0"/>
        <v>27</v>
      </c>
      <c r="B29" s="33">
        <v>1</v>
      </c>
      <c r="C29" s="33">
        <v>4</v>
      </c>
      <c r="D29" s="5">
        <f t="shared" si="1"/>
        <v>1</v>
      </c>
      <c r="E29" s="5"/>
      <c r="F29" s="8" t="s">
        <v>456</v>
      </c>
      <c r="G29" s="10" t="s">
        <v>65</v>
      </c>
      <c r="H29" s="10" t="s">
        <v>66</v>
      </c>
      <c r="I29" s="10" t="s">
        <v>67</v>
      </c>
      <c r="J29" s="11"/>
    </row>
    <row r="30" spans="1:10" s="1" customFormat="1" ht="15" customHeight="1">
      <c r="A30" s="7">
        <f t="shared" si="0"/>
        <v>28</v>
      </c>
      <c r="B30" s="33">
        <v>1</v>
      </c>
      <c r="C30" s="33">
        <v>4</v>
      </c>
      <c r="D30" s="5">
        <f t="shared" si="1"/>
        <v>2</v>
      </c>
      <c r="E30" s="14" t="s">
        <v>21</v>
      </c>
      <c r="F30" s="8" t="s">
        <v>68</v>
      </c>
      <c r="G30" s="10" t="s">
        <v>71</v>
      </c>
      <c r="H30" s="10" t="s">
        <v>69</v>
      </c>
      <c r="I30" s="10"/>
      <c r="J30" s="11"/>
    </row>
    <row r="31" spans="1:10" s="1" customFormat="1" ht="15" customHeight="1">
      <c r="A31" s="7">
        <f t="shared" si="0"/>
        <v>29</v>
      </c>
      <c r="B31" s="33">
        <v>1</v>
      </c>
      <c r="C31" s="33">
        <v>4</v>
      </c>
      <c r="D31" s="5">
        <f t="shared" si="1"/>
        <v>3</v>
      </c>
      <c r="E31" s="5"/>
      <c r="F31" s="8" t="s">
        <v>70</v>
      </c>
      <c r="G31" s="10" t="s">
        <v>71</v>
      </c>
      <c r="H31" s="10" t="s">
        <v>72</v>
      </c>
      <c r="I31" s="10" t="s">
        <v>541</v>
      </c>
      <c r="J31" s="11"/>
    </row>
    <row r="32" spans="1:10" s="1" customFormat="1" ht="15" customHeight="1">
      <c r="A32" s="7">
        <f t="shared" si="0"/>
        <v>30</v>
      </c>
      <c r="B32" s="33">
        <v>1</v>
      </c>
      <c r="C32" s="33">
        <v>4</v>
      </c>
      <c r="D32" s="5">
        <f t="shared" si="1"/>
        <v>4</v>
      </c>
      <c r="E32" s="13"/>
      <c r="F32" s="8" t="s">
        <v>73</v>
      </c>
      <c r="G32" s="10" t="s">
        <v>71</v>
      </c>
      <c r="H32" s="10" t="s">
        <v>74</v>
      </c>
      <c r="I32" s="10" t="s">
        <v>527</v>
      </c>
      <c r="J32" s="11"/>
    </row>
    <row r="33" spans="1:10" s="1" customFormat="1" ht="15" customHeight="1">
      <c r="A33" s="7">
        <f t="shared" si="0"/>
        <v>31</v>
      </c>
      <c r="B33" s="33">
        <v>1</v>
      </c>
      <c r="C33" s="33">
        <v>4</v>
      </c>
      <c r="D33" s="5">
        <f t="shared" si="1"/>
        <v>5</v>
      </c>
      <c r="E33" s="13"/>
      <c r="F33" s="8" t="s">
        <v>75</v>
      </c>
      <c r="G33" s="10" t="s">
        <v>71</v>
      </c>
      <c r="H33" s="10" t="s">
        <v>76</v>
      </c>
      <c r="I33" s="16" t="s">
        <v>540</v>
      </c>
      <c r="J33" s="11"/>
    </row>
    <row r="34" spans="1:10" s="1" customFormat="1" ht="15" customHeight="1">
      <c r="A34" s="7">
        <f t="shared" si="0"/>
        <v>32</v>
      </c>
      <c r="B34" s="34">
        <v>1</v>
      </c>
      <c r="C34" s="34">
        <v>4</v>
      </c>
      <c r="D34" s="5">
        <f t="shared" si="1"/>
        <v>6</v>
      </c>
      <c r="E34" s="14"/>
      <c r="F34" s="15" t="s">
        <v>77</v>
      </c>
      <c r="G34" s="16" t="s">
        <v>65</v>
      </c>
      <c r="H34" s="16" t="s">
        <v>78</v>
      </c>
      <c r="I34" s="16" t="s">
        <v>595</v>
      </c>
      <c r="J34" s="11"/>
    </row>
    <row r="35" spans="1:10" s="1" customFormat="1" ht="15" customHeight="1">
      <c r="A35" s="7">
        <f t="shared" si="0"/>
        <v>33</v>
      </c>
      <c r="B35" s="39">
        <v>1</v>
      </c>
      <c r="C35" s="39">
        <v>5</v>
      </c>
      <c r="D35" s="5">
        <f t="shared" si="1"/>
        <v>1</v>
      </c>
      <c r="E35" s="14" t="s">
        <v>21</v>
      </c>
      <c r="F35" s="15" t="s">
        <v>79</v>
      </c>
      <c r="G35" s="16" t="s">
        <v>80</v>
      </c>
      <c r="H35" s="16" t="s">
        <v>81</v>
      </c>
      <c r="I35" s="16" t="s">
        <v>612</v>
      </c>
      <c r="J35" s="11"/>
    </row>
    <row r="36" spans="1:10" s="1" customFormat="1" ht="15" customHeight="1">
      <c r="A36" s="7">
        <f t="shared" si="0"/>
        <v>34</v>
      </c>
      <c r="B36" s="39">
        <v>1</v>
      </c>
      <c r="C36" s="39">
        <v>5</v>
      </c>
      <c r="D36" s="5">
        <f t="shared" si="1"/>
        <v>2</v>
      </c>
      <c r="E36" s="13"/>
      <c r="F36" s="15" t="s">
        <v>82</v>
      </c>
      <c r="G36" s="16" t="s">
        <v>80</v>
      </c>
      <c r="H36" s="16" t="s">
        <v>83</v>
      </c>
      <c r="I36" s="16" t="s">
        <v>84</v>
      </c>
      <c r="J36" s="11"/>
    </row>
    <row r="37" spans="1:10" s="1" customFormat="1" ht="15" customHeight="1">
      <c r="A37" s="7">
        <f t="shared" si="0"/>
        <v>35</v>
      </c>
      <c r="B37" s="39">
        <v>1</v>
      </c>
      <c r="C37" s="39">
        <v>5</v>
      </c>
      <c r="D37" s="5">
        <f t="shared" si="1"/>
        <v>3</v>
      </c>
      <c r="E37" s="14"/>
      <c r="F37" s="15" t="s">
        <v>85</v>
      </c>
      <c r="G37" s="16" t="s">
        <v>80</v>
      </c>
      <c r="H37" s="16" t="s">
        <v>86</v>
      </c>
      <c r="I37" s="16" t="s">
        <v>605</v>
      </c>
      <c r="J37" s="11"/>
    </row>
    <row r="38" spans="1:10" s="1" customFormat="1" ht="15" customHeight="1">
      <c r="A38" s="7">
        <f t="shared" si="0"/>
        <v>36</v>
      </c>
      <c r="B38" s="47">
        <v>1</v>
      </c>
      <c r="C38" s="47">
        <v>6</v>
      </c>
      <c r="D38" s="5">
        <f t="shared" si="1"/>
        <v>1</v>
      </c>
      <c r="E38" s="13"/>
      <c r="F38" s="15" t="s">
        <v>87</v>
      </c>
      <c r="G38" s="16" t="s">
        <v>88</v>
      </c>
      <c r="H38" s="16" t="s">
        <v>89</v>
      </c>
      <c r="I38" s="16" t="s">
        <v>485</v>
      </c>
      <c r="J38" s="11"/>
    </row>
    <row r="39" spans="1:10" s="1" customFormat="1" ht="15" customHeight="1">
      <c r="A39" s="7">
        <f t="shared" si="0"/>
        <v>37</v>
      </c>
      <c r="B39" s="47">
        <v>1</v>
      </c>
      <c r="C39" s="47">
        <v>6</v>
      </c>
      <c r="D39" s="5">
        <f t="shared" si="1"/>
        <v>2</v>
      </c>
      <c r="E39" s="14"/>
      <c r="F39" s="15" t="s">
        <v>90</v>
      </c>
      <c r="G39" s="16" t="s">
        <v>91</v>
      </c>
      <c r="H39" s="16" t="s">
        <v>92</v>
      </c>
      <c r="I39" s="16"/>
      <c r="J39" s="11"/>
    </row>
    <row r="40" spans="1:10" s="1" customFormat="1" ht="15" customHeight="1">
      <c r="A40" s="7">
        <f t="shared" si="0"/>
        <v>38</v>
      </c>
      <c r="B40" s="47">
        <v>1</v>
      </c>
      <c r="C40" s="47">
        <v>6</v>
      </c>
      <c r="D40" s="5">
        <f t="shared" si="1"/>
        <v>3</v>
      </c>
      <c r="E40" s="5"/>
      <c r="F40" s="15" t="s">
        <v>93</v>
      </c>
      <c r="G40" s="16" t="s">
        <v>91</v>
      </c>
      <c r="H40" s="16" t="s">
        <v>94</v>
      </c>
      <c r="I40" s="16" t="s">
        <v>542</v>
      </c>
      <c r="J40" s="11"/>
    </row>
    <row r="41" spans="1:10" s="1" customFormat="1" ht="15" customHeight="1">
      <c r="A41" s="7">
        <f t="shared" si="0"/>
        <v>39</v>
      </c>
      <c r="B41" s="47">
        <v>1</v>
      </c>
      <c r="C41" s="47">
        <v>6</v>
      </c>
      <c r="D41" s="5">
        <f t="shared" si="1"/>
        <v>4</v>
      </c>
      <c r="E41" s="13"/>
      <c r="F41" s="15" t="s">
        <v>95</v>
      </c>
      <c r="G41" s="16" t="s">
        <v>96</v>
      </c>
      <c r="H41" s="16" t="s">
        <v>97</v>
      </c>
      <c r="I41" s="16" t="s">
        <v>585</v>
      </c>
      <c r="J41" s="11"/>
    </row>
    <row r="42" spans="1:10" s="1" customFormat="1" ht="15" customHeight="1">
      <c r="A42" s="7">
        <f t="shared" si="0"/>
        <v>40</v>
      </c>
      <c r="B42" s="47">
        <v>1</v>
      </c>
      <c r="C42" s="47">
        <v>6</v>
      </c>
      <c r="D42" s="5">
        <f t="shared" si="1"/>
        <v>5</v>
      </c>
      <c r="E42" s="14" t="s">
        <v>21</v>
      </c>
      <c r="F42" s="15" t="s">
        <v>98</v>
      </c>
      <c r="G42" s="16" t="s">
        <v>99</v>
      </c>
      <c r="H42" s="16" t="s">
        <v>100</v>
      </c>
      <c r="I42" s="16" t="s">
        <v>101</v>
      </c>
      <c r="J42" s="11"/>
    </row>
    <row r="43" spans="1:10" s="1" customFormat="1" ht="15" customHeight="1">
      <c r="A43" s="7">
        <f t="shared" si="0"/>
        <v>41</v>
      </c>
      <c r="B43" s="47">
        <v>1</v>
      </c>
      <c r="C43" s="47">
        <v>6</v>
      </c>
      <c r="D43" s="5">
        <f t="shared" si="1"/>
        <v>6</v>
      </c>
      <c r="E43" s="5"/>
      <c r="F43" s="15" t="s">
        <v>436</v>
      </c>
      <c r="G43" s="42" t="s">
        <v>437</v>
      </c>
      <c r="H43" s="42" t="s">
        <v>438</v>
      </c>
      <c r="I43" s="16" t="s">
        <v>439</v>
      </c>
      <c r="J43" s="11"/>
    </row>
    <row r="44" spans="1:10" s="1" customFormat="1" ht="15" customHeight="1">
      <c r="A44" s="7">
        <f t="shared" si="0"/>
        <v>42</v>
      </c>
      <c r="B44" s="47">
        <v>1</v>
      </c>
      <c r="C44" s="47">
        <v>6</v>
      </c>
      <c r="D44" s="14">
        <f t="shared" si="1"/>
        <v>7</v>
      </c>
      <c r="E44" s="14"/>
      <c r="F44" s="15" t="s">
        <v>464</v>
      </c>
      <c r="G44" s="16" t="s">
        <v>466</v>
      </c>
      <c r="H44" s="16" t="s">
        <v>465</v>
      </c>
      <c r="I44" s="16" t="s">
        <v>590</v>
      </c>
      <c r="J44" s="11"/>
    </row>
    <row r="45" spans="1:10" s="1" customFormat="1" ht="15" customHeight="1">
      <c r="A45" s="7">
        <f t="shared" si="0"/>
        <v>43</v>
      </c>
      <c r="B45" s="33">
        <v>1</v>
      </c>
      <c r="C45" s="33">
        <v>7</v>
      </c>
      <c r="D45" s="5">
        <f>IF(AND(B42=B45,C42=C45),D42+1,1)</f>
        <v>1</v>
      </c>
      <c r="E45" s="14" t="s">
        <v>21</v>
      </c>
      <c r="F45" s="8" t="s">
        <v>102</v>
      </c>
      <c r="G45" s="10" t="s">
        <v>91</v>
      </c>
      <c r="H45" s="10" t="s">
        <v>103</v>
      </c>
      <c r="I45" s="16" t="s">
        <v>526</v>
      </c>
      <c r="J45" s="11"/>
    </row>
    <row r="46" spans="1:10" s="1" customFormat="1" ht="15" customHeight="1">
      <c r="A46" s="7">
        <f t="shared" si="0"/>
        <v>44</v>
      </c>
      <c r="B46" s="33">
        <v>1</v>
      </c>
      <c r="C46" s="33">
        <v>7</v>
      </c>
      <c r="D46" s="5">
        <f t="shared" si="1"/>
        <v>2</v>
      </c>
      <c r="E46" s="13"/>
      <c r="F46" s="8" t="s">
        <v>104</v>
      </c>
      <c r="G46" s="10" t="s">
        <v>91</v>
      </c>
      <c r="H46" s="10" t="s">
        <v>105</v>
      </c>
      <c r="I46" s="16"/>
      <c r="J46" s="11"/>
    </row>
    <row r="47" spans="1:10" s="1" customFormat="1" ht="15" customHeight="1">
      <c r="A47" s="7">
        <f t="shared" si="0"/>
        <v>45</v>
      </c>
      <c r="B47" s="33">
        <v>1</v>
      </c>
      <c r="C47" s="33">
        <v>7</v>
      </c>
      <c r="D47" s="5">
        <f t="shared" si="1"/>
        <v>3</v>
      </c>
      <c r="E47" s="13"/>
      <c r="F47" s="8" t="s">
        <v>106</v>
      </c>
      <c r="G47" s="10" t="s">
        <v>434</v>
      </c>
      <c r="H47" s="10" t="s">
        <v>107</v>
      </c>
      <c r="I47" s="16" t="s">
        <v>475</v>
      </c>
      <c r="J47" s="11"/>
    </row>
    <row r="48" spans="1:10" s="1" customFormat="1" ht="15" customHeight="1">
      <c r="A48" s="7">
        <f t="shared" si="0"/>
        <v>46</v>
      </c>
      <c r="B48" s="33">
        <v>1</v>
      </c>
      <c r="C48" s="33">
        <v>7</v>
      </c>
      <c r="D48" s="5">
        <f t="shared" si="1"/>
        <v>4</v>
      </c>
      <c r="E48" s="5"/>
      <c r="F48" s="8" t="s">
        <v>108</v>
      </c>
      <c r="G48" s="10" t="s">
        <v>434</v>
      </c>
      <c r="H48" s="10" t="s">
        <v>109</v>
      </c>
      <c r="I48" s="16" t="s">
        <v>543</v>
      </c>
      <c r="J48" s="11"/>
    </row>
    <row r="49" spans="1:10" s="1" customFormat="1" ht="15" customHeight="1">
      <c r="A49" s="7">
        <f t="shared" si="0"/>
        <v>47</v>
      </c>
      <c r="B49" s="33">
        <v>1</v>
      </c>
      <c r="C49" s="33">
        <v>7</v>
      </c>
      <c r="D49" s="5">
        <f t="shared" si="1"/>
        <v>5</v>
      </c>
      <c r="E49" s="14"/>
      <c r="F49" s="52" t="s">
        <v>110</v>
      </c>
      <c r="G49" s="10" t="s">
        <v>91</v>
      </c>
      <c r="H49" s="10" t="s">
        <v>111</v>
      </c>
      <c r="I49" s="16" t="s">
        <v>477</v>
      </c>
      <c r="J49" s="11"/>
    </row>
    <row r="50" spans="1:10" s="1" customFormat="1" ht="15" customHeight="1">
      <c r="A50" s="7">
        <f t="shared" si="0"/>
        <v>48</v>
      </c>
      <c r="B50" s="45">
        <v>1</v>
      </c>
      <c r="C50" s="45">
        <v>8</v>
      </c>
      <c r="D50" s="5">
        <f t="shared" si="1"/>
        <v>1</v>
      </c>
      <c r="E50" s="5"/>
      <c r="F50" s="8" t="s">
        <v>112</v>
      </c>
      <c r="G50" s="10" t="s">
        <v>113</v>
      </c>
      <c r="H50" s="10" t="s">
        <v>114</v>
      </c>
      <c r="I50" s="16" t="s">
        <v>486</v>
      </c>
      <c r="J50" s="11"/>
    </row>
    <row r="51" spans="1:10" s="1" customFormat="1" ht="15" customHeight="1">
      <c r="A51" s="7">
        <f t="shared" si="0"/>
        <v>49</v>
      </c>
      <c r="B51" s="45">
        <v>1</v>
      </c>
      <c r="C51" s="45">
        <v>8</v>
      </c>
      <c r="D51" s="5">
        <f t="shared" si="1"/>
        <v>2</v>
      </c>
      <c r="E51" s="13"/>
      <c r="F51" s="8" t="s">
        <v>115</v>
      </c>
      <c r="G51" s="10" t="s">
        <v>113</v>
      </c>
      <c r="H51" s="10" t="s">
        <v>116</v>
      </c>
      <c r="I51" s="10" t="s">
        <v>546</v>
      </c>
      <c r="J51" s="11"/>
    </row>
    <row r="52" spans="1:10" s="1" customFormat="1" ht="15" customHeight="1">
      <c r="A52" s="7">
        <f t="shared" si="0"/>
        <v>50</v>
      </c>
      <c r="B52" s="45">
        <v>1</v>
      </c>
      <c r="C52" s="45">
        <v>8</v>
      </c>
      <c r="D52" s="5">
        <f t="shared" si="1"/>
        <v>3</v>
      </c>
      <c r="E52" s="14" t="s">
        <v>21</v>
      </c>
      <c r="F52" s="8" t="s">
        <v>117</v>
      </c>
      <c r="G52" s="10" t="s">
        <v>88</v>
      </c>
      <c r="H52" s="10" t="s">
        <v>118</v>
      </c>
      <c r="I52" s="16" t="s">
        <v>544</v>
      </c>
      <c r="J52" s="11"/>
    </row>
    <row r="53" spans="1:10" s="1" customFormat="1" ht="15" customHeight="1">
      <c r="A53" s="7">
        <f t="shared" si="0"/>
        <v>51</v>
      </c>
      <c r="B53" s="45">
        <v>1</v>
      </c>
      <c r="C53" s="45">
        <v>8</v>
      </c>
      <c r="D53" s="5">
        <f t="shared" si="1"/>
        <v>4</v>
      </c>
      <c r="E53" s="5"/>
      <c r="F53" s="8" t="s">
        <v>119</v>
      </c>
      <c r="G53" s="10" t="s">
        <v>123</v>
      </c>
      <c r="H53" s="10" t="s">
        <v>121</v>
      </c>
      <c r="I53" s="16" t="s">
        <v>545</v>
      </c>
      <c r="J53" s="11"/>
    </row>
    <row r="54" spans="1:10" s="1" customFormat="1" ht="15" customHeight="1">
      <c r="A54" s="7">
        <f t="shared" si="0"/>
        <v>52</v>
      </c>
      <c r="B54" s="45">
        <v>1</v>
      </c>
      <c r="C54" s="45">
        <v>8</v>
      </c>
      <c r="D54" s="5">
        <f t="shared" si="1"/>
        <v>5</v>
      </c>
      <c r="E54" s="5"/>
      <c r="F54" s="18" t="s">
        <v>122</v>
      </c>
      <c r="G54" s="10" t="s">
        <v>123</v>
      </c>
      <c r="H54" s="10" t="s">
        <v>124</v>
      </c>
      <c r="I54" s="10" t="s">
        <v>593</v>
      </c>
      <c r="J54" s="10"/>
    </row>
    <row r="55" spans="1:10" s="1" customFormat="1" ht="15" customHeight="1">
      <c r="A55" s="7">
        <f t="shared" si="0"/>
        <v>53</v>
      </c>
      <c r="B55" s="45">
        <v>1</v>
      </c>
      <c r="C55" s="45">
        <v>8</v>
      </c>
      <c r="D55" s="5">
        <f t="shared" si="1"/>
        <v>6</v>
      </c>
      <c r="E55" s="13"/>
      <c r="F55" s="8" t="s">
        <v>125</v>
      </c>
      <c r="G55" s="16" t="s">
        <v>576</v>
      </c>
      <c r="H55" s="10" t="s">
        <v>126</v>
      </c>
      <c r="I55" s="16" t="s">
        <v>592</v>
      </c>
      <c r="J55" s="11"/>
    </row>
    <row r="56" spans="1:10" s="1" customFormat="1" ht="15" customHeight="1">
      <c r="A56" s="7">
        <f t="shared" si="0"/>
        <v>54</v>
      </c>
      <c r="B56" s="45">
        <v>1</v>
      </c>
      <c r="C56" s="45">
        <v>8</v>
      </c>
      <c r="D56" s="5">
        <f t="shared" si="1"/>
        <v>7</v>
      </c>
      <c r="E56" s="14"/>
      <c r="F56" s="8" t="s">
        <v>127</v>
      </c>
      <c r="G56" s="10" t="s">
        <v>120</v>
      </c>
      <c r="H56" s="10" t="s">
        <v>128</v>
      </c>
      <c r="I56" s="16" t="s">
        <v>587</v>
      </c>
      <c r="J56" s="11"/>
    </row>
    <row r="57" spans="1:10" s="1" customFormat="1" ht="15" customHeight="1">
      <c r="A57" s="7">
        <f t="shared" si="0"/>
        <v>55</v>
      </c>
      <c r="B57" s="29">
        <v>1</v>
      </c>
      <c r="C57" s="29">
        <v>9</v>
      </c>
      <c r="D57" s="5">
        <f t="shared" si="1"/>
        <v>1</v>
      </c>
      <c r="E57" s="14" t="s">
        <v>21</v>
      </c>
      <c r="F57" s="8" t="s">
        <v>129</v>
      </c>
      <c r="G57" s="10" t="s">
        <v>120</v>
      </c>
      <c r="H57" s="10" t="s">
        <v>130</v>
      </c>
      <c r="I57" s="16" t="s">
        <v>547</v>
      </c>
      <c r="J57" s="11"/>
    </row>
    <row r="58" spans="1:10" s="1" customFormat="1" ht="15" customHeight="1">
      <c r="A58" s="7">
        <f t="shared" si="0"/>
        <v>56</v>
      </c>
      <c r="B58" s="29">
        <v>1</v>
      </c>
      <c r="C58" s="29">
        <v>9</v>
      </c>
      <c r="D58" s="5">
        <f t="shared" si="1"/>
        <v>2</v>
      </c>
      <c r="E58" s="14"/>
      <c r="F58" s="19" t="s">
        <v>131</v>
      </c>
      <c r="G58" s="10" t="s">
        <v>120</v>
      </c>
      <c r="H58" s="10" t="s">
        <v>132</v>
      </c>
      <c r="I58" s="20" t="s">
        <v>548</v>
      </c>
      <c r="J58" s="11"/>
    </row>
    <row r="59" spans="1:10" s="4" customFormat="1" ht="15" customHeight="1">
      <c r="A59" s="7">
        <f t="shared" si="0"/>
        <v>57</v>
      </c>
      <c r="B59" s="32">
        <v>1</v>
      </c>
      <c r="C59" s="32">
        <v>9</v>
      </c>
      <c r="D59" s="5">
        <f t="shared" si="1"/>
        <v>3</v>
      </c>
      <c r="E59" s="13"/>
      <c r="F59" s="15" t="s">
        <v>133</v>
      </c>
      <c r="G59" s="16" t="s">
        <v>120</v>
      </c>
      <c r="H59" s="10" t="s">
        <v>134</v>
      </c>
      <c r="I59" s="16" t="s">
        <v>135</v>
      </c>
      <c r="J59" s="21"/>
    </row>
    <row r="60" spans="1:10" s="1" customFormat="1" ht="15" customHeight="1">
      <c r="A60" s="7">
        <f t="shared" si="0"/>
        <v>58</v>
      </c>
      <c r="B60" s="29">
        <v>1</v>
      </c>
      <c r="C60" s="29">
        <v>9</v>
      </c>
      <c r="D60" s="5">
        <f t="shared" si="1"/>
        <v>4</v>
      </c>
      <c r="E60" s="5"/>
      <c r="F60" s="8" t="s">
        <v>136</v>
      </c>
      <c r="G60" s="10" t="s">
        <v>137</v>
      </c>
      <c r="H60" s="10" t="s">
        <v>138</v>
      </c>
      <c r="I60" s="16" t="s">
        <v>619</v>
      </c>
      <c r="J60" s="11"/>
    </row>
    <row r="61" spans="1:10" s="1" customFormat="1" ht="15" customHeight="1">
      <c r="A61" s="7">
        <f t="shared" si="0"/>
        <v>59</v>
      </c>
      <c r="B61" s="29">
        <v>1</v>
      </c>
      <c r="C61" s="29">
        <v>9</v>
      </c>
      <c r="D61" s="5">
        <f t="shared" si="1"/>
        <v>5</v>
      </c>
      <c r="E61" s="11"/>
      <c r="F61" s="8" t="s">
        <v>139</v>
      </c>
      <c r="G61" s="10" t="s">
        <v>137</v>
      </c>
      <c r="H61" s="10" t="s">
        <v>140</v>
      </c>
      <c r="I61" s="16"/>
      <c r="J61" s="11"/>
    </row>
    <row r="62" spans="1:10" s="1" customFormat="1" ht="15" customHeight="1">
      <c r="A62" s="7">
        <f t="shared" si="0"/>
        <v>60</v>
      </c>
      <c r="B62" s="29">
        <v>1</v>
      </c>
      <c r="C62" s="29">
        <v>9</v>
      </c>
      <c r="D62" s="5">
        <f t="shared" si="1"/>
        <v>6</v>
      </c>
      <c r="E62" s="5"/>
      <c r="F62" s="8" t="s">
        <v>141</v>
      </c>
      <c r="G62" s="10" t="s">
        <v>137</v>
      </c>
      <c r="H62" s="10" t="s">
        <v>142</v>
      </c>
      <c r="I62" s="16" t="s">
        <v>523</v>
      </c>
      <c r="J62" s="11"/>
    </row>
    <row r="63" spans="1:10" s="1" customFormat="1" ht="15" customHeight="1">
      <c r="A63" s="7">
        <f t="shared" si="0"/>
        <v>61</v>
      </c>
      <c r="B63" s="29">
        <v>1</v>
      </c>
      <c r="C63" s="29">
        <v>9</v>
      </c>
      <c r="D63" s="5">
        <f t="shared" si="1"/>
        <v>7</v>
      </c>
      <c r="E63" s="5"/>
      <c r="F63" s="8" t="s">
        <v>143</v>
      </c>
      <c r="G63" s="10" t="s">
        <v>123</v>
      </c>
      <c r="H63" s="10" t="s">
        <v>144</v>
      </c>
      <c r="I63" s="16" t="s">
        <v>594</v>
      </c>
      <c r="J63" s="11"/>
    </row>
    <row r="64" spans="1:10" s="1" customFormat="1" ht="15" customHeight="1">
      <c r="A64" s="7">
        <f t="shared" si="0"/>
        <v>62</v>
      </c>
      <c r="B64" s="29">
        <v>1</v>
      </c>
      <c r="C64" s="29">
        <v>9</v>
      </c>
      <c r="D64" s="5">
        <f t="shared" si="1"/>
        <v>8</v>
      </c>
      <c r="E64" s="13"/>
      <c r="F64" s="8" t="s">
        <v>145</v>
      </c>
      <c r="G64" s="10" t="s">
        <v>123</v>
      </c>
      <c r="H64" s="10" t="s">
        <v>146</v>
      </c>
      <c r="I64" s="16" t="s">
        <v>589</v>
      </c>
      <c r="J64" s="11"/>
    </row>
    <row r="65" spans="1:10" s="1" customFormat="1" ht="15" customHeight="1">
      <c r="A65" s="7">
        <f t="shared" si="0"/>
        <v>63</v>
      </c>
      <c r="B65" s="29">
        <v>1</v>
      </c>
      <c r="C65" s="29">
        <v>9</v>
      </c>
      <c r="D65" s="5">
        <f t="shared" si="1"/>
        <v>9</v>
      </c>
      <c r="E65" s="13"/>
      <c r="F65" s="8" t="s">
        <v>147</v>
      </c>
      <c r="G65" s="10" t="s">
        <v>123</v>
      </c>
      <c r="H65" s="10" t="s">
        <v>148</v>
      </c>
      <c r="I65" s="16" t="s">
        <v>440</v>
      </c>
      <c r="J65" s="11"/>
    </row>
    <row r="66" spans="1:10" s="1" customFormat="1" ht="15" customHeight="1">
      <c r="A66" s="7">
        <f t="shared" si="0"/>
        <v>64</v>
      </c>
      <c r="B66" s="33">
        <v>1</v>
      </c>
      <c r="C66" s="33">
        <v>10</v>
      </c>
      <c r="D66" s="5">
        <f>IF(AND(B64=B66,C64=C66),D64+1,1)</f>
        <v>1</v>
      </c>
      <c r="E66" s="5"/>
      <c r="F66" s="8" t="s">
        <v>149</v>
      </c>
      <c r="G66" s="12" t="s">
        <v>150</v>
      </c>
      <c r="H66" s="10" t="s">
        <v>151</v>
      </c>
      <c r="I66" s="16"/>
      <c r="J66" s="11"/>
    </row>
    <row r="67" spans="1:10" s="1" customFormat="1" ht="15" customHeight="1">
      <c r="A67" s="7">
        <f t="shared" si="0"/>
        <v>65</v>
      </c>
      <c r="B67" s="33">
        <v>1</v>
      </c>
      <c r="C67" s="33">
        <v>10</v>
      </c>
      <c r="D67" s="5">
        <f t="shared" si="1"/>
        <v>2</v>
      </c>
      <c r="E67" s="13"/>
      <c r="F67" s="8" t="s">
        <v>152</v>
      </c>
      <c r="G67" s="12" t="s">
        <v>153</v>
      </c>
      <c r="H67" s="10" t="s">
        <v>154</v>
      </c>
      <c r="I67" s="16" t="s">
        <v>551</v>
      </c>
      <c r="J67" s="11"/>
    </row>
    <row r="68" spans="1:10" s="1" customFormat="1" ht="15" customHeight="1">
      <c r="A68" s="7">
        <f t="shared" si="0"/>
        <v>66</v>
      </c>
      <c r="B68" s="33">
        <v>1</v>
      </c>
      <c r="C68" s="33">
        <v>10</v>
      </c>
      <c r="D68" s="5">
        <f t="shared" si="1"/>
        <v>3</v>
      </c>
      <c r="E68" s="14"/>
      <c r="F68" s="8" t="s">
        <v>155</v>
      </c>
      <c r="G68" s="12" t="s">
        <v>153</v>
      </c>
      <c r="H68" s="10" t="s">
        <v>156</v>
      </c>
      <c r="I68" s="16" t="s">
        <v>550</v>
      </c>
      <c r="J68" s="11"/>
    </row>
    <row r="69" spans="1:10" s="1" customFormat="1" ht="15" customHeight="1">
      <c r="A69" s="7">
        <f t="shared" ref="A69:A134" si="2">ROW()-2</f>
        <v>67</v>
      </c>
      <c r="B69" s="33">
        <v>1</v>
      </c>
      <c r="C69" s="33">
        <v>10</v>
      </c>
      <c r="D69" s="5">
        <f t="shared" si="1"/>
        <v>4</v>
      </c>
      <c r="E69" s="14" t="s">
        <v>21</v>
      </c>
      <c r="F69" s="8" t="s">
        <v>157</v>
      </c>
      <c r="G69" s="12" t="s">
        <v>153</v>
      </c>
      <c r="H69" s="10" t="s">
        <v>158</v>
      </c>
      <c r="I69" s="16" t="s">
        <v>549</v>
      </c>
      <c r="J69" s="11"/>
    </row>
    <row r="70" spans="1:10" s="1" customFormat="1" ht="15" customHeight="1">
      <c r="A70" s="7">
        <f t="shared" si="2"/>
        <v>68</v>
      </c>
      <c r="B70" s="33">
        <v>1</v>
      </c>
      <c r="C70" s="33">
        <v>10</v>
      </c>
      <c r="D70" s="5">
        <f t="shared" ref="D70:D134" si="3">IF(AND(B69=B70,C69=C70),D69+1,1)</f>
        <v>5</v>
      </c>
      <c r="E70" s="13"/>
      <c r="F70" s="8" t="s">
        <v>159</v>
      </c>
      <c r="G70" s="38"/>
      <c r="H70" s="37"/>
      <c r="I70" s="30" t="s">
        <v>160</v>
      </c>
      <c r="J70" s="11"/>
    </row>
    <row r="71" spans="1:10" s="1" customFormat="1" ht="15" customHeight="1">
      <c r="A71" s="7">
        <f t="shared" si="2"/>
        <v>69</v>
      </c>
      <c r="B71" s="33">
        <v>1</v>
      </c>
      <c r="C71" s="33">
        <v>10</v>
      </c>
      <c r="D71" s="5">
        <f t="shared" si="3"/>
        <v>6</v>
      </c>
      <c r="E71" s="14"/>
      <c r="F71" s="50" t="s">
        <v>622</v>
      </c>
      <c r="G71" s="27"/>
      <c r="H71" s="23"/>
      <c r="I71" s="17"/>
      <c r="J71" s="11"/>
    </row>
    <row r="72" spans="1:10" s="1" customFormat="1" ht="15" customHeight="1">
      <c r="A72" s="7">
        <f t="shared" si="2"/>
        <v>70</v>
      </c>
      <c r="B72" s="40">
        <v>1</v>
      </c>
      <c r="C72" s="40">
        <v>11</v>
      </c>
      <c r="D72" s="5">
        <f>IF(AND(B69=B72,C69=C72),D69+1,1)</f>
        <v>1</v>
      </c>
      <c r="E72" s="5"/>
      <c r="F72" s="8" t="s">
        <v>161</v>
      </c>
      <c r="G72" s="10" t="s">
        <v>162</v>
      </c>
      <c r="H72" s="10" t="s">
        <v>163</v>
      </c>
      <c r="I72" s="16" t="s">
        <v>552</v>
      </c>
      <c r="J72" s="11"/>
    </row>
    <row r="73" spans="1:10" s="1" customFormat="1" ht="15" customHeight="1">
      <c r="A73" s="7">
        <f t="shared" si="2"/>
        <v>71</v>
      </c>
      <c r="B73" s="40">
        <v>1</v>
      </c>
      <c r="C73" s="40">
        <v>11</v>
      </c>
      <c r="D73" s="5">
        <f t="shared" si="3"/>
        <v>2</v>
      </c>
      <c r="E73" s="5"/>
      <c r="F73" s="8" t="s">
        <v>487</v>
      </c>
      <c r="G73" s="10" t="s">
        <v>162</v>
      </c>
      <c r="H73" s="10" t="s">
        <v>164</v>
      </c>
      <c r="I73" s="16" t="s">
        <v>555</v>
      </c>
      <c r="J73" s="11"/>
    </row>
    <row r="74" spans="1:10" s="1" customFormat="1" ht="15" customHeight="1">
      <c r="A74" s="7">
        <f t="shared" si="2"/>
        <v>72</v>
      </c>
      <c r="B74" s="40">
        <v>1</v>
      </c>
      <c r="C74" s="40">
        <v>11</v>
      </c>
      <c r="D74" s="5">
        <f t="shared" si="3"/>
        <v>3</v>
      </c>
      <c r="E74" s="5"/>
      <c r="F74" s="8" t="s">
        <v>165</v>
      </c>
      <c r="G74" s="10" t="s">
        <v>162</v>
      </c>
      <c r="H74" s="10" t="s">
        <v>166</v>
      </c>
      <c r="I74" s="16" t="s">
        <v>553</v>
      </c>
      <c r="J74" s="11"/>
    </row>
    <row r="75" spans="1:10" s="1" customFormat="1" ht="15" customHeight="1">
      <c r="A75" s="7">
        <f t="shared" si="2"/>
        <v>73</v>
      </c>
      <c r="B75" s="40">
        <v>1</v>
      </c>
      <c r="C75" s="40">
        <v>11</v>
      </c>
      <c r="D75" s="5">
        <f t="shared" si="3"/>
        <v>4</v>
      </c>
      <c r="E75" s="13"/>
      <c r="F75" s="8" t="s">
        <v>167</v>
      </c>
      <c r="G75" s="10" t="s">
        <v>162</v>
      </c>
      <c r="H75" s="10" t="s">
        <v>168</v>
      </c>
      <c r="I75" s="16" t="s">
        <v>451</v>
      </c>
      <c r="J75" s="11"/>
    </row>
    <row r="76" spans="1:10" s="1" customFormat="1" ht="15" customHeight="1">
      <c r="A76" s="7">
        <f t="shared" si="2"/>
        <v>74</v>
      </c>
      <c r="B76" s="40">
        <v>1</v>
      </c>
      <c r="C76" s="40">
        <v>11</v>
      </c>
      <c r="D76" s="5">
        <f t="shared" si="3"/>
        <v>5</v>
      </c>
      <c r="E76" s="13"/>
      <c r="F76" s="22" t="s">
        <v>169</v>
      </c>
      <c r="G76" s="10" t="s">
        <v>162</v>
      </c>
      <c r="H76" s="10" t="s">
        <v>170</v>
      </c>
      <c r="I76" s="16" t="s">
        <v>171</v>
      </c>
      <c r="J76" s="11"/>
    </row>
    <row r="77" spans="1:10" s="1" customFormat="1" ht="15" customHeight="1">
      <c r="A77" s="7">
        <f t="shared" si="2"/>
        <v>75</v>
      </c>
      <c r="B77" s="40">
        <v>1</v>
      </c>
      <c r="C77" s="40">
        <v>11</v>
      </c>
      <c r="D77" s="5">
        <f t="shared" si="3"/>
        <v>6</v>
      </c>
      <c r="E77" s="14"/>
      <c r="F77" s="8" t="s">
        <v>172</v>
      </c>
      <c r="G77" s="10" t="s">
        <v>162</v>
      </c>
      <c r="H77" s="37"/>
      <c r="I77" s="16" t="s">
        <v>554</v>
      </c>
      <c r="J77" s="11"/>
    </row>
    <row r="78" spans="1:10" s="1" customFormat="1" ht="15" customHeight="1">
      <c r="A78" s="7">
        <f t="shared" si="2"/>
        <v>76</v>
      </c>
      <c r="B78" s="40">
        <v>1</v>
      </c>
      <c r="C78" s="40">
        <v>11</v>
      </c>
      <c r="D78" s="5">
        <f t="shared" si="3"/>
        <v>7</v>
      </c>
      <c r="E78" s="14" t="s">
        <v>21</v>
      </c>
      <c r="F78" s="8" t="s">
        <v>173</v>
      </c>
      <c r="G78" s="10" t="s">
        <v>162</v>
      </c>
      <c r="H78" s="10" t="s">
        <v>449</v>
      </c>
      <c r="I78" s="16" t="s">
        <v>174</v>
      </c>
      <c r="J78" s="11"/>
    </row>
    <row r="79" spans="1:10" s="1" customFormat="1" ht="15" customHeight="1">
      <c r="A79" s="7">
        <f t="shared" si="2"/>
        <v>77</v>
      </c>
      <c r="B79" s="40">
        <v>1</v>
      </c>
      <c r="C79" s="40">
        <v>11</v>
      </c>
      <c r="D79" s="5">
        <f t="shared" si="3"/>
        <v>8</v>
      </c>
      <c r="E79" s="5"/>
      <c r="F79" s="8" t="s">
        <v>175</v>
      </c>
      <c r="G79" s="10" t="s">
        <v>162</v>
      </c>
      <c r="H79" s="37"/>
      <c r="I79" s="16" t="s">
        <v>176</v>
      </c>
      <c r="J79" s="11"/>
    </row>
    <row r="80" spans="1:10" s="1" customFormat="1" ht="15" customHeight="1">
      <c r="A80" s="7">
        <f t="shared" si="2"/>
        <v>78</v>
      </c>
      <c r="B80" s="40">
        <v>1</v>
      </c>
      <c r="C80" s="40">
        <v>11</v>
      </c>
      <c r="D80" s="5">
        <f t="shared" si="3"/>
        <v>9</v>
      </c>
      <c r="E80" s="5"/>
      <c r="F80" s="8" t="s">
        <v>177</v>
      </c>
      <c r="G80" s="10" t="s">
        <v>162</v>
      </c>
      <c r="H80" s="10" t="s">
        <v>178</v>
      </c>
      <c r="I80" s="16" t="s">
        <v>616</v>
      </c>
      <c r="J80" s="11"/>
    </row>
    <row r="81" spans="1:10" s="1" customFormat="1" ht="15" customHeight="1">
      <c r="A81" s="7">
        <f t="shared" si="2"/>
        <v>79</v>
      </c>
      <c r="B81" s="41">
        <v>1</v>
      </c>
      <c r="C81" s="41">
        <v>12</v>
      </c>
      <c r="D81" s="5">
        <f t="shared" si="3"/>
        <v>1</v>
      </c>
      <c r="E81" s="14" t="s">
        <v>21</v>
      </c>
      <c r="F81" s="8" t="s">
        <v>179</v>
      </c>
      <c r="G81" s="10" t="s">
        <v>162</v>
      </c>
      <c r="H81" s="10" t="s">
        <v>180</v>
      </c>
      <c r="I81" s="16" t="s">
        <v>556</v>
      </c>
      <c r="J81" s="11"/>
    </row>
    <row r="82" spans="1:10" s="1" customFormat="1" ht="15" customHeight="1">
      <c r="A82" s="7">
        <f t="shared" si="2"/>
        <v>80</v>
      </c>
      <c r="B82" s="41">
        <v>1</v>
      </c>
      <c r="C82" s="41">
        <v>12</v>
      </c>
      <c r="D82" s="5">
        <f t="shared" si="3"/>
        <v>2</v>
      </c>
      <c r="E82" s="5"/>
      <c r="F82" s="8" t="s">
        <v>181</v>
      </c>
      <c r="G82" s="10" t="s">
        <v>162</v>
      </c>
      <c r="H82" s="37"/>
      <c r="I82" s="16" t="s">
        <v>182</v>
      </c>
      <c r="J82" s="11"/>
    </row>
    <row r="83" spans="1:10" s="1" customFormat="1" ht="15" customHeight="1">
      <c r="A83" s="7">
        <f t="shared" si="2"/>
        <v>81</v>
      </c>
      <c r="B83" s="41">
        <v>1</v>
      </c>
      <c r="C83" s="41">
        <v>12</v>
      </c>
      <c r="D83" s="5">
        <f t="shared" si="3"/>
        <v>3</v>
      </c>
      <c r="E83" s="5"/>
      <c r="F83" s="8" t="s">
        <v>183</v>
      </c>
      <c r="G83" s="10" t="s">
        <v>162</v>
      </c>
      <c r="H83" s="10" t="s">
        <v>184</v>
      </c>
      <c r="I83" s="16" t="s">
        <v>185</v>
      </c>
      <c r="J83" s="11"/>
    </row>
    <row r="84" spans="1:10" s="1" customFormat="1" ht="15" customHeight="1">
      <c r="A84" s="7">
        <f t="shared" si="2"/>
        <v>82</v>
      </c>
      <c r="B84" s="41">
        <v>1</v>
      </c>
      <c r="C84" s="41">
        <v>12</v>
      </c>
      <c r="D84" s="5">
        <f t="shared" si="3"/>
        <v>4</v>
      </c>
      <c r="E84" s="13"/>
      <c r="F84" s="8" t="s">
        <v>442</v>
      </c>
      <c r="G84" s="10" t="s">
        <v>162</v>
      </c>
      <c r="H84" s="10" t="s">
        <v>443</v>
      </c>
      <c r="I84" s="16" t="s">
        <v>444</v>
      </c>
      <c r="J84" s="11"/>
    </row>
    <row r="85" spans="1:10" s="1" customFormat="1" ht="15" customHeight="1">
      <c r="A85" s="7">
        <f t="shared" si="2"/>
        <v>83</v>
      </c>
      <c r="B85" s="41">
        <v>1</v>
      </c>
      <c r="C85" s="41">
        <v>12</v>
      </c>
      <c r="D85" s="5">
        <f t="shared" si="3"/>
        <v>5</v>
      </c>
      <c r="E85" s="5"/>
      <c r="F85" s="8" t="s">
        <v>186</v>
      </c>
      <c r="G85" s="10" t="s">
        <v>162</v>
      </c>
      <c r="H85" s="10" t="s">
        <v>187</v>
      </c>
      <c r="I85" s="16" t="s">
        <v>188</v>
      </c>
      <c r="J85" s="11"/>
    </row>
    <row r="86" spans="1:10" s="1" customFormat="1" ht="15" customHeight="1">
      <c r="A86" s="7">
        <f t="shared" si="2"/>
        <v>84</v>
      </c>
      <c r="B86" s="41">
        <v>1</v>
      </c>
      <c r="C86" s="41">
        <v>12</v>
      </c>
      <c r="D86" s="5">
        <f t="shared" si="3"/>
        <v>6</v>
      </c>
      <c r="E86" s="5"/>
      <c r="F86" s="8" t="s">
        <v>189</v>
      </c>
      <c r="G86" s="10" t="s">
        <v>162</v>
      </c>
      <c r="H86" s="10" t="s">
        <v>190</v>
      </c>
      <c r="I86" s="16" t="s">
        <v>613</v>
      </c>
      <c r="J86" s="11"/>
    </row>
    <row r="87" spans="1:10" s="1" customFormat="1" ht="15" customHeight="1">
      <c r="A87" s="7">
        <f t="shared" si="2"/>
        <v>85</v>
      </c>
      <c r="B87" s="41">
        <v>1</v>
      </c>
      <c r="C87" s="41">
        <v>12</v>
      </c>
      <c r="D87" s="5">
        <f t="shared" si="3"/>
        <v>7</v>
      </c>
      <c r="E87" s="5"/>
      <c r="F87" s="8" t="s">
        <v>191</v>
      </c>
      <c r="G87" s="10" t="s">
        <v>162</v>
      </c>
      <c r="H87" s="10" t="s">
        <v>582</v>
      </c>
      <c r="I87" s="16" t="s">
        <v>597</v>
      </c>
      <c r="J87" s="11"/>
    </row>
    <row r="88" spans="1:10" s="1" customFormat="1" ht="15" customHeight="1">
      <c r="A88" s="7">
        <f t="shared" si="2"/>
        <v>86</v>
      </c>
      <c r="B88" s="41">
        <v>1</v>
      </c>
      <c r="C88" s="41">
        <v>12</v>
      </c>
      <c r="D88" s="5">
        <f t="shared" si="3"/>
        <v>8</v>
      </c>
      <c r="E88" s="5"/>
      <c r="F88" s="8" t="s">
        <v>192</v>
      </c>
      <c r="G88" s="10" t="s">
        <v>162</v>
      </c>
      <c r="H88" s="37"/>
      <c r="I88" s="16" t="s">
        <v>557</v>
      </c>
      <c r="J88" s="11"/>
    </row>
    <row r="89" spans="1:10" s="1" customFormat="1" ht="15" customHeight="1">
      <c r="A89" s="7">
        <f t="shared" si="2"/>
        <v>87</v>
      </c>
      <c r="B89" s="41">
        <v>1</v>
      </c>
      <c r="C89" s="41">
        <v>12</v>
      </c>
      <c r="D89" s="5">
        <f t="shared" si="3"/>
        <v>9</v>
      </c>
      <c r="E89" s="5"/>
      <c r="F89" s="8" t="s">
        <v>193</v>
      </c>
      <c r="G89" s="10" t="s">
        <v>162</v>
      </c>
      <c r="H89" s="10" t="s">
        <v>194</v>
      </c>
      <c r="I89" s="16" t="s">
        <v>615</v>
      </c>
      <c r="J89" s="11"/>
    </row>
    <row r="90" spans="1:10" s="1" customFormat="1" ht="15" customHeight="1">
      <c r="A90" s="7">
        <f t="shared" si="2"/>
        <v>88</v>
      </c>
      <c r="B90" s="41">
        <v>1</v>
      </c>
      <c r="C90" s="41">
        <v>12</v>
      </c>
      <c r="D90" s="5">
        <f t="shared" si="3"/>
        <v>10</v>
      </c>
      <c r="E90" s="5"/>
      <c r="F90" s="8" t="s">
        <v>195</v>
      </c>
      <c r="G90" s="10" t="s">
        <v>162</v>
      </c>
      <c r="H90" s="37"/>
      <c r="I90" s="16" t="s">
        <v>591</v>
      </c>
      <c r="J90" s="11"/>
    </row>
    <row r="91" spans="1:10" s="1" customFormat="1" ht="15" customHeight="1">
      <c r="A91" s="7">
        <f t="shared" si="2"/>
        <v>89</v>
      </c>
      <c r="B91" s="41">
        <v>1</v>
      </c>
      <c r="C91" s="41">
        <v>12</v>
      </c>
      <c r="D91" s="5">
        <f t="shared" si="3"/>
        <v>11</v>
      </c>
      <c r="E91" s="5"/>
      <c r="F91" s="15" t="s">
        <v>196</v>
      </c>
      <c r="G91" s="10" t="s">
        <v>162</v>
      </c>
      <c r="H91" s="16" t="s">
        <v>197</v>
      </c>
      <c r="I91" s="16" t="s">
        <v>614</v>
      </c>
      <c r="J91" s="11"/>
    </row>
    <row r="92" spans="1:10" s="1" customFormat="1" ht="15" customHeight="1">
      <c r="A92" s="7">
        <f t="shared" si="2"/>
        <v>90</v>
      </c>
      <c r="B92" s="41">
        <v>1</v>
      </c>
      <c r="C92" s="41">
        <v>12</v>
      </c>
      <c r="D92" s="5">
        <f t="shared" si="3"/>
        <v>12</v>
      </c>
      <c r="E92" s="13"/>
      <c r="F92" s="15" t="s">
        <v>198</v>
      </c>
      <c r="G92" s="10" t="s">
        <v>162</v>
      </c>
      <c r="H92" s="16" t="s">
        <v>199</v>
      </c>
      <c r="I92" s="16" t="s">
        <v>200</v>
      </c>
      <c r="J92" s="11"/>
    </row>
    <row r="93" spans="1:10" s="1" customFormat="1" ht="15" customHeight="1">
      <c r="A93" s="7">
        <f t="shared" si="2"/>
        <v>91</v>
      </c>
      <c r="B93" s="41">
        <v>1</v>
      </c>
      <c r="C93" s="41">
        <v>12</v>
      </c>
      <c r="D93" s="5">
        <f t="shared" si="3"/>
        <v>13</v>
      </c>
      <c r="E93" s="14"/>
      <c r="F93" s="15" t="s">
        <v>482</v>
      </c>
      <c r="G93" s="16" t="s">
        <v>162</v>
      </c>
      <c r="H93" s="16" t="s">
        <v>570</v>
      </c>
      <c r="I93" s="16" t="s">
        <v>569</v>
      </c>
      <c r="J93" s="11"/>
    </row>
    <row r="94" spans="1:10" s="1" customFormat="1" ht="15" customHeight="1">
      <c r="A94" s="7">
        <f t="shared" si="2"/>
        <v>92</v>
      </c>
      <c r="B94" s="41">
        <v>1</v>
      </c>
      <c r="C94" s="41">
        <v>12</v>
      </c>
      <c r="D94" s="5">
        <f t="shared" si="3"/>
        <v>14</v>
      </c>
      <c r="E94" s="14"/>
      <c r="F94" s="8" t="s">
        <v>201</v>
      </c>
      <c r="G94" s="10" t="s">
        <v>162</v>
      </c>
      <c r="H94" s="10" t="s">
        <v>202</v>
      </c>
      <c r="I94" s="16" t="s">
        <v>203</v>
      </c>
      <c r="J94" s="11"/>
    </row>
    <row r="95" spans="1:10" s="1" customFormat="1" ht="15" customHeight="1">
      <c r="A95" s="7">
        <f t="shared" si="2"/>
        <v>93</v>
      </c>
      <c r="B95" s="41">
        <v>1</v>
      </c>
      <c r="C95" s="41">
        <v>12</v>
      </c>
      <c r="D95" s="5">
        <f t="shared" si="3"/>
        <v>15</v>
      </c>
      <c r="E95" s="5"/>
      <c r="F95" s="8" t="s">
        <v>204</v>
      </c>
      <c r="G95" s="10" t="s">
        <v>162</v>
      </c>
      <c r="H95" s="10" t="s">
        <v>205</v>
      </c>
      <c r="I95" s="16" t="s">
        <v>525</v>
      </c>
      <c r="J95" s="11"/>
    </row>
    <row r="96" spans="1:10" s="1" customFormat="1" ht="15" customHeight="1" thickBot="1">
      <c r="A96" s="60">
        <f t="shared" si="2"/>
        <v>94</v>
      </c>
      <c r="B96" s="61">
        <v>1</v>
      </c>
      <c r="C96" s="61">
        <v>12</v>
      </c>
      <c r="D96" s="62">
        <f t="shared" si="3"/>
        <v>16</v>
      </c>
      <c r="E96" s="63"/>
      <c r="F96" s="64" t="s">
        <v>206</v>
      </c>
      <c r="G96" s="65" t="s">
        <v>162</v>
      </c>
      <c r="H96" s="65" t="s">
        <v>207</v>
      </c>
      <c r="I96" s="66" t="s">
        <v>208</v>
      </c>
      <c r="J96" s="11"/>
    </row>
    <row r="97" spans="1:10" s="1" customFormat="1" ht="15" customHeight="1" thickTop="1">
      <c r="A97" s="67">
        <f t="shared" si="2"/>
        <v>95</v>
      </c>
      <c r="B97" s="68">
        <v>2</v>
      </c>
      <c r="C97" s="68">
        <v>1</v>
      </c>
      <c r="D97" s="69">
        <f>IF(AND(B96=B97,C96=C97),D96+1,1)</f>
        <v>1</v>
      </c>
      <c r="E97" s="69"/>
      <c r="F97" s="70" t="s">
        <v>209</v>
      </c>
      <c r="G97" s="71" t="s">
        <v>433</v>
      </c>
      <c r="H97" s="72" t="s">
        <v>211</v>
      </c>
      <c r="I97" s="72" t="s">
        <v>618</v>
      </c>
      <c r="J97" s="11"/>
    </row>
    <row r="98" spans="1:10" s="1" customFormat="1" ht="15" customHeight="1">
      <c r="A98" s="7">
        <f t="shared" si="2"/>
        <v>96</v>
      </c>
      <c r="B98" s="44">
        <v>2</v>
      </c>
      <c r="C98" s="44">
        <v>1</v>
      </c>
      <c r="D98" s="5">
        <f t="shared" si="3"/>
        <v>2</v>
      </c>
      <c r="E98" s="14"/>
      <c r="F98" s="15" t="s">
        <v>212</v>
      </c>
      <c r="G98" s="9" t="s">
        <v>210</v>
      </c>
      <c r="H98" s="10" t="s">
        <v>213</v>
      </c>
      <c r="I98" s="16" t="s">
        <v>601</v>
      </c>
      <c r="J98" s="11"/>
    </row>
    <row r="99" spans="1:10" s="1" customFormat="1" ht="15" customHeight="1">
      <c r="A99" s="7">
        <f t="shared" si="2"/>
        <v>97</v>
      </c>
      <c r="B99" s="44">
        <v>2</v>
      </c>
      <c r="C99" s="44">
        <v>1</v>
      </c>
      <c r="D99" s="5">
        <f t="shared" si="3"/>
        <v>3</v>
      </c>
      <c r="E99" s="13"/>
      <c r="F99" s="8" t="s">
        <v>214</v>
      </c>
      <c r="G99" s="26" t="s">
        <v>518</v>
      </c>
      <c r="H99" s="10" t="s">
        <v>215</v>
      </c>
      <c r="I99" s="16" t="s">
        <v>519</v>
      </c>
      <c r="J99" s="11"/>
    </row>
    <row r="100" spans="1:10" s="1" customFormat="1" ht="15" customHeight="1">
      <c r="A100" s="7">
        <f t="shared" si="2"/>
        <v>98</v>
      </c>
      <c r="B100" s="44">
        <v>2</v>
      </c>
      <c r="C100" s="44">
        <v>1</v>
      </c>
      <c r="D100" s="5">
        <f t="shared" si="3"/>
        <v>4</v>
      </c>
      <c r="E100" s="13"/>
      <c r="F100" s="8" t="s">
        <v>216</v>
      </c>
      <c r="G100" s="12" t="s">
        <v>210</v>
      </c>
      <c r="H100" s="10" t="s">
        <v>217</v>
      </c>
      <c r="I100" s="16" t="s">
        <v>559</v>
      </c>
      <c r="J100" s="11"/>
    </row>
    <row r="101" spans="1:10" s="1" customFormat="1" ht="15" customHeight="1">
      <c r="A101" s="7">
        <f t="shared" si="2"/>
        <v>99</v>
      </c>
      <c r="B101" s="44">
        <v>2</v>
      </c>
      <c r="C101" s="44">
        <v>1</v>
      </c>
      <c r="D101" s="5">
        <f t="shared" si="3"/>
        <v>5</v>
      </c>
      <c r="E101" s="5"/>
      <c r="F101" s="8" t="s">
        <v>218</v>
      </c>
      <c r="G101" s="12" t="s">
        <v>210</v>
      </c>
      <c r="H101" s="42" t="s">
        <v>219</v>
      </c>
      <c r="I101" s="16" t="s">
        <v>220</v>
      </c>
      <c r="J101" s="11"/>
    </row>
    <row r="102" spans="1:10" s="1" customFormat="1" ht="15" customHeight="1">
      <c r="A102" s="7">
        <f t="shared" si="2"/>
        <v>100</v>
      </c>
      <c r="B102" s="44">
        <v>2</v>
      </c>
      <c r="C102" s="44">
        <v>1</v>
      </c>
      <c r="D102" s="5">
        <f t="shared" si="3"/>
        <v>6</v>
      </c>
      <c r="E102" s="5"/>
      <c r="F102" s="8" t="s">
        <v>221</v>
      </c>
      <c r="G102" s="12" t="s">
        <v>210</v>
      </c>
      <c r="H102" s="10" t="s">
        <v>222</v>
      </c>
      <c r="I102" s="16" t="s">
        <v>558</v>
      </c>
      <c r="J102" s="11"/>
    </row>
    <row r="103" spans="1:10" s="1" customFormat="1" ht="15" customHeight="1">
      <c r="A103" s="7">
        <f t="shared" si="2"/>
        <v>101</v>
      </c>
      <c r="B103" s="44">
        <v>2</v>
      </c>
      <c r="C103" s="44">
        <v>1</v>
      </c>
      <c r="D103" s="5">
        <f t="shared" si="3"/>
        <v>7</v>
      </c>
      <c r="E103" s="14" t="s">
        <v>21</v>
      </c>
      <c r="F103" s="8" t="s">
        <v>223</v>
      </c>
      <c r="G103" s="12" t="s">
        <v>224</v>
      </c>
      <c r="H103" s="10" t="s">
        <v>225</v>
      </c>
      <c r="I103" s="16" t="s">
        <v>588</v>
      </c>
      <c r="J103" s="11"/>
    </row>
    <row r="104" spans="1:10" s="1" customFormat="1" ht="15" customHeight="1">
      <c r="A104" s="7">
        <f t="shared" si="2"/>
        <v>102</v>
      </c>
      <c r="B104" s="44">
        <v>2</v>
      </c>
      <c r="C104" s="44">
        <v>1</v>
      </c>
      <c r="D104" s="5">
        <f t="shared" si="3"/>
        <v>8</v>
      </c>
      <c r="E104" s="5"/>
      <c r="F104" s="8" t="s">
        <v>226</v>
      </c>
      <c r="G104" s="12" t="s">
        <v>210</v>
      </c>
      <c r="H104" s="12" t="s">
        <v>227</v>
      </c>
      <c r="I104" s="16" t="s">
        <v>560</v>
      </c>
      <c r="J104" s="11"/>
    </row>
    <row r="105" spans="1:10" s="1" customFormat="1" ht="15" customHeight="1">
      <c r="A105" s="7">
        <f t="shared" si="2"/>
        <v>103</v>
      </c>
      <c r="B105" s="45">
        <v>2</v>
      </c>
      <c r="C105" s="45">
        <v>2</v>
      </c>
      <c r="D105" s="5">
        <f>IF(AND(B103=B105,C103=C105),D103+1,1)</f>
        <v>1</v>
      </c>
      <c r="E105" s="14"/>
      <c r="F105" s="8" t="s">
        <v>452</v>
      </c>
      <c r="G105" s="12" t="s">
        <v>210</v>
      </c>
      <c r="H105" s="10" t="s">
        <v>228</v>
      </c>
      <c r="I105" s="16" t="s">
        <v>609</v>
      </c>
      <c r="J105" s="11"/>
    </row>
    <row r="106" spans="1:10" s="1" customFormat="1" ht="15" customHeight="1">
      <c r="A106" s="7">
        <f t="shared" si="2"/>
        <v>104</v>
      </c>
      <c r="B106" s="45">
        <v>2</v>
      </c>
      <c r="C106" s="45">
        <v>2</v>
      </c>
      <c r="D106" s="5">
        <f t="shared" si="3"/>
        <v>2</v>
      </c>
      <c r="E106" s="13"/>
      <c r="F106" s="8" t="s">
        <v>229</v>
      </c>
      <c r="G106" s="12" t="s">
        <v>210</v>
      </c>
      <c r="H106" s="10" t="s">
        <v>230</v>
      </c>
      <c r="I106" s="16" t="s">
        <v>231</v>
      </c>
      <c r="J106" s="11"/>
    </row>
    <row r="107" spans="1:10" s="1" customFormat="1" ht="15" customHeight="1">
      <c r="A107" s="7">
        <f t="shared" si="2"/>
        <v>105</v>
      </c>
      <c r="B107" s="45">
        <v>2</v>
      </c>
      <c r="C107" s="45">
        <v>2</v>
      </c>
      <c r="D107" s="5">
        <f t="shared" si="3"/>
        <v>3</v>
      </c>
      <c r="E107" s="13"/>
      <c r="F107" s="8" t="s">
        <v>232</v>
      </c>
      <c r="G107" s="12" t="s">
        <v>210</v>
      </c>
      <c r="H107" s="10" t="s">
        <v>233</v>
      </c>
      <c r="I107" s="16" t="s">
        <v>234</v>
      </c>
      <c r="J107" s="11"/>
    </row>
    <row r="108" spans="1:10" s="1" customFormat="1" ht="15" customHeight="1">
      <c r="A108" s="7">
        <f t="shared" si="2"/>
        <v>106</v>
      </c>
      <c r="B108" s="45">
        <v>2</v>
      </c>
      <c r="C108" s="45">
        <v>2</v>
      </c>
      <c r="D108" s="5">
        <f t="shared" si="3"/>
        <v>4</v>
      </c>
      <c r="E108" s="5"/>
      <c r="F108" s="8" t="s">
        <v>235</v>
      </c>
      <c r="G108" s="12" t="s">
        <v>236</v>
      </c>
      <c r="H108" s="10" t="s">
        <v>237</v>
      </c>
      <c r="I108" s="16" t="s">
        <v>561</v>
      </c>
      <c r="J108" s="11"/>
    </row>
    <row r="109" spans="1:10" s="1" customFormat="1" ht="15" customHeight="1">
      <c r="A109" s="7">
        <f t="shared" si="2"/>
        <v>107</v>
      </c>
      <c r="B109" s="45">
        <v>2</v>
      </c>
      <c r="C109" s="45">
        <v>2</v>
      </c>
      <c r="D109" s="5">
        <f t="shared" si="3"/>
        <v>5</v>
      </c>
      <c r="E109" s="14" t="s">
        <v>21</v>
      </c>
      <c r="F109" s="8" t="s">
        <v>238</v>
      </c>
      <c r="G109" s="25" t="s">
        <v>239</v>
      </c>
      <c r="H109" s="10" t="s">
        <v>240</v>
      </c>
      <c r="I109" s="16" t="s">
        <v>562</v>
      </c>
      <c r="J109" s="11"/>
    </row>
    <row r="110" spans="1:10" s="1" customFormat="1" ht="15" customHeight="1">
      <c r="A110" s="7">
        <f t="shared" si="2"/>
        <v>108</v>
      </c>
      <c r="B110" s="46">
        <v>2</v>
      </c>
      <c r="C110" s="46">
        <v>3</v>
      </c>
      <c r="D110" s="5">
        <f t="shared" si="3"/>
        <v>1</v>
      </c>
      <c r="E110" s="14"/>
      <c r="F110" s="8" t="s">
        <v>241</v>
      </c>
      <c r="G110" s="12" t="s">
        <v>242</v>
      </c>
      <c r="H110" s="10" t="s">
        <v>243</v>
      </c>
      <c r="I110" s="16" t="s">
        <v>565</v>
      </c>
      <c r="J110" s="11"/>
    </row>
    <row r="111" spans="1:10" s="1" customFormat="1" ht="15" customHeight="1">
      <c r="A111" s="7">
        <f t="shared" si="2"/>
        <v>109</v>
      </c>
      <c r="B111" s="46">
        <v>2</v>
      </c>
      <c r="C111" s="46">
        <v>3</v>
      </c>
      <c r="D111" s="5">
        <f t="shared" si="3"/>
        <v>2</v>
      </c>
      <c r="E111" s="13"/>
      <c r="F111" s="8" t="s">
        <v>244</v>
      </c>
      <c r="G111" s="12" t="s">
        <v>242</v>
      </c>
      <c r="H111" s="10" t="s">
        <v>245</v>
      </c>
      <c r="I111" s="16" t="s">
        <v>563</v>
      </c>
      <c r="J111" s="11"/>
    </row>
    <row r="112" spans="1:10" s="1" customFormat="1" ht="15" customHeight="1">
      <c r="A112" s="7">
        <f t="shared" si="2"/>
        <v>110</v>
      </c>
      <c r="B112" s="46">
        <v>2</v>
      </c>
      <c r="C112" s="46">
        <v>3</v>
      </c>
      <c r="D112" s="5">
        <f t="shared" si="3"/>
        <v>3</v>
      </c>
      <c r="E112" s="14"/>
      <c r="F112" s="15" t="s">
        <v>246</v>
      </c>
      <c r="G112" s="12" t="s">
        <v>242</v>
      </c>
      <c r="H112" s="10" t="s">
        <v>247</v>
      </c>
      <c r="I112" s="16" t="s">
        <v>564</v>
      </c>
      <c r="J112" s="11"/>
    </row>
    <row r="113" spans="1:10" s="1" customFormat="1" ht="15" customHeight="1">
      <c r="A113" s="7">
        <f t="shared" si="2"/>
        <v>111</v>
      </c>
      <c r="B113" s="46">
        <v>2</v>
      </c>
      <c r="C113" s="46">
        <v>3</v>
      </c>
      <c r="D113" s="5">
        <f t="shared" si="3"/>
        <v>4</v>
      </c>
      <c r="E113" s="14" t="s">
        <v>21</v>
      </c>
      <c r="F113" s="15" t="s">
        <v>248</v>
      </c>
      <c r="G113" s="26" t="s">
        <v>249</v>
      </c>
      <c r="H113" s="16" t="s">
        <v>250</v>
      </c>
      <c r="I113" s="16" t="s">
        <v>251</v>
      </c>
      <c r="J113" s="11"/>
    </row>
    <row r="114" spans="1:10" s="1" customFormat="1" ht="15" customHeight="1">
      <c r="A114" s="7">
        <f t="shared" si="2"/>
        <v>112</v>
      </c>
      <c r="B114" s="46">
        <v>2</v>
      </c>
      <c r="C114" s="46">
        <v>3</v>
      </c>
      <c r="D114" s="5">
        <f t="shared" si="3"/>
        <v>5</v>
      </c>
      <c r="E114" s="13"/>
      <c r="F114" s="59" t="s">
        <v>459</v>
      </c>
      <c r="G114" s="26" t="s">
        <v>249</v>
      </c>
      <c r="H114" s="16" t="s">
        <v>252</v>
      </c>
      <c r="I114" s="16" t="s">
        <v>462</v>
      </c>
      <c r="J114" s="11"/>
    </row>
    <row r="115" spans="1:10" s="1" customFormat="1" ht="15" customHeight="1">
      <c r="A115" s="7">
        <f t="shared" si="2"/>
        <v>113</v>
      </c>
      <c r="B115" s="46">
        <v>2</v>
      </c>
      <c r="C115" s="46">
        <v>3</v>
      </c>
      <c r="D115" s="5">
        <f t="shared" si="3"/>
        <v>6</v>
      </c>
      <c r="E115" s="13"/>
      <c r="F115" s="15" t="s">
        <v>463</v>
      </c>
      <c r="G115" s="26" t="s">
        <v>242</v>
      </c>
      <c r="H115" s="16"/>
      <c r="I115" s="24" t="s">
        <v>461</v>
      </c>
      <c r="J115" s="11"/>
    </row>
    <row r="116" spans="1:10" s="1" customFormat="1" ht="15" customHeight="1">
      <c r="A116" s="7">
        <f t="shared" si="2"/>
        <v>114</v>
      </c>
      <c r="B116" s="33">
        <v>2</v>
      </c>
      <c r="C116" s="33">
        <v>4</v>
      </c>
      <c r="D116" s="5">
        <f>IF(AND(B114=B116,C114=C116),D114+1,1)</f>
        <v>1</v>
      </c>
      <c r="E116" s="13"/>
      <c r="F116" s="8" t="s">
        <v>253</v>
      </c>
      <c r="G116" s="12" t="s">
        <v>254</v>
      </c>
      <c r="H116" s="10" t="s">
        <v>255</v>
      </c>
      <c r="I116" s="16" t="s">
        <v>567</v>
      </c>
      <c r="J116" s="11"/>
    </row>
    <row r="117" spans="1:10" s="1" customFormat="1" ht="15" customHeight="1">
      <c r="A117" s="7">
        <f t="shared" si="2"/>
        <v>115</v>
      </c>
      <c r="B117" s="33">
        <v>2</v>
      </c>
      <c r="C117" s="33">
        <v>4</v>
      </c>
      <c r="D117" s="5">
        <f t="shared" si="3"/>
        <v>2</v>
      </c>
      <c r="E117" s="5"/>
      <c r="F117" s="8" t="s">
        <v>256</v>
      </c>
      <c r="G117" s="12" t="s">
        <v>257</v>
      </c>
      <c r="H117" s="10" t="s">
        <v>258</v>
      </c>
      <c r="I117" s="16" t="s">
        <v>566</v>
      </c>
      <c r="J117" s="11"/>
    </row>
    <row r="118" spans="1:10" s="1" customFormat="1" ht="15" customHeight="1">
      <c r="A118" s="7">
        <f t="shared" si="2"/>
        <v>116</v>
      </c>
      <c r="B118" s="33">
        <v>2</v>
      </c>
      <c r="C118" s="33">
        <v>4</v>
      </c>
      <c r="D118" s="5">
        <f t="shared" si="3"/>
        <v>3</v>
      </c>
      <c r="E118" s="13"/>
      <c r="F118" s="15" t="s">
        <v>259</v>
      </c>
      <c r="G118" s="26" t="s">
        <v>254</v>
      </c>
      <c r="H118" s="16" t="s">
        <v>260</v>
      </c>
      <c r="I118" s="16"/>
      <c r="J118" s="11"/>
    </row>
    <row r="119" spans="1:10" s="1" customFormat="1" ht="15" customHeight="1">
      <c r="A119" s="7">
        <f t="shared" si="2"/>
        <v>117</v>
      </c>
      <c r="B119" s="33">
        <v>2</v>
      </c>
      <c r="C119" s="33">
        <v>4</v>
      </c>
      <c r="D119" s="5">
        <f t="shared" si="3"/>
        <v>4</v>
      </c>
      <c r="E119" s="14" t="s">
        <v>21</v>
      </c>
      <c r="F119" s="15" t="s">
        <v>261</v>
      </c>
      <c r="G119" s="10" t="s">
        <v>262</v>
      </c>
      <c r="H119" s="10" t="s">
        <v>263</v>
      </c>
      <c r="I119" s="16" t="s">
        <v>596</v>
      </c>
      <c r="J119" s="11"/>
    </row>
    <row r="120" spans="1:10" s="1" customFormat="1" ht="15" customHeight="1">
      <c r="A120" s="7">
        <f t="shared" si="2"/>
        <v>118</v>
      </c>
      <c r="B120" s="33">
        <v>2</v>
      </c>
      <c r="C120" s="33">
        <v>4</v>
      </c>
      <c r="D120" s="5">
        <f t="shared" si="3"/>
        <v>5</v>
      </c>
      <c r="E120" s="14"/>
      <c r="F120" s="8" t="s">
        <v>264</v>
      </c>
      <c r="G120" s="26" t="s">
        <v>257</v>
      </c>
      <c r="H120" s="10" t="s">
        <v>265</v>
      </c>
      <c r="I120" s="16" t="s">
        <v>568</v>
      </c>
      <c r="J120" s="11"/>
    </row>
    <row r="121" spans="1:10" s="1" customFormat="1" ht="15" customHeight="1">
      <c r="A121" s="7">
        <f t="shared" si="2"/>
        <v>119</v>
      </c>
      <c r="B121" s="44">
        <v>2</v>
      </c>
      <c r="C121" s="44">
        <v>5</v>
      </c>
      <c r="D121" s="5">
        <f t="shared" si="3"/>
        <v>1</v>
      </c>
      <c r="E121" s="5"/>
      <c r="F121" s="8" t="s">
        <v>435</v>
      </c>
      <c r="G121" s="26" t="s">
        <v>266</v>
      </c>
      <c r="H121" s="10" t="s">
        <v>267</v>
      </c>
      <c r="I121" s="16" t="s">
        <v>445</v>
      </c>
      <c r="J121" s="11"/>
    </row>
    <row r="122" spans="1:10" s="1" customFormat="1" ht="15" customHeight="1">
      <c r="A122" s="7">
        <f t="shared" si="2"/>
        <v>120</v>
      </c>
      <c r="B122" s="44">
        <v>2</v>
      </c>
      <c r="C122" s="44">
        <v>5</v>
      </c>
      <c r="D122" s="5">
        <f t="shared" si="3"/>
        <v>2</v>
      </c>
      <c r="E122" s="14" t="s">
        <v>21</v>
      </c>
      <c r="F122" s="8" t="s">
        <v>268</v>
      </c>
      <c r="G122" s="26" t="s">
        <v>266</v>
      </c>
      <c r="H122" s="10" t="s">
        <v>269</v>
      </c>
      <c r="I122" s="16" t="s">
        <v>270</v>
      </c>
      <c r="J122" s="11"/>
    </row>
    <row r="123" spans="1:10" s="1" customFormat="1" ht="15" customHeight="1">
      <c r="A123" s="7">
        <f t="shared" si="2"/>
        <v>121</v>
      </c>
      <c r="B123" s="44">
        <v>2</v>
      </c>
      <c r="C123" s="44">
        <v>5</v>
      </c>
      <c r="D123" s="5">
        <f t="shared" si="3"/>
        <v>3</v>
      </c>
      <c r="E123" s="5"/>
      <c r="F123" s="8" t="s">
        <v>271</v>
      </c>
      <c r="G123" s="26" t="s">
        <v>254</v>
      </c>
      <c r="H123" s="10" t="s">
        <v>272</v>
      </c>
      <c r="I123" s="16" t="s">
        <v>488</v>
      </c>
      <c r="J123" s="11"/>
    </row>
    <row r="124" spans="1:10" s="1" customFormat="1" ht="15" customHeight="1">
      <c r="A124" s="7">
        <f t="shared" si="2"/>
        <v>122</v>
      </c>
      <c r="B124" s="44">
        <v>2</v>
      </c>
      <c r="C124" s="44">
        <v>5</v>
      </c>
      <c r="D124" s="5">
        <f t="shared" si="3"/>
        <v>4</v>
      </c>
      <c r="E124" s="11"/>
      <c r="F124" s="8" t="s">
        <v>273</v>
      </c>
      <c r="G124" s="26" t="s">
        <v>266</v>
      </c>
      <c r="H124" s="10" t="s">
        <v>274</v>
      </c>
      <c r="I124" s="16" t="s">
        <v>520</v>
      </c>
      <c r="J124" s="11"/>
    </row>
    <row r="125" spans="1:10" s="1" customFormat="1" ht="15" customHeight="1">
      <c r="A125" s="7">
        <f t="shared" si="2"/>
        <v>123</v>
      </c>
      <c r="B125" s="44">
        <v>2</v>
      </c>
      <c r="C125" s="44">
        <v>5</v>
      </c>
      <c r="D125" s="5">
        <f t="shared" si="3"/>
        <v>5</v>
      </c>
      <c r="E125" s="13"/>
      <c r="F125" s="8" t="s">
        <v>275</v>
      </c>
      <c r="G125" s="26" t="s">
        <v>254</v>
      </c>
      <c r="H125" s="10" t="s">
        <v>276</v>
      </c>
      <c r="I125" s="16" t="s">
        <v>489</v>
      </c>
      <c r="J125" s="11"/>
    </row>
    <row r="126" spans="1:10" s="1" customFormat="1" ht="15" customHeight="1">
      <c r="A126" s="7">
        <f t="shared" si="2"/>
        <v>124</v>
      </c>
      <c r="B126" s="44">
        <v>2</v>
      </c>
      <c r="C126" s="44">
        <v>5</v>
      </c>
      <c r="D126" s="5">
        <f t="shared" si="3"/>
        <v>6</v>
      </c>
      <c r="E126" s="14"/>
      <c r="F126" s="8" t="s">
        <v>277</v>
      </c>
      <c r="G126" s="26" t="s">
        <v>266</v>
      </c>
      <c r="H126" s="10" t="s">
        <v>278</v>
      </c>
      <c r="J126" s="11"/>
    </row>
    <row r="127" spans="1:10" s="1" customFormat="1" ht="15" customHeight="1">
      <c r="A127" s="7">
        <f t="shared" si="2"/>
        <v>125</v>
      </c>
      <c r="B127" s="44">
        <v>2</v>
      </c>
      <c r="C127" s="44">
        <v>5</v>
      </c>
      <c r="D127" s="5">
        <f t="shared" si="3"/>
        <v>7</v>
      </c>
      <c r="E127" s="5"/>
      <c r="F127" s="8" t="s">
        <v>279</v>
      </c>
      <c r="G127" s="26" t="s">
        <v>266</v>
      </c>
      <c r="H127" s="10" t="s">
        <v>280</v>
      </c>
      <c r="I127" s="16" t="s">
        <v>483</v>
      </c>
      <c r="J127" s="11"/>
    </row>
    <row r="128" spans="1:10" s="1" customFormat="1" ht="15" customHeight="1">
      <c r="A128" s="7">
        <f t="shared" si="2"/>
        <v>126</v>
      </c>
      <c r="B128" s="44">
        <v>2</v>
      </c>
      <c r="C128" s="44">
        <v>5</v>
      </c>
      <c r="D128" s="5">
        <f t="shared" si="3"/>
        <v>8</v>
      </c>
      <c r="E128" s="13"/>
      <c r="F128" s="8" t="s">
        <v>281</v>
      </c>
      <c r="G128" s="26" t="s">
        <v>254</v>
      </c>
      <c r="H128" s="10" t="s">
        <v>282</v>
      </c>
      <c r="I128" s="16"/>
      <c r="J128" s="11"/>
    </row>
    <row r="129" spans="1:10" s="1" customFormat="1" ht="15" customHeight="1">
      <c r="A129" s="7">
        <f t="shared" si="2"/>
        <v>127</v>
      </c>
      <c r="B129" s="44">
        <v>2</v>
      </c>
      <c r="C129" s="44">
        <v>5</v>
      </c>
      <c r="D129" s="5">
        <f t="shared" si="3"/>
        <v>9</v>
      </c>
      <c r="E129" s="14"/>
      <c r="F129" s="8" t="s">
        <v>283</v>
      </c>
      <c r="G129" s="38"/>
      <c r="H129" s="37"/>
      <c r="I129" s="24" t="s">
        <v>284</v>
      </c>
      <c r="J129" s="11" t="s">
        <v>285</v>
      </c>
    </row>
    <row r="130" spans="1:10" s="1" customFormat="1" ht="15" customHeight="1">
      <c r="A130" s="7">
        <f t="shared" si="2"/>
        <v>128</v>
      </c>
      <c r="B130" s="46">
        <v>2</v>
      </c>
      <c r="C130" s="46">
        <v>6</v>
      </c>
      <c r="D130" s="5">
        <f>IF(AND(B128=B130,C128=C130),D128+1,1)</f>
        <v>1</v>
      </c>
      <c r="E130" s="14" t="s">
        <v>21</v>
      </c>
      <c r="F130" s="8" t="s">
        <v>286</v>
      </c>
      <c r="G130" s="12" t="s">
        <v>287</v>
      </c>
      <c r="H130" s="10" t="s">
        <v>288</v>
      </c>
      <c r="I130" s="16" t="s">
        <v>490</v>
      </c>
      <c r="J130" s="11"/>
    </row>
    <row r="131" spans="1:10" s="1" customFormat="1" ht="15" customHeight="1">
      <c r="A131" s="7">
        <f t="shared" si="2"/>
        <v>129</v>
      </c>
      <c r="B131" s="46">
        <v>2</v>
      </c>
      <c r="C131" s="46">
        <v>6</v>
      </c>
      <c r="D131" s="5">
        <f t="shared" si="3"/>
        <v>2</v>
      </c>
      <c r="E131" s="11"/>
      <c r="F131" s="8" t="s">
        <v>289</v>
      </c>
      <c r="G131" s="12" t="s">
        <v>287</v>
      </c>
      <c r="H131" s="10" t="s">
        <v>290</v>
      </c>
      <c r="I131" s="16" t="s">
        <v>491</v>
      </c>
      <c r="J131" s="11"/>
    </row>
    <row r="132" spans="1:10" s="1" customFormat="1" ht="15" customHeight="1">
      <c r="A132" s="7">
        <f t="shared" si="2"/>
        <v>130</v>
      </c>
      <c r="B132" s="46">
        <v>2</v>
      </c>
      <c r="C132" s="46">
        <v>6</v>
      </c>
      <c r="D132" s="5">
        <f t="shared" si="3"/>
        <v>3</v>
      </c>
      <c r="E132" s="14"/>
      <c r="F132" s="8" t="s">
        <v>291</v>
      </c>
      <c r="G132" s="12" t="s">
        <v>287</v>
      </c>
      <c r="H132" s="10" t="s">
        <v>292</v>
      </c>
      <c r="I132" s="16" t="s">
        <v>604</v>
      </c>
      <c r="J132" s="11"/>
    </row>
    <row r="133" spans="1:10" s="1" customFormat="1" ht="15" customHeight="1">
      <c r="A133" s="7">
        <f t="shared" si="2"/>
        <v>131</v>
      </c>
      <c r="B133" s="46">
        <v>2</v>
      </c>
      <c r="C133" s="46">
        <v>6</v>
      </c>
      <c r="D133" s="5">
        <f t="shared" si="3"/>
        <v>4</v>
      </c>
      <c r="E133" s="5"/>
      <c r="F133" s="8" t="s">
        <v>293</v>
      </c>
      <c r="G133" s="12" t="s">
        <v>287</v>
      </c>
      <c r="H133" s="10" t="s">
        <v>294</v>
      </c>
      <c r="I133" s="16" t="s">
        <v>492</v>
      </c>
      <c r="J133" s="11"/>
    </row>
    <row r="134" spans="1:10" s="1" customFormat="1" ht="15" customHeight="1">
      <c r="A134" s="7">
        <f t="shared" si="2"/>
        <v>132</v>
      </c>
      <c r="B134" s="46">
        <v>2</v>
      </c>
      <c r="C134" s="46">
        <v>6</v>
      </c>
      <c r="D134" s="5">
        <f t="shared" si="3"/>
        <v>5</v>
      </c>
      <c r="E134" s="5"/>
      <c r="F134" s="8" t="s">
        <v>295</v>
      </c>
      <c r="G134" s="12" t="s">
        <v>296</v>
      </c>
      <c r="H134" s="10" t="s">
        <v>297</v>
      </c>
      <c r="I134" s="16" t="s">
        <v>298</v>
      </c>
      <c r="J134" s="11"/>
    </row>
    <row r="135" spans="1:10" s="1" customFormat="1" ht="15" customHeight="1">
      <c r="A135" s="7">
        <f t="shared" ref="A135:A191" si="4">ROW()-2</f>
        <v>133</v>
      </c>
      <c r="B135" s="46">
        <v>2</v>
      </c>
      <c r="C135" s="46">
        <v>6</v>
      </c>
      <c r="D135" s="5">
        <f t="shared" ref="D135:D189" si="5">IF(AND(B134=B135,C134=C135),D134+1,1)</f>
        <v>6</v>
      </c>
      <c r="E135" s="13"/>
      <c r="F135" s="8" t="s">
        <v>299</v>
      </c>
      <c r="G135" s="12" t="s">
        <v>296</v>
      </c>
      <c r="H135" s="10" t="s">
        <v>300</v>
      </c>
      <c r="I135" s="16"/>
      <c r="J135" s="11"/>
    </row>
    <row r="136" spans="1:10" s="1" customFormat="1" ht="15" customHeight="1">
      <c r="A136" s="7">
        <f t="shared" si="4"/>
        <v>134</v>
      </c>
      <c r="B136" s="29">
        <v>2</v>
      </c>
      <c r="C136" s="29">
        <v>7</v>
      </c>
      <c r="D136" s="5">
        <f t="shared" si="5"/>
        <v>1</v>
      </c>
      <c r="E136" s="14" t="s">
        <v>21</v>
      </c>
      <c r="F136" s="8" t="s">
        <v>301</v>
      </c>
      <c r="G136" s="12" t="s">
        <v>239</v>
      </c>
      <c r="H136" s="10" t="s">
        <v>583</v>
      </c>
      <c r="I136" s="16" t="s">
        <v>584</v>
      </c>
      <c r="J136" s="11"/>
    </row>
    <row r="137" spans="1:10" s="1" customFormat="1" ht="15" customHeight="1">
      <c r="A137" s="7">
        <f t="shared" si="4"/>
        <v>135</v>
      </c>
      <c r="B137" s="29">
        <v>2</v>
      </c>
      <c r="C137" s="29">
        <v>7</v>
      </c>
      <c r="D137" s="5">
        <f t="shared" si="5"/>
        <v>2</v>
      </c>
      <c r="E137" s="5"/>
      <c r="F137" s="8" t="s">
        <v>302</v>
      </c>
      <c r="G137" s="12" t="s">
        <v>239</v>
      </c>
      <c r="H137" s="10" t="s">
        <v>303</v>
      </c>
      <c r="I137" s="10"/>
      <c r="J137" s="11"/>
    </row>
    <row r="138" spans="1:10" s="1" customFormat="1" ht="15" customHeight="1">
      <c r="A138" s="7">
        <f t="shared" si="4"/>
        <v>136</v>
      </c>
      <c r="B138" s="29">
        <v>2</v>
      </c>
      <c r="C138" s="29">
        <v>7</v>
      </c>
      <c r="D138" s="5">
        <f t="shared" si="5"/>
        <v>3</v>
      </c>
      <c r="E138" s="5"/>
      <c r="F138" s="8" t="s">
        <v>304</v>
      </c>
      <c r="G138" s="12" t="s">
        <v>239</v>
      </c>
      <c r="H138" s="10" t="s">
        <v>305</v>
      </c>
      <c r="I138" s="10" t="s">
        <v>493</v>
      </c>
      <c r="J138" s="11"/>
    </row>
    <row r="139" spans="1:10" s="1" customFormat="1" ht="15" customHeight="1">
      <c r="A139" s="7">
        <f t="shared" si="4"/>
        <v>137</v>
      </c>
      <c r="B139" s="29">
        <v>2</v>
      </c>
      <c r="C139" s="29">
        <v>7</v>
      </c>
      <c r="D139" s="5">
        <f t="shared" si="5"/>
        <v>4</v>
      </c>
      <c r="E139" s="5"/>
      <c r="F139" s="8" t="s">
        <v>306</v>
      </c>
      <c r="G139" s="12" t="s">
        <v>307</v>
      </c>
      <c r="H139" s="10" t="s">
        <v>308</v>
      </c>
      <c r="I139" s="10" t="s">
        <v>611</v>
      </c>
      <c r="J139" s="11"/>
    </row>
    <row r="140" spans="1:10" s="1" customFormat="1" ht="15" customHeight="1">
      <c r="A140" s="7">
        <f t="shared" si="4"/>
        <v>138</v>
      </c>
      <c r="B140" s="29">
        <v>2</v>
      </c>
      <c r="C140" s="29">
        <v>7</v>
      </c>
      <c r="D140" s="5">
        <f t="shared" si="5"/>
        <v>5</v>
      </c>
      <c r="E140" s="13"/>
      <c r="F140" s="8" t="s">
        <v>309</v>
      </c>
      <c r="G140" s="12" t="s">
        <v>239</v>
      </c>
      <c r="H140" s="10" t="s">
        <v>310</v>
      </c>
      <c r="I140" s="10"/>
      <c r="J140" s="11"/>
    </row>
    <row r="141" spans="1:10" s="1" customFormat="1" ht="15" customHeight="1">
      <c r="A141" s="7">
        <f t="shared" si="4"/>
        <v>139</v>
      </c>
      <c r="B141" s="29">
        <v>2</v>
      </c>
      <c r="C141" s="29">
        <v>7</v>
      </c>
      <c r="D141" s="5">
        <f t="shared" si="5"/>
        <v>6</v>
      </c>
      <c r="E141" s="5"/>
      <c r="F141" s="8" t="s">
        <v>311</v>
      </c>
      <c r="G141" s="26" t="s">
        <v>324</v>
      </c>
      <c r="H141" s="10" t="s">
        <v>312</v>
      </c>
      <c r="I141" s="10" t="s">
        <v>494</v>
      </c>
      <c r="J141" s="11"/>
    </row>
    <row r="142" spans="1:10" s="1" customFormat="1" ht="15" customHeight="1">
      <c r="A142" s="7">
        <f t="shared" si="4"/>
        <v>140</v>
      </c>
      <c r="B142" s="29">
        <v>2</v>
      </c>
      <c r="C142" s="29">
        <v>7</v>
      </c>
      <c r="D142" s="5">
        <f t="shared" si="5"/>
        <v>7</v>
      </c>
      <c r="E142" s="14"/>
      <c r="F142" s="8" t="s">
        <v>313</v>
      </c>
      <c r="G142" s="26" t="s">
        <v>573</v>
      </c>
      <c r="H142" s="16" t="s">
        <v>314</v>
      </c>
      <c r="I142" s="16" t="s">
        <v>495</v>
      </c>
      <c r="J142" s="11"/>
    </row>
    <row r="143" spans="1:10" s="1" customFormat="1" ht="15" customHeight="1">
      <c r="A143" s="7">
        <f t="shared" si="4"/>
        <v>141</v>
      </c>
      <c r="B143" s="29">
        <v>2</v>
      </c>
      <c r="C143" s="29">
        <v>7</v>
      </c>
      <c r="D143" s="48">
        <f t="shared" si="5"/>
        <v>8</v>
      </c>
      <c r="E143" s="48"/>
      <c r="F143" s="50" t="s">
        <v>315</v>
      </c>
      <c r="G143" s="57" t="s">
        <v>316</v>
      </c>
      <c r="H143" s="51" t="s">
        <v>317</v>
      </c>
      <c r="I143" s="51" t="s">
        <v>617</v>
      </c>
      <c r="J143" s="11" t="s">
        <v>454</v>
      </c>
    </row>
    <row r="144" spans="1:10" s="1" customFormat="1" ht="15" customHeight="1">
      <c r="A144" s="7">
        <f t="shared" si="4"/>
        <v>142</v>
      </c>
      <c r="B144" s="29">
        <v>2</v>
      </c>
      <c r="C144" s="29">
        <v>7</v>
      </c>
      <c r="D144" s="5">
        <f t="shared" si="5"/>
        <v>9</v>
      </c>
      <c r="E144" s="13"/>
      <c r="F144" s="8" t="s">
        <v>318</v>
      </c>
      <c r="G144" s="26" t="s">
        <v>319</v>
      </c>
      <c r="H144" s="10" t="s">
        <v>320</v>
      </c>
      <c r="I144" s="10" t="s">
        <v>599</v>
      </c>
      <c r="J144" s="11"/>
    </row>
    <row r="145" spans="1:10" s="1" customFormat="1" ht="15" customHeight="1">
      <c r="A145" s="7">
        <f t="shared" si="4"/>
        <v>143</v>
      </c>
      <c r="B145" s="29">
        <v>2</v>
      </c>
      <c r="C145" s="29">
        <v>7</v>
      </c>
      <c r="D145" s="5">
        <f t="shared" si="5"/>
        <v>10</v>
      </c>
      <c r="E145" s="13"/>
      <c r="F145" s="8" t="s">
        <v>472</v>
      </c>
      <c r="G145" s="73"/>
      <c r="H145" s="37"/>
      <c r="I145" s="10" t="s">
        <v>476</v>
      </c>
      <c r="J145" s="11"/>
    </row>
    <row r="146" spans="1:10" s="1" customFormat="1" ht="15" customHeight="1">
      <c r="A146" s="7">
        <f t="shared" si="4"/>
        <v>144</v>
      </c>
      <c r="B146" s="46">
        <v>2</v>
      </c>
      <c r="C146" s="46">
        <v>8</v>
      </c>
      <c r="D146" s="5">
        <f>IF(AND(B145=B146,C145=C146),D145+1,1)</f>
        <v>1</v>
      </c>
      <c r="E146" s="14" t="s">
        <v>21</v>
      </c>
      <c r="F146" s="8" t="s">
        <v>321</v>
      </c>
      <c r="G146" s="26" t="s">
        <v>239</v>
      </c>
      <c r="H146" s="10" t="s">
        <v>322</v>
      </c>
      <c r="I146" s="10" t="s">
        <v>496</v>
      </c>
      <c r="J146" s="11"/>
    </row>
    <row r="147" spans="1:10" s="1" customFormat="1" ht="15" customHeight="1">
      <c r="A147" s="7">
        <f t="shared" si="4"/>
        <v>145</v>
      </c>
      <c r="B147" s="46">
        <v>2</v>
      </c>
      <c r="C147" s="46">
        <v>8</v>
      </c>
      <c r="D147" s="5">
        <f t="shared" si="5"/>
        <v>2</v>
      </c>
      <c r="E147" s="5"/>
      <c r="F147" s="8" t="s">
        <v>323</v>
      </c>
      <c r="G147" s="26" t="s">
        <v>574</v>
      </c>
      <c r="H147" s="10" t="s">
        <v>325</v>
      </c>
      <c r="I147" s="16"/>
      <c r="J147" s="11"/>
    </row>
    <row r="148" spans="1:10" s="1" customFormat="1" ht="15" customHeight="1">
      <c r="A148" s="7">
        <f t="shared" si="4"/>
        <v>146</v>
      </c>
      <c r="B148" s="46">
        <v>2</v>
      </c>
      <c r="C148" s="46">
        <v>8</v>
      </c>
      <c r="D148" s="5">
        <f t="shared" si="5"/>
        <v>3</v>
      </c>
      <c r="E148" s="5"/>
      <c r="F148" s="8" t="s">
        <v>326</v>
      </c>
      <c r="G148" s="26" t="s">
        <v>324</v>
      </c>
      <c r="H148" s="10" t="s">
        <v>327</v>
      </c>
      <c r="I148" s="16" t="s">
        <v>497</v>
      </c>
      <c r="J148" s="11"/>
    </row>
    <row r="149" spans="1:10" s="1" customFormat="1" ht="15" customHeight="1">
      <c r="A149" s="7">
        <f t="shared" si="4"/>
        <v>147</v>
      </c>
      <c r="B149" s="46">
        <v>2</v>
      </c>
      <c r="C149" s="46">
        <v>8</v>
      </c>
      <c r="D149" s="5">
        <f t="shared" si="5"/>
        <v>4</v>
      </c>
      <c r="E149" s="5"/>
      <c r="F149" s="8" t="s">
        <v>328</v>
      </c>
      <c r="G149" s="26" t="s">
        <v>324</v>
      </c>
      <c r="H149" s="10" t="s">
        <v>329</v>
      </c>
      <c r="I149" s="16" t="s">
        <v>498</v>
      </c>
      <c r="J149" s="11"/>
    </row>
    <row r="150" spans="1:10" s="1" customFormat="1" ht="15" customHeight="1">
      <c r="A150" s="7">
        <f t="shared" si="4"/>
        <v>148</v>
      </c>
      <c r="B150" s="46">
        <v>2</v>
      </c>
      <c r="C150" s="46">
        <v>8</v>
      </c>
      <c r="D150" s="5">
        <f t="shared" si="5"/>
        <v>5</v>
      </c>
      <c r="E150" s="13"/>
      <c r="F150" s="8" t="s">
        <v>330</v>
      </c>
      <c r="G150" s="26" t="s">
        <v>324</v>
      </c>
      <c r="H150" s="10" t="s">
        <v>331</v>
      </c>
      <c r="I150" s="16" t="s">
        <v>499</v>
      </c>
      <c r="J150" s="11"/>
    </row>
    <row r="151" spans="1:10" s="1" customFormat="1" ht="15" customHeight="1">
      <c r="A151" s="7">
        <f t="shared" si="4"/>
        <v>149</v>
      </c>
      <c r="B151" s="46">
        <v>2</v>
      </c>
      <c r="C151" s="46">
        <v>8</v>
      </c>
      <c r="D151" s="5">
        <f t="shared" si="5"/>
        <v>6</v>
      </c>
      <c r="E151" s="13"/>
      <c r="F151" s="8" t="s">
        <v>332</v>
      </c>
      <c r="G151" s="26" t="s">
        <v>575</v>
      </c>
      <c r="H151" s="10" t="s">
        <v>333</v>
      </c>
      <c r="I151" s="16" t="s">
        <v>500</v>
      </c>
      <c r="J151" s="11"/>
    </row>
    <row r="152" spans="1:10" s="1" customFormat="1" ht="15" customHeight="1">
      <c r="A152" s="7">
        <f t="shared" si="4"/>
        <v>150</v>
      </c>
      <c r="B152" s="46">
        <v>2</v>
      </c>
      <c r="C152" s="46">
        <v>8</v>
      </c>
      <c r="D152" s="5">
        <f t="shared" si="5"/>
        <v>7</v>
      </c>
      <c r="E152" s="13"/>
      <c r="F152" s="8" t="s">
        <v>473</v>
      </c>
      <c r="G152" s="38"/>
      <c r="H152" s="37"/>
      <c r="I152" s="10" t="s">
        <v>474</v>
      </c>
      <c r="J152" s="11"/>
    </row>
    <row r="153" spans="1:10" s="1" customFormat="1" ht="15" customHeight="1">
      <c r="A153" s="7">
        <f t="shared" si="4"/>
        <v>151</v>
      </c>
      <c r="B153" s="45">
        <v>2</v>
      </c>
      <c r="C153" s="45">
        <v>9</v>
      </c>
      <c r="D153" s="5">
        <f>IF(AND(B151=B153,C151=C153),D151+1,1)</f>
        <v>1</v>
      </c>
      <c r="E153" s="13"/>
      <c r="F153" s="8" t="s">
        <v>334</v>
      </c>
      <c r="G153" s="12" t="s">
        <v>324</v>
      </c>
      <c r="H153" s="10" t="s">
        <v>335</v>
      </c>
      <c r="I153" s="16" t="s">
        <v>501</v>
      </c>
      <c r="J153" s="11"/>
    </row>
    <row r="154" spans="1:10" s="1" customFormat="1" ht="15" customHeight="1">
      <c r="A154" s="7">
        <f t="shared" si="4"/>
        <v>152</v>
      </c>
      <c r="B154" s="45">
        <v>2</v>
      </c>
      <c r="C154" s="45">
        <v>9</v>
      </c>
      <c r="D154" s="5">
        <f t="shared" si="5"/>
        <v>2</v>
      </c>
      <c r="E154" s="14"/>
      <c r="F154" s="8" t="s">
        <v>336</v>
      </c>
      <c r="G154" s="12" t="s">
        <v>324</v>
      </c>
      <c r="H154" s="10" t="s">
        <v>337</v>
      </c>
      <c r="I154" s="16" t="s">
        <v>610</v>
      </c>
      <c r="J154" s="11"/>
    </row>
    <row r="155" spans="1:10" s="1" customFormat="1" ht="15" customHeight="1">
      <c r="A155" s="7">
        <f t="shared" si="4"/>
        <v>153</v>
      </c>
      <c r="B155" s="45">
        <v>2</v>
      </c>
      <c r="C155" s="45">
        <v>9</v>
      </c>
      <c r="D155" s="5">
        <f t="shared" si="5"/>
        <v>3</v>
      </c>
      <c r="E155" s="14" t="s">
        <v>21</v>
      </c>
      <c r="F155" s="8" t="s">
        <v>338</v>
      </c>
      <c r="G155" s="12" t="s">
        <v>324</v>
      </c>
      <c r="H155" s="10" t="s">
        <v>339</v>
      </c>
      <c r="I155" s="16" t="s">
        <v>502</v>
      </c>
      <c r="J155" s="11"/>
    </row>
    <row r="156" spans="1:10" s="1" customFormat="1" ht="15" customHeight="1">
      <c r="A156" s="7">
        <f t="shared" si="4"/>
        <v>154</v>
      </c>
      <c r="B156" s="45">
        <v>2</v>
      </c>
      <c r="C156" s="45">
        <v>9</v>
      </c>
      <c r="D156" s="5">
        <f t="shared" si="5"/>
        <v>4</v>
      </c>
      <c r="E156" s="5"/>
      <c r="F156" s="8" t="s">
        <v>340</v>
      </c>
      <c r="G156" s="12" t="s">
        <v>324</v>
      </c>
      <c r="H156" s="10" t="s">
        <v>341</v>
      </c>
      <c r="I156" s="16" t="s">
        <v>503</v>
      </c>
      <c r="J156" s="11"/>
    </row>
    <row r="157" spans="1:10" s="1" customFormat="1" ht="15" customHeight="1">
      <c r="A157" s="7">
        <f t="shared" si="4"/>
        <v>155</v>
      </c>
      <c r="B157" s="45">
        <v>2</v>
      </c>
      <c r="C157" s="45">
        <v>9</v>
      </c>
      <c r="D157" s="5">
        <f t="shared" si="5"/>
        <v>5</v>
      </c>
      <c r="E157" s="5"/>
      <c r="F157" s="8" t="s">
        <v>342</v>
      </c>
      <c r="G157" s="12" t="s">
        <v>324</v>
      </c>
      <c r="H157" s="10" t="s">
        <v>343</v>
      </c>
      <c r="I157" s="16" t="s">
        <v>504</v>
      </c>
      <c r="J157" s="11"/>
    </row>
    <row r="158" spans="1:10" s="1" customFormat="1" ht="15" customHeight="1">
      <c r="A158" s="7">
        <f t="shared" si="4"/>
        <v>156</v>
      </c>
      <c r="B158" s="45">
        <v>2</v>
      </c>
      <c r="C158" s="45">
        <v>9</v>
      </c>
      <c r="D158" s="5">
        <f t="shared" si="5"/>
        <v>6</v>
      </c>
      <c r="E158" s="11"/>
      <c r="F158" s="8" t="s">
        <v>505</v>
      </c>
      <c r="G158" s="12" t="s">
        <v>324</v>
      </c>
      <c r="H158" s="10" t="s">
        <v>344</v>
      </c>
      <c r="I158" s="16" t="s">
        <v>506</v>
      </c>
      <c r="J158" s="11"/>
    </row>
    <row r="159" spans="1:10" s="1" customFormat="1" ht="15" customHeight="1">
      <c r="A159" s="7">
        <f t="shared" si="4"/>
        <v>157</v>
      </c>
      <c r="B159" s="45">
        <v>2</v>
      </c>
      <c r="C159" s="45">
        <v>9</v>
      </c>
      <c r="D159" s="5">
        <f t="shared" si="5"/>
        <v>7</v>
      </c>
      <c r="E159" s="5"/>
      <c r="F159" s="8" t="s">
        <v>345</v>
      </c>
      <c r="G159" s="12" t="s">
        <v>346</v>
      </c>
      <c r="H159" s="10" t="s">
        <v>347</v>
      </c>
      <c r="I159" s="16"/>
      <c r="J159" s="11"/>
    </row>
    <row r="160" spans="1:10" s="1" customFormat="1" ht="15" customHeight="1">
      <c r="A160" s="7">
        <f t="shared" si="4"/>
        <v>158</v>
      </c>
      <c r="B160" s="45">
        <v>2</v>
      </c>
      <c r="C160" s="45">
        <v>9</v>
      </c>
      <c r="D160" s="5">
        <f t="shared" si="5"/>
        <v>8</v>
      </c>
      <c r="E160" s="13"/>
      <c r="F160" s="8" t="s">
        <v>457</v>
      </c>
      <c r="G160" s="12" t="s">
        <v>348</v>
      </c>
      <c r="H160" s="10" t="s">
        <v>349</v>
      </c>
      <c r="I160" s="16" t="s">
        <v>350</v>
      </c>
      <c r="J160" s="11"/>
    </row>
    <row r="161" spans="1:10" s="1" customFormat="1" ht="15" customHeight="1">
      <c r="A161" s="7">
        <f t="shared" si="4"/>
        <v>159</v>
      </c>
      <c r="B161" s="33">
        <v>2</v>
      </c>
      <c r="C161" s="33">
        <v>10</v>
      </c>
      <c r="D161" s="5">
        <f t="shared" si="5"/>
        <v>1</v>
      </c>
      <c r="E161" s="13"/>
      <c r="F161" s="8" t="s">
        <v>357</v>
      </c>
      <c r="G161" s="10" t="s">
        <v>358</v>
      </c>
      <c r="H161" s="10" t="s">
        <v>359</v>
      </c>
      <c r="I161" s="16" t="s">
        <v>507</v>
      </c>
      <c r="J161" s="11"/>
    </row>
    <row r="162" spans="1:10" s="1" customFormat="1" ht="15" customHeight="1">
      <c r="A162" s="7">
        <f t="shared" si="4"/>
        <v>160</v>
      </c>
      <c r="B162" s="33">
        <v>2</v>
      </c>
      <c r="C162" s="33">
        <v>10</v>
      </c>
      <c r="D162" s="5">
        <f t="shared" si="5"/>
        <v>2</v>
      </c>
      <c r="E162" s="5"/>
      <c r="F162" s="15" t="s">
        <v>369</v>
      </c>
      <c r="G162" s="10" t="s">
        <v>370</v>
      </c>
      <c r="H162" s="10" t="s">
        <v>371</v>
      </c>
      <c r="I162" s="16" t="s">
        <v>508</v>
      </c>
      <c r="J162" s="11"/>
    </row>
    <row r="163" spans="1:10" s="1" customFormat="1" ht="15" customHeight="1">
      <c r="A163" s="7">
        <f t="shared" si="4"/>
        <v>161</v>
      </c>
      <c r="B163" s="33">
        <v>2</v>
      </c>
      <c r="C163" s="33">
        <v>10</v>
      </c>
      <c r="D163" s="5">
        <f t="shared" si="5"/>
        <v>3</v>
      </c>
      <c r="E163" s="13"/>
      <c r="F163" s="8" t="s">
        <v>375</v>
      </c>
      <c r="G163" s="10" t="s">
        <v>376</v>
      </c>
      <c r="H163" s="10" t="s">
        <v>377</v>
      </c>
      <c r="I163" s="16" t="s">
        <v>509</v>
      </c>
      <c r="J163" s="11"/>
    </row>
    <row r="164" spans="1:10" s="1" customFormat="1" ht="15" customHeight="1">
      <c r="A164" s="7">
        <f t="shared" si="4"/>
        <v>162</v>
      </c>
      <c r="B164" s="33">
        <v>2</v>
      </c>
      <c r="C164" s="33">
        <v>10</v>
      </c>
      <c r="D164" s="5">
        <f t="shared" si="5"/>
        <v>4</v>
      </c>
      <c r="E164" s="5"/>
      <c r="F164" s="8" t="s">
        <v>381</v>
      </c>
      <c r="G164" s="9" t="s">
        <v>382</v>
      </c>
      <c r="H164" s="10" t="s">
        <v>383</v>
      </c>
      <c r="I164" s="16" t="s">
        <v>384</v>
      </c>
      <c r="J164" s="11"/>
    </row>
    <row r="165" spans="1:10" s="1" customFormat="1" ht="15" customHeight="1">
      <c r="A165" s="7">
        <f t="shared" si="4"/>
        <v>163</v>
      </c>
      <c r="B165" s="33">
        <v>2</v>
      </c>
      <c r="C165" s="33">
        <v>10</v>
      </c>
      <c r="D165" s="5">
        <f t="shared" si="5"/>
        <v>5</v>
      </c>
      <c r="E165" s="14"/>
      <c r="F165" s="8" t="s">
        <v>363</v>
      </c>
      <c r="G165" s="12" t="s">
        <v>364</v>
      </c>
      <c r="H165" s="10" t="s">
        <v>365</v>
      </c>
      <c r="I165" s="16" t="s">
        <v>510</v>
      </c>
      <c r="J165" s="11"/>
    </row>
    <row r="166" spans="1:10" s="1" customFormat="1" ht="15" customHeight="1">
      <c r="A166" s="7">
        <f t="shared" si="4"/>
        <v>164</v>
      </c>
      <c r="B166" s="33">
        <v>2</v>
      </c>
      <c r="C166" s="33">
        <v>10</v>
      </c>
      <c r="D166" s="5">
        <f t="shared" si="5"/>
        <v>6</v>
      </c>
      <c r="E166" s="5"/>
      <c r="F166" s="8" t="s">
        <v>360</v>
      </c>
      <c r="G166" s="10" t="s">
        <v>361</v>
      </c>
      <c r="H166" s="10" t="s">
        <v>362</v>
      </c>
      <c r="I166" s="16"/>
      <c r="J166" s="11"/>
    </row>
    <row r="167" spans="1:10" s="1" customFormat="1" ht="15" customHeight="1">
      <c r="A167" s="7">
        <f t="shared" si="4"/>
        <v>165</v>
      </c>
      <c r="B167" s="33">
        <v>2</v>
      </c>
      <c r="C167" s="33">
        <v>10</v>
      </c>
      <c r="D167" s="5">
        <f t="shared" si="5"/>
        <v>7</v>
      </c>
      <c r="E167" s="5"/>
      <c r="F167" s="8" t="s">
        <v>372</v>
      </c>
      <c r="G167" s="10" t="s">
        <v>373</v>
      </c>
      <c r="H167" s="10" t="s">
        <v>374</v>
      </c>
      <c r="I167" s="16" t="s">
        <v>511</v>
      </c>
      <c r="J167" s="11"/>
    </row>
    <row r="168" spans="1:10" s="1" customFormat="1" ht="15" customHeight="1">
      <c r="A168" s="7">
        <f t="shared" si="4"/>
        <v>166</v>
      </c>
      <c r="B168" s="33">
        <v>2</v>
      </c>
      <c r="C168" s="33">
        <v>10</v>
      </c>
      <c r="D168" s="5">
        <f t="shared" si="5"/>
        <v>8</v>
      </c>
      <c r="E168" s="14"/>
      <c r="F168" s="8" t="s">
        <v>378</v>
      </c>
      <c r="G168" s="10" t="s">
        <v>379</v>
      </c>
      <c r="H168" s="10" t="s">
        <v>380</v>
      </c>
      <c r="I168" s="16" t="s">
        <v>512</v>
      </c>
      <c r="J168" s="11"/>
    </row>
    <row r="169" spans="1:10" s="1" customFormat="1" ht="15" customHeight="1">
      <c r="A169" s="7">
        <f t="shared" si="4"/>
        <v>167</v>
      </c>
      <c r="B169" s="33">
        <v>2</v>
      </c>
      <c r="C169" s="33">
        <v>10</v>
      </c>
      <c r="D169" s="5">
        <f t="shared" si="5"/>
        <v>9</v>
      </c>
      <c r="E169" s="14" t="s">
        <v>21</v>
      </c>
      <c r="F169" s="8" t="s">
        <v>366</v>
      </c>
      <c r="G169" s="10" t="s">
        <v>367</v>
      </c>
      <c r="H169" s="10" t="s">
        <v>368</v>
      </c>
      <c r="I169" s="16" t="s">
        <v>513</v>
      </c>
      <c r="J169" s="11"/>
    </row>
    <row r="170" spans="1:10" s="1" customFormat="1" ht="15" customHeight="1">
      <c r="A170" s="7">
        <f t="shared" si="4"/>
        <v>168</v>
      </c>
      <c r="B170" s="33">
        <v>2</v>
      </c>
      <c r="C170" s="33">
        <v>10</v>
      </c>
      <c r="D170" s="5">
        <f t="shared" si="5"/>
        <v>10</v>
      </c>
      <c r="E170" s="5"/>
      <c r="F170" s="8" t="s">
        <v>354</v>
      </c>
      <c r="G170" s="12" t="s">
        <v>355</v>
      </c>
      <c r="H170" s="10" t="s">
        <v>356</v>
      </c>
      <c r="I170" s="16" t="s">
        <v>514</v>
      </c>
      <c r="J170" s="11"/>
    </row>
    <row r="171" spans="1:10" s="1" customFormat="1" ht="15" customHeight="1">
      <c r="A171" s="7">
        <f t="shared" si="4"/>
        <v>169</v>
      </c>
      <c r="B171" s="33">
        <v>2</v>
      </c>
      <c r="C171" s="33">
        <v>10</v>
      </c>
      <c r="D171" s="5">
        <f t="shared" si="5"/>
        <v>11</v>
      </c>
      <c r="E171" s="5"/>
      <c r="F171" s="8" t="s">
        <v>351</v>
      </c>
      <c r="G171" s="12" t="s">
        <v>352</v>
      </c>
      <c r="H171" s="10" t="s">
        <v>353</v>
      </c>
      <c r="I171" s="16"/>
      <c r="J171" s="11"/>
    </row>
    <row r="172" spans="1:10" s="58" customFormat="1" ht="15" customHeight="1">
      <c r="A172" s="7">
        <f t="shared" si="4"/>
        <v>170</v>
      </c>
      <c r="B172" s="29">
        <v>2</v>
      </c>
      <c r="C172" s="29">
        <v>11</v>
      </c>
      <c r="D172" s="5">
        <f t="shared" si="5"/>
        <v>1</v>
      </c>
      <c r="E172" s="14"/>
      <c r="F172" s="15" t="s">
        <v>467</v>
      </c>
      <c r="G172" s="26" t="s">
        <v>385</v>
      </c>
      <c r="H172" s="16" t="s">
        <v>460</v>
      </c>
      <c r="I172" s="16" t="s">
        <v>453</v>
      </c>
      <c r="J172" s="21"/>
    </row>
    <row r="173" spans="1:10" s="1" customFormat="1" ht="15" customHeight="1">
      <c r="A173" s="7">
        <f t="shared" si="4"/>
        <v>171</v>
      </c>
      <c r="B173" s="29">
        <v>2</v>
      </c>
      <c r="C173" s="29">
        <v>11</v>
      </c>
      <c r="D173" s="5">
        <f t="shared" si="5"/>
        <v>2</v>
      </c>
      <c r="E173" s="5"/>
      <c r="F173" s="8" t="s">
        <v>386</v>
      </c>
      <c r="G173" s="12" t="s">
        <v>385</v>
      </c>
      <c r="H173" s="10" t="s">
        <v>387</v>
      </c>
      <c r="I173" s="16" t="s">
        <v>515</v>
      </c>
      <c r="J173" s="11"/>
    </row>
    <row r="174" spans="1:10" s="1" customFormat="1" ht="15" customHeight="1">
      <c r="A174" s="7">
        <f t="shared" si="4"/>
        <v>172</v>
      </c>
      <c r="B174" s="29">
        <v>2</v>
      </c>
      <c r="C174" s="29">
        <v>11</v>
      </c>
      <c r="D174" s="5">
        <f t="shared" si="5"/>
        <v>3</v>
      </c>
      <c r="E174" s="14" t="s">
        <v>21</v>
      </c>
      <c r="F174" s="8" t="s">
        <v>388</v>
      </c>
      <c r="G174" s="12" t="s">
        <v>385</v>
      </c>
      <c r="H174" s="10" t="s">
        <v>447</v>
      </c>
      <c r="I174" s="16" t="s">
        <v>516</v>
      </c>
      <c r="J174" s="11"/>
    </row>
    <row r="175" spans="1:10" s="1" customFormat="1" ht="15" customHeight="1">
      <c r="A175" s="7">
        <f t="shared" si="4"/>
        <v>173</v>
      </c>
      <c r="B175" s="29">
        <v>2</v>
      </c>
      <c r="C175" s="29">
        <v>11</v>
      </c>
      <c r="D175" s="5">
        <f t="shared" si="5"/>
        <v>4</v>
      </c>
      <c r="E175" s="5"/>
      <c r="F175" s="8" t="s">
        <v>389</v>
      </c>
      <c r="G175" s="12" t="s">
        <v>385</v>
      </c>
      <c r="H175" s="10" t="s">
        <v>390</v>
      </c>
      <c r="I175" s="16" t="s">
        <v>522</v>
      </c>
      <c r="J175" s="11"/>
    </row>
    <row r="176" spans="1:10" s="1" customFormat="1" ht="15" customHeight="1">
      <c r="A176" s="7">
        <f t="shared" si="4"/>
        <v>174</v>
      </c>
      <c r="B176" s="29">
        <v>2</v>
      </c>
      <c r="C176" s="29">
        <v>11</v>
      </c>
      <c r="D176" s="5">
        <f t="shared" si="5"/>
        <v>5</v>
      </c>
      <c r="E176" s="5"/>
      <c r="F176" s="8" t="s">
        <v>391</v>
      </c>
      <c r="G176" s="12" t="s">
        <v>324</v>
      </c>
      <c r="H176" s="10" t="s">
        <v>392</v>
      </c>
      <c r="I176" s="16" t="s">
        <v>620</v>
      </c>
      <c r="J176" s="11"/>
    </row>
    <row r="177" spans="1:10" s="1" customFormat="1" ht="15" customHeight="1">
      <c r="A177" s="7">
        <f t="shared" si="4"/>
        <v>175</v>
      </c>
      <c r="B177" s="29">
        <v>2</v>
      </c>
      <c r="C177" s="29">
        <v>11</v>
      </c>
      <c r="D177" s="5">
        <f t="shared" si="5"/>
        <v>6</v>
      </c>
      <c r="E177" s="5"/>
      <c r="F177" s="8" t="s">
        <v>393</v>
      </c>
      <c r="G177" s="12" t="s">
        <v>324</v>
      </c>
      <c r="H177" s="10" t="s">
        <v>394</v>
      </c>
      <c r="I177" s="16" t="s">
        <v>395</v>
      </c>
      <c r="J177" s="11"/>
    </row>
    <row r="178" spans="1:10" s="1" customFormat="1" ht="15" customHeight="1">
      <c r="A178" s="7">
        <f t="shared" si="4"/>
        <v>176</v>
      </c>
      <c r="B178" s="29">
        <v>2</v>
      </c>
      <c r="C178" s="29">
        <v>11</v>
      </c>
      <c r="D178" s="5">
        <f t="shared" si="5"/>
        <v>7</v>
      </c>
      <c r="E178" s="13"/>
      <c r="F178" s="8" t="s">
        <v>396</v>
      </c>
      <c r="G178" s="12" t="s">
        <v>397</v>
      </c>
      <c r="H178" s="10" t="s">
        <v>398</v>
      </c>
      <c r="I178" s="16" t="s">
        <v>517</v>
      </c>
      <c r="J178" s="11"/>
    </row>
    <row r="179" spans="1:10" s="1" customFormat="1" ht="15" customHeight="1">
      <c r="A179" s="7">
        <f t="shared" si="4"/>
        <v>177</v>
      </c>
      <c r="B179" s="29">
        <v>2</v>
      </c>
      <c r="C179" s="29">
        <v>11</v>
      </c>
      <c r="D179" s="5">
        <f t="shared" si="5"/>
        <v>8</v>
      </c>
      <c r="E179" s="14"/>
      <c r="F179" s="8" t="s">
        <v>399</v>
      </c>
      <c r="G179" s="12" t="s">
        <v>397</v>
      </c>
      <c r="H179" s="10" t="s">
        <v>400</v>
      </c>
      <c r="I179" s="16" t="s">
        <v>521</v>
      </c>
      <c r="J179" s="11"/>
    </row>
    <row r="180" spans="1:10" s="1" customFormat="1" ht="15" customHeight="1">
      <c r="A180" s="7">
        <f t="shared" si="4"/>
        <v>178</v>
      </c>
      <c r="B180" s="29">
        <v>2</v>
      </c>
      <c r="C180" s="29">
        <v>11</v>
      </c>
      <c r="D180" s="5">
        <f t="shared" si="5"/>
        <v>9</v>
      </c>
      <c r="E180" s="13"/>
      <c r="F180" s="8" t="s">
        <v>401</v>
      </c>
      <c r="G180" s="26" t="s">
        <v>571</v>
      </c>
      <c r="H180" s="10" t="s">
        <v>402</v>
      </c>
      <c r="I180" s="16" t="s">
        <v>579</v>
      </c>
      <c r="J180" s="11"/>
    </row>
    <row r="181" spans="1:10" s="1" customFormat="1" ht="15" customHeight="1">
      <c r="A181" s="7">
        <f t="shared" si="4"/>
        <v>179</v>
      </c>
      <c r="B181" s="29">
        <v>2</v>
      </c>
      <c r="C181" s="29">
        <v>11</v>
      </c>
      <c r="D181" s="5">
        <f t="shared" si="5"/>
        <v>10</v>
      </c>
      <c r="E181" s="5"/>
      <c r="F181" s="10" t="s">
        <v>405</v>
      </c>
      <c r="G181" s="26" t="s">
        <v>397</v>
      </c>
      <c r="H181" s="52" t="s">
        <v>403</v>
      </c>
      <c r="I181" s="24" t="s">
        <v>404</v>
      </c>
      <c r="J181" s="11" t="s">
        <v>458</v>
      </c>
    </row>
    <row r="182" spans="1:10" s="1" customFormat="1" ht="15" customHeight="1">
      <c r="A182" s="7">
        <f t="shared" si="4"/>
        <v>180</v>
      </c>
      <c r="B182" s="33">
        <v>2</v>
      </c>
      <c r="C182" s="33">
        <v>12</v>
      </c>
      <c r="D182" s="5">
        <f t="shared" si="5"/>
        <v>1</v>
      </c>
      <c r="E182" s="5"/>
      <c r="F182" s="8" t="s">
        <v>406</v>
      </c>
      <c r="G182" s="10" t="s">
        <v>407</v>
      </c>
      <c r="H182" s="10" t="s">
        <v>580</v>
      </c>
      <c r="I182" s="16" t="s">
        <v>581</v>
      </c>
      <c r="J182" s="11"/>
    </row>
    <row r="183" spans="1:10" s="1" customFormat="1" ht="15" customHeight="1">
      <c r="A183" s="7">
        <f t="shared" si="4"/>
        <v>181</v>
      </c>
      <c r="B183" s="33">
        <v>2</v>
      </c>
      <c r="C183" s="33">
        <v>12</v>
      </c>
      <c r="D183" s="5">
        <f t="shared" si="5"/>
        <v>2</v>
      </c>
      <c r="E183" s="13"/>
      <c r="F183" s="8" t="s">
        <v>409</v>
      </c>
      <c r="G183" s="10" t="s">
        <v>606</v>
      </c>
      <c r="H183" s="10" t="s">
        <v>410</v>
      </c>
      <c r="I183" s="16" t="s">
        <v>607</v>
      </c>
      <c r="J183" s="11"/>
    </row>
    <row r="184" spans="1:10" s="1" customFormat="1" ht="15" customHeight="1">
      <c r="A184" s="7">
        <f t="shared" si="4"/>
        <v>182</v>
      </c>
      <c r="B184" s="33">
        <v>2</v>
      </c>
      <c r="C184" s="33">
        <v>12</v>
      </c>
      <c r="D184" s="5">
        <f t="shared" si="5"/>
        <v>3</v>
      </c>
      <c r="E184" s="13"/>
      <c r="F184" s="8" t="s">
        <v>411</v>
      </c>
      <c r="G184" s="10" t="s">
        <v>412</v>
      </c>
      <c r="H184" s="10" t="s">
        <v>413</v>
      </c>
      <c r="I184" s="16" t="s">
        <v>586</v>
      </c>
      <c r="J184" s="11"/>
    </row>
    <row r="185" spans="1:10" s="1" customFormat="1" ht="15" customHeight="1">
      <c r="A185" s="7">
        <f t="shared" si="4"/>
        <v>183</v>
      </c>
      <c r="B185" s="33">
        <v>2</v>
      </c>
      <c r="C185" s="33">
        <v>12</v>
      </c>
      <c r="D185" s="5">
        <f t="shared" si="5"/>
        <v>4</v>
      </c>
      <c r="E185" s="5"/>
      <c r="F185" s="8" t="s">
        <v>414</v>
      </c>
      <c r="G185" s="10" t="s">
        <v>415</v>
      </c>
      <c r="H185" s="10" t="s">
        <v>416</v>
      </c>
      <c r="I185" s="16"/>
      <c r="J185" s="11"/>
    </row>
    <row r="186" spans="1:10" s="1" customFormat="1" ht="15" customHeight="1">
      <c r="A186" s="7">
        <f t="shared" si="4"/>
        <v>184</v>
      </c>
      <c r="B186" s="33">
        <v>2</v>
      </c>
      <c r="C186" s="33">
        <v>12</v>
      </c>
      <c r="D186" s="5">
        <f t="shared" si="5"/>
        <v>5</v>
      </c>
      <c r="E186" s="5"/>
      <c r="F186" s="8" t="s">
        <v>417</v>
      </c>
      <c r="G186" s="10" t="s">
        <v>418</v>
      </c>
      <c r="H186" s="10" t="s">
        <v>419</v>
      </c>
      <c r="I186" s="16"/>
      <c r="J186" s="11"/>
    </row>
    <row r="187" spans="1:10" s="1" customFormat="1" ht="15" customHeight="1">
      <c r="A187" s="7">
        <f t="shared" si="4"/>
        <v>185</v>
      </c>
      <c r="B187" s="33">
        <v>2</v>
      </c>
      <c r="C187" s="33">
        <v>12</v>
      </c>
      <c r="D187" s="5">
        <f t="shared" si="5"/>
        <v>6</v>
      </c>
      <c r="E187" s="5"/>
      <c r="F187" s="8" t="s">
        <v>420</v>
      </c>
      <c r="G187" s="37" t="s">
        <v>418</v>
      </c>
      <c r="H187" s="37"/>
      <c r="I187" s="42" t="s">
        <v>421</v>
      </c>
      <c r="J187" s="11"/>
    </row>
    <row r="188" spans="1:10" s="58" customFormat="1" ht="15" customHeight="1">
      <c r="A188" s="7">
        <f t="shared" si="4"/>
        <v>186</v>
      </c>
      <c r="B188" s="33">
        <v>2</v>
      </c>
      <c r="C188" s="33">
        <v>12</v>
      </c>
      <c r="D188" s="14">
        <f t="shared" si="5"/>
        <v>7</v>
      </c>
      <c r="E188" s="14"/>
      <c r="F188" s="15" t="s">
        <v>422</v>
      </c>
      <c r="G188" s="16" t="s">
        <v>423</v>
      </c>
      <c r="H188" s="16" t="s">
        <v>424</v>
      </c>
      <c r="I188" s="16" t="s">
        <v>602</v>
      </c>
      <c r="J188" s="21"/>
    </row>
    <row r="189" spans="1:10" s="1" customFormat="1" ht="15" customHeight="1">
      <c r="A189" s="7">
        <f t="shared" si="4"/>
        <v>187</v>
      </c>
      <c r="B189" s="33">
        <v>2</v>
      </c>
      <c r="C189" s="33">
        <v>12</v>
      </c>
      <c r="D189" s="5">
        <f t="shared" si="5"/>
        <v>8</v>
      </c>
      <c r="E189" s="14" t="s">
        <v>21</v>
      </c>
      <c r="F189" s="8" t="s">
        <v>425</v>
      </c>
      <c r="G189" s="10" t="s">
        <v>426</v>
      </c>
      <c r="H189" s="10" t="s">
        <v>446</v>
      </c>
      <c r="I189" s="16" t="s">
        <v>608</v>
      </c>
      <c r="J189" s="11"/>
    </row>
    <row r="190" spans="1:10" s="1" customFormat="1" ht="15" customHeight="1">
      <c r="A190" s="7">
        <f t="shared" si="4"/>
        <v>188</v>
      </c>
      <c r="B190" s="33">
        <v>2</v>
      </c>
      <c r="C190" s="33">
        <v>12</v>
      </c>
      <c r="D190" s="5">
        <f>IF(AND(B188=B190,C188=C190),D188+1,1)</f>
        <v>8</v>
      </c>
      <c r="E190" s="14"/>
      <c r="F190" s="8" t="s">
        <v>427</v>
      </c>
      <c r="G190" s="10" t="s">
        <v>428</v>
      </c>
      <c r="H190" s="10" t="s">
        <v>429</v>
      </c>
      <c r="I190" s="16" t="s">
        <v>430</v>
      </c>
      <c r="J190" s="11"/>
    </row>
    <row r="191" spans="1:10" s="1" customFormat="1" ht="15" customHeight="1">
      <c r="A191" s="7">
        <f t="shared" si="4"/>
        <v>189</v>
      </c>
      <c r="B191" s="33">
        <v>2</v>
      </c>
      <c r="C191" s="33">
        <v>12</v>
      </c>
      <c r="D191" s="14">
        <f>IF(AND(B189=B191,C189=C191),D189+1,1)</f>
        <v>9</v>
      </c>
      <c r="E191" s="14"/>
      <c r="F191" s="15" t="s">
        <v>478</v>
      </c>
      <c r="G191" s="16" t="s">
        <v>479</v>
      </c>
      <c r="H191" s="16" t="s">
        <v>480</v>
      </c>
      <c r="I191" s="16" t="s">
        <v>481</v>
      </c>
      <c r="J191" s="11"/>
    </row>
    <row r="193" spans="1:10" s="3" customFormat="1">
      <c r="A193" t="s">
        <v>431</v>
      </c>
      <c r="B193"/>
      <c r="C193"/>
      <c r="D193" s="28" t="s">
        <v>21</v>
      </c>
      <c r="E193" t="s">
        <v>450</v>
      </c>
      <c r="H193" s="49"/>
      <c r="I193"/>
      <c r="J193"/>
    </row>
    <row r="194" spans="1:10" s="3" customFormat="1">
      <c r="A194"/>
      <c r="B194"/>
      <c r="C194"/>
      <c r="D194" s="35"/>
      <c r="E194" s="31" t="s">
        <v>432</v>
      </c>
      <c r="H194" s="24"/>
      <c r="I194" t="s">
        <v>572</v>
      </c>
      <c r="J194"/>
    </row>
    <row r="195" spans="1:10" s="3" customFormat="1">
      <c r="A195"/>
      <c r="B195"/>
      <c r="C195"/>
      <c r="D195" s="43"/>
      <c r="E195" t="s">
        <v>441</v>
      </c>
      <c r="I195"/>
      <c r="J195"/>
    </row>
  </sheetData>
  <mergeCells count="1">
    <mergeCell ref="A1:I1"/>
  </mergeCells>
  <phoneticPr fontId="1"/>
  <pageMargins left="1.299212598425197" right="0.98425196850393704" top="1.1811023622047245" bottom="0.98425196850393704" header="0.70866141732283472" footer="0.51181102362204722"/>
  <pageSetup paperSize="8" scale="91" fitToHeight="0" orientation="portrait" r:id="rId1"/>
  <headerFooter>
    <oddHeader>&amp;L&amp;16&amp;KFF0000【開示範囲】　企画会及び防災本部メンバーに限る&amp;R&amp;A</oddHeader>
    <oddFooter>&amp;L&amp;"ＭＳ Ｐゴシック,標準"&amp;K000000&amp;Z&amp;F&amp;C&amp;"ＭＳ Ｐゴシック,標準"&amp;K000000&amp;P／&amp;N</oddFooter>
  </headerFooter>
  <rowBreaks count="2" manualBreakCount="2">
    <brk id="80" max="8" man="1"/>
    <brk id="152" max="8"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18</vt:i4>
      </vt:variant>
    </vt:vector>
  </HeadingPairs>
  <TitlesOfParts>
    <vt:vector size="28" baseType="lpstr">
      <vt:lpstr>Sheet1</vt:lpstr>
      <vt:lpstr>マスタ</vt:lpstr>
      <vt:lpstr>2026-0602</vt:lpstr>
      <vt:lpstr>2026-0524</vt:lpstr>
      <vt:lpstr>2026-0426</vt:lpstr>
      <vt:lpstr>2026-0418</vt:lpstr>
      <vt:lpstr>R8要支援者</vt:lpstr>
      <vt:lpstr>2026-0201</vt:lpstr>
      <vt:lpstr>2026-0125</vt:lpstr>
      <vt:lpstr>2026-0103</vt:lpstr>
      <vt:lpstr>'2026-0103'!Print_Area</vt:lpstr>
      <vt:lpstr>'2026-0125'!Print_Area</vt:lpstr>
      <vt:lpstr>'2026-0201'!Print_Area</vt:lpstr>
      <vt:lpstr>'2026-0418'!Print_Area</vt:lpstr>
      <vt:lpstr>'2026-0426'!Print_Area</vt:lpstr>
      <vt:lpstr>'2026-0524'!Print_Area</vt:lpstr>
      <vt:lpstr>'2026-0602'!Print_Area</vt:lpstr>
      <vt:lpstr>'R8要支援者'!Print_Area</vt:lpstr>
      <vt:lpstr>マスタ!Print_Area</vt:lpstr>
      <vt:lpstr>'2026-0103'!Print_Titles</vt:lpstr>
      <vt:lpstr>'2026-0125'!Print_Titles</vt:lpstr>
      <vt:lpstr>'2026-0201'!Print_Titles</vt:lpstr>
      <vt:lpstr>'2026-0418'!Print_Titles</vt:lpstr>
      <vt:lpstr>'2026-0426'!Print_Titles</vt:lpstr>
      <vt:lpstr>'2026-0524'!Print_Titles</vt:lpstr>
      <vt:lpstr>'2026-0602'!Print_Titles</vt:lpstr>
      <vt:lpstr>'R8要支援者'!Print_Titles</vt:lpstr>
      <vt:lpstr>マスタ!Print_Titles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kazuhisa</dc:creator>
  <cp:keywords/>
  <dc:description/>
  <cp:lastModifiedBy>hashimoto takeshi(橋本 岳 ＴＥＴＣ ○シス本□ＳＷ技○ＳＷ１)</cp:lastModifiedBy>
  <cp:revision/>
  <cp:lastPrinted>2026-03-20T10:59:47Z</cp:lastPrinted>
  <dcterms:created xsi:type="dcterms:W3CDTF">2010-05-04T07:19:59Z</dcterms:created>
  <dcterms:modified xsi:type="dcterms:W3CDTF">2026-06-08T23:31:23Z</dcterms:modified>
  <cp:category/>
  <cp:contentStatus/>
</cp:coreProperties>
</file>