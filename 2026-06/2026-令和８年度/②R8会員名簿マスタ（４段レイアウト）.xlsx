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51bde4d8205714a/◆駒寄◆/★会計★/④祭礼会計/2025-令和７年度/"/>
    </mc:Choice>
  </mc:AlternateContent>
  <xr:revisionPtr revIDLastSave="3312" documentId="8_{D9A4BC39-A812-4664-8B89-DBE206304051}" xr6:coauthVersionLast="47" xr6:coauthVersionMax="47" xr10:uidLastSave="{D28C9CFB-099A-43A5-A1F4-ED935DF57AA1}"/>
  <bookViews>
    <workbookView xWindow="375" yWindow="0" windowWidth="13785" windowHeight="15585" tabRatio="887" firstSheet="3" activeTab="4" xr2:uid="{00000000-000D-0000-FFFF-FFFF00000000}"/>
  </bookViews>
  <sheets>
    <sheet name="⓪作業手順メモ" sheetId="21" r:id="rId1"/>
    <sheet name="①会員名簿マスタ" sheetId="19" r:id="rId2"/>
    <sheet name="②差し込み印刷用４段" sheetId="20" r:id="rId3"/>
    <sheet name="⑩寄付者一覧 (班別)" sheetId="24" r:id="rId4"/>
    <sheet name="⑫返礼品配布用リスト（班別）" sheetId="25" r:id="rId5"/>
    <sheet name="⑪寄付者一覧 (金額別）" sheetId="27" r:id="rId6"/>
  </sheets>
  <definedNames>
    <definedName name="_xlnm._FilterDatabase" localSheetId="1" hidden="1">①会員名簿マスタ!$A$2:$I$179</definedName>
    <definedName name="_xlnm._FilterDatabase" localSheetId="3" hidden="1">'⑩寄付者一覧 (班別)'!$G$1:$G$183</definedName>
    <definedName name="_xlnm.Print_Area" localSheetId="1">①会員名簿マスタ!$A$1:$I$186</definedName>
    <definedName name="_xlnm.Print_Area" localSheetId="3">'⑩寄付者一覧 (班別)'!$A$1:$H$187</definedName>
    <definedName name="_xlnm.Print_Area" localSheetId="4">'⑫返礼品配布用リスト（班別）'!$A$1:$C$251</definedName>
    <definedName name="_xlnm.Print_Titles" localSheetId="1">①会員名簿マスタ!$1:$2</definedName>
    <definedName name="_xlnm.Print_Titles" localSheetId="3">'⑩寄付者一覧 (班別)'!$1:$2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8" i="25" l="1"/>
  <c r="A39" i="25"/>
  <c r="A72" i="25"/>
  <c r="C182" i="24"/>
  <c r="C181" i="24"/>
  <c r="C180" i="24"/>
  <c r="C179" i="24"/>
  <c r="C178" i="24"/>
  <c r="C177" i="24"/>
  <c r="C176" i="24"/>
  <c r="C175" i="24"/>
  <c r="C174" i="24"/>
  <c r="C173" i="24"/>
  <c r="C172" i="24"/>
  <c r="C171" i="24"/>
  <c r="C170" i="24"/>
  <c r="C169" i="24"/>
  <c r="C168" i="24"/>
  <c r="C167" i="24"/>
  <c r="C166" i="24"/>
  <c r="C165" i="24"/>
  <c r="C164" i="24"/>
  <c r="C163" i="24"/>
  <c r="C162" i="24"/>
  <c r="C161" i="24"/>
  <c r="C160" i="24"/>
  <c r="C159" i="24"/>
  <c r="C158" i="24"/>
  <c r="C157" i="24"/>
  <c r="C156" i="24"/>
  <c r="C155" i="24"/>
  <c r="C154" i="24"/>
  <c r="C153" i="24"/>
  <c r="C152" i="24"/>
  <c r="C151" i="24"/>
  <c r="C150" i="24"/>
  <c r="C149" i="24"/>
  <c r="C148" i="24"/>
  <c r="C147" i="24"/>
  <c r="C146" i="24"/>
  <c r="C145" i="24"/>
  <c r="C144" i="24"/>
  <c r="C143" i="24"/>
  <c r="C142" i="24"/>
  <c r="C141" i="24"/>
  <c r="C140" i="24"/>
  <c r="C139" i="24"/>
  <c r="C138" i="24"/>
  <c r="C137" i="24"/>
  <c r="C136" i="24"/>
  <c r="C135" i="24"/>
  <c r="C134" i="24"/>
  <c r="C133" i="24"/>
  <c r="C132" i="24"/>
  <c r="C131" i="24"/>
  <c r="C130" i="24"/>
  <c r="C129" i="24"/>
  <c r="C128" i="24"/>
  <c r="C127" i="24"/>
  <c r="C126" i="24"/>
  <c r="C125" i="24"/>
  <c r="C124" i="24"/>
  <c r="C123" i="24"/>
  <c r="C122" i="24"/>
  <c r="C121" i="24"/>
  <c r="C120" i="24"/>
  <c r="C119" i="24"/>
  <c r="C118" i="24"/>
  <c r="C117" i="24"/>
  <c r="C116" i="24"/>
  <c r="C115" i="24"/>
  <c r="C114" i="24"/>
  <c r="C113" i="24"/>
  <c r="C112" i="24"/>
  <c r="C111" i="24"/>
  <c r="C110" i="24"/>
  <c r="C109" i="24"/>
  <c r="C108" i="24"/>
  <c r="C107" i="24"/>
  <c r="C106" i="24"/>
  <c r="C105" i="24"/>
  <c r="C104" i="24"/>
  <c r="C103" i="24"/>
  <c r="C102" i="24"/>
  <c r="C101" i="24"/>
  <c r="C100" i="24"/>
  <c r="C99" i="24"/>
  <c r="C98" i="24"/>
  <c r="C97" i="24"/>
  <c r="C96" i="24"/>
  <c r="C95" i="24"/>
  <c r="C94" i="24"/>
  <c r="C93" i="24"/>
  <c r="C92" i="24"/>
  <c r="C91" i="24"/>
  <c r="C90" i="24"/>
  <c r="C89" i="24"/>
  <c r="C88" i="24"/>
  <c r="C87" i="24"/>
  <c r="C86" i="24"/>
  <c r="C85" i="24"/>
  <c r="C84" i="24"/>
  <c r="C83" i="24"/>
  <c r="C82" i="24"/>
  <c r="C81" i="24"/>
  <c r="C80" i="24"/>
  <c r="C79" i="24"/>
  <c r="C78" i="24"/>
  <c r="C77" i="24"/>
  <c r="C76" i="24"/>
  <c r="C75" i="24"/>
  <c r="C74" i="24"/>
  <c r="C73" i="24"/>
  <c r="C72" i="24"/>
  <c r="C71" i="24"/>
  <c r="C70" i="24"/>
  <c r="C69" i="24"/>
  <c r="C68" i="24"/>
  <c r="C67" i="24"/>
  <c r="C66" i="24"/>
  <c r="C65" i="24"/>
  <c r="C64" i="24"/>
  <c r="C63" i="24"/>
  <c r="C62" i="24"/>
  <c r="C61" i="24"/>
  <c r="C60" i="24"/>
  <c r="C59" i="24"/>
  <c r="C58" i="24"/>
  <c r="C57" i="24"/>
  <c r="C56" i="24"/>
  <c r="C55" i="24"/>
  <c r="C54" i="24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B182" i="24"/>
  <c r="B181" i="24"/>
  <c r="B180" i="24"/>
  <c r="B179" i="24"/>
  <c r="B178" i="24"/>
  <c r="B177" i="24"/>
  <c r="B176" i="24"/>
  <c r="B175" i="24"/>
  <c r="B174" i="24"/>
  <c r="B173" i="24"/>
  <c r="B172" i="24"/>
  <c r="B171" i="24"/>
  <c r="B170" i="24"/>
  <c r="B169" i="24"/>
  <c r="B168" i="24"/>
  <c r="B167" i="24"/>
  <c r="B166" i="24"/>
  <c r="B165" i="24"/>
  <c r="B164" i="24"/>
  <c r="B163" i="24"/>
  <c r="B162" i="24"/>
  <c r="B161" i="24"/>
  <c r="B160" i="24"/>
  <c r="B159" i="24"/>
  <c r="B158" i="24"/>
  <c r="B157" i="24"/>
  <c r="B156" i="24"/>
  <c r="B155" i="24"/>
  <c r="B154" i="24"/>
  <c r="B153" i="24"/>
  <c r="B152" i="24"/>
  <c r="B151" i="24"/>
  <c r="B150" i="24"/>
  <c r="B149" i="24"/>
  <c r="B148" i="24"/>
  <c r="B147" i="24"/>
  <c r="B146" i="24"/>
  <c r="B145" i="24"/>
  <c r="B144" i="24"/>
  <c r="B143" i="24"/>
  <c r="B142" i="24"/>
  <c r="B141" i="24"/>
  <c r="B140" i="24"/>
  <c r="B139" i="24"/>
  <c r="B138" i="24"/>
  <c r="B137" i="24"/>
  <c r="B136" i="24"/>
  <c r="B135" i="24"/>
  <c r="B134" i="24"/>
  <c r="B133" i="24"/>
  <c r="B132" i="24"/>
  <c r="B131" i="24"/>
  <c r="B130" i="24"/>
  <c r="B129" i="24"/>
  <c r="B128" i="24"/>
  <c r="B127" i="24"/>
  <c r="B126" i="24"/>
  <c r="B125" i="24"/>
  <c r="B124" i="24"/>
  <c r="B123" i="24"/>
  <c r="B122" i="24"/>
  <c r="B121" i="24"/>
  <c r="B120" i="24"/>
  <c r="B119" i="24"/>
  <c r="B118" i="24"/>
  <c r="B117" i="24"/>
  <c r="B116" i="24"/>
  <c r="B115" i="24"/>
  <c r="B114" i="24"/>
  <c r="B113" i="24"/>
  <c r="B112" i="24"/>
  <c r="B111" i="24"/>
  <c r="B110" i="24"/>
  <c r="B109" i="24"/>
  <c r="B108" i="24"/>
  <c r="B107" i="24"/>
  <c r="B106" i="24"/>
  <c r="B105" i="24"/>
  <c r="B104" i="24"/>
  <c r="B103" i="24"/>
  <c r="B102" i="24"/>
  <c r="B101" i="24"/>
  <c r="B100" i="24"/>
  <c r="B99" i="24"/>
  <c r="B98" i="24"/>
  <c r="B97" i="24"/>
  <c r="B96" i="24"/>
  <c r="B95" i="24"/>
  <c r="B94" i="24"/>
  <c r="B93" i="24"/>
  <c r="B92" i="24"/>
  <c r="B91" i="24"/>
  <c r="B90" i="24"/>
  <c r="B89" i="24"/>
  <c r="B88" i="24"/>
  <c r="B87" i="24"/>
  <c r="B86" i="24"/>
  <c r="B85" i="24"/>
  <c r="B84" i="24"/>
  <c r="B83" i="24"/>
  <c r="B82" i="24"/>
  <c r="B81" i="24"/>
  <c r="B80" i="24"/>
  <c r="B79" i="24"/>
  <c r="B78" i="24"/>
  <c r="B77" i="24"/>
  <c r="B76" i="24"/>
  <c r="B75" i="24"/>
  <c r="B74" i="24"/>
  <c r="B73" i="24"/>
  <c r="B72" i="24"/>
  <c r="B71" i="24"/>
  <c r="B70" i="24"/>
  <c r="B69" i="24"/>
  <c r="B68" i="24"/>
  <c r="B67" i="24"/>
  <c r="B66" i="24"/>
  <c r="B65" i="24"/>
  <c r="B64" i="24"/>
  <c r="B63" i="24"/>
  <c r="B62" i="24"/>
  <c r="B61" i="24"/>
  <c r="B60" i="24"/>
  <c r="B59" i="24"/>
  <c r="B58" i="24"/>
  <c r="B57" i="24"/>
  <c r="B56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B5" i="24"/>
  <c r="B4" i="24"/>
  <c r="C3" i="24"/>
  <c r="B3" i="24"/>
  <c r="A182" i="24"/>
  <c r="A181" i="24"/>
  <c r="A180" i="24"/>
  <c r="A179" i="24"/>
  <c r="A178" i="24"/>
  <c r="A177" i="24"/>
  <c r="A176" i="24"/>
  <c r="A175" i="24"/>
  <c r="A174" i="24"/>
  <c r="A173" i="24"/>
  <c r="A172" i="24"/>
  <c r="A171" i="24"/>
  <c r="A170" i="24"/>
  <c r="A169" i="24"/>
  <c r="A168" i="24"/>
  <c r="A167" i="24"/>
  <c r="A166" i="24"/>
  <c r="A165" i="24"/>
  <c r="A164" i="24"/>
  <c r="A163" i="24"/>
  <c r="A162" i="24"/>
  <c r="A161" i="24"/>
  <c r="A160" i="24"/>
  <c r="A159" i="24"/>
  <c r="A158" i="24"/>
  <c r="A157" i="24"/>
  <c r="A156" i="24"/>
  <c r="A155" i="24"/>
  <c r="A154" i="24"/>
  <c r="A153" i="24"/>
  <c r="A152" i="24"/>
  <c r="A151" i="24"/>
  <c r="A150" i="24"/>
  <c r="A149" i="24"/>
  <c r="A148" i="24"/>
  <c r="A147" i="24"/>
  <c r="A146" i="24"/>
  <c r="A145" i="24"/>
  <c r="A144" i="24"/>
  <c r="A143" i="24"/>
  <c r="A142" i="24"/>
  <c r="A141" i="24"/>
  <c r="A140" i="24"/>
  <c r="A139" i="24"/>
  <c r="A138" i="24"/>
  <c r="A137" i="24"/>
  <c r="A136" i="24"/>
  <c r="A135" i="24"/>
  <c r="A134" i="24"/>
  <c r="A133" i="24"/>
  <c r="A132" i="24"/>
  <c r="A131" i="24"/>
  <c r="A130" i="24"/>
  <c r="A129" i="24"/>
  <c r="A128" i="24"/>
  <c r="A127" i="24"/>
  <c r="A126" i="24"/>
  <c r="A125" i="24"/>
  <c r="A124" i="24"/>
  <c r="A123" i="24"/>
  <c r="A122" i="24"/>
  <c r="A121" i="24"/>
  <c r="A120" i="24"/>
  <c r="A119" i="24"/>
  <c r="A118" i="24"/>
  <c r="A117" i="24"/>
  <c r="A116" i="24"/>
  <c r="A115" i="24"/>
  <c r="A114" i="24"/>
  <c r="A113" i="24"/>
  <c r="A112" i="24"/>
  <c r="A111" i="24"/>
  <c r="A110" i="24"/>
  <c r="A109" i="24"/>
  <c r="A108" i="24"/>
  <c r="A107" i="24"/>
  <c r="A106" i="24"/>
  <c r="A105" i="24"/>
  <c r="A104" i="24"/>
  <c r="A103" i="24"/>
  <c r="A102" i="24"/>
  <c r="A101" i="24"/>
  <c r="A100" i="24"/>
  <c r="A99" i="24"/>
  <c r="A98" i="24"/>
  <c r="A97" i="24"/>
  <c r="A96" i="24"/>
  <c r="A95" i="24"/>
  <c r="A94" i="24"/>
  <c r="A93" i="24"/>
  <c r="A92" i="24"/>
  <c r="A91" i="24"/>
  <c r="A90" i="24"/>
  <c r="A89" i="24"/>
  <c r="A88" i="24"/>
  <c r="A87" i="24"/>
  <c r="A86" i="24"/>
  <c r="A85" i="24"/>
  <c r="A84" i="24"/>
  <c r="A83" i="24"/>
  <c r="A82" i="24"/>
  <c r="A81" i="24"/>
  <c r="A80" i="24"/>
  <c r="A79" i="24"/>
  <c r="A78" i="24"/>
  <c r="A77" i="24"/>
  <c r="A76" i="24"/>
  <c r="A75" i="24"/>
  <c r="A74" i="24"/>
  <c r="A73" i="24"/>
  <c r="A72" i="24"/>
  <c r="A71" i="24"/>
  <c r="A70" i="24"/>
  <c r="A69" i="24"/>
  <c r="A68" i="24"/>
  <c r="A67" i="24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F182" i="24"/>
  <c r="F181" i="24"/>
  <c r="F180" i="24"/>
  <c r="F179" i="24"/>
  <c r="F178" i="24"/>
  <c r="F177" i="24"/>
  <c r="F176" i="24"/>
  <c r="F175" i="24"/>
  <c r="F174" i="24"/>
  <c r="F173" i="24"/>
  <c r="F172" i="24"/>
  <c r="F171" i="24"/>
  <c r="F170" i="24"/>
  <c r="F169" i="24"/>
  <c r="F168" i="24"/>
  <c r="F167" i="24"/>
  <c r="F166" i="24"/>
  <c r="F165" i="24"/>
  <c r="F164" i="24"/>
  <c r="F163" i="24"/>
  <c r="F162" i="24"/>
  <c r="F161" i="24"/>
  <c r="F160" i="24"/>
  <c r="F159" i="24"/>
  <c r="F158" i="24"/>
  <c r="F157" i="24"/>
  <c r="F156" i="24"/>
  <c r="F155" i="24"/>
  <c r="F154" i="24"/>
  <c r="F153" i="24"/>
  <c r="F152" i="24"/>
  <c r="F151" i="24"/>
  <c r="F150" i="24"/>
  <c r="F149" i="24"/>
  <c r="F148" i="24"/>
  <c r="F147" i="24"/>
  <c r="F146" i="24"/>
  <c r="F145" i="24"/>
  <c r="F144" i="24"/>
  <c r="F143" i="24"/>
  <c r="F142" i="24"/>
  <c r="F141" i="24"/>
  <c r="F140" i="24"/>
  <c r="F139" i="24"/>
  <c r="F138" i="24"/>
  <c r="F137" i="24"/>
  <c r="F136" i="24"/>
  <c r="F135" i="24"/>
  <c r="F134" i="24"/>
  <c r="F133" i="24"/>
  <c r="F132" i="24"/>
  <c r="F131" i="24"/>
  <c r="F130" i="24"/>
  <c r="F129" i="24"/>
  <c r="F128" i="24"/>
  <c r="F127" i="24"/>
  <c r="F126" i="24"/>
  <c r="F125" i="24"/>
  <c r="F124" i="24"/>
  <c r="F123" i="24"/>
  <c r="F122" i="24"/>
  <c r="F121" i="24"/>
  <c r="F120" i="24"/>
  <c r="F119" i="24"/>
  <c r="F118" i="24"/>
  <c r="F117" i="24"/>
  <c r="F116" i="24"/>
  <c r="F115" i="24"/>
  <c r="F114" i="24"/>
  <c r="F113" i="24"/>
  <c r="F112" i="24"/>
  <c r="F111" i="24"/>
  <c r="F110" i="24"/>
  <c r="F109" i="24"/>
  <c r="F108" i="24"/>
  <c r="F107" i="24"/>
  <c r="F106" i="24"/>
  <c r="F105" i="24"/>
  <c r="F104" i="24"/>
  <c r="F103" i="24"/>
  <c r="F102" i="24"/>
  <c r="F101" i="24"/>
  <c r="F100" i="24"/>
  <c r="F99" i="24"/>
  <c r="F98" i="24"/>
  <c r="F97" i="24"/>
  <c r="F96" i="24"/>
  <c r="F95" i="24"/>
  <c r="F94" i="24"/>
  <c r="F93" i="24"/>
  <c r="F92" i="24"/>
  <c r="F91" i="24"/>
  <c r="F90" i="24"/>
  <c r="F89" i="24"/>
  <c r="F88" i="24"/>
  <c r="F87" i="24"/>
  <c r="F86" i="24"/>
  <c r="F85" i="24"/>
  <c r="F84" i="24"/>
  <c r="F83" i="24"/>
  <c r="F82" i="24"/>
  <c r="F81" i="24"/>
  <c r="F80" i="24"/>
  <c r="F79" i="24"/>
  <c r="F78" i="24"/>
  <c r="F77" i="24"/>
  <c r="F76" i="24"/>
  <c r="F75" i="24"/>
  <c r="F74" i="24"/>
  <c r="F73" i="24"/>
  <c r="F72" i="24"/>
  <c r="F71" i="24"/>
  <c r="F70" i="24"/>
  <c r="F69" i="24"/>
  <c r="F68" i="24"/>
  <c r="F67" i="24"/>
  <c r="F66" i="24"/>
  <c r="F65" i="24"/>
  <c r="F64" i="24"/>
  <c r="F63" i="24"/>
  <c r="F62" i="24"/>
  <c r="F61" i="24"/>
  <c r="F60" i="24"/>
  <c r="F59" i="24"/>
  <c r="F58" i="24"/>
  <c r="F57" i="24"/>
  <c r="F56" i="24"/>
  <c r="F55" i="24"/>
  <c r="F54" i="24"/>
  <c r="F53" i="24"/>
  <c r="F52" i="24"/>
  <c r="F51" i="24"/>
  <c r="F50" i="24"/>
  <c r="F49" i="24"/>
  <c r="F48" i="24"/>
  <c r="F47" i="24"/>
  <c r="F46" i="24"/>
  <c r="F45" i="24"/>
  <c r="F44" i="24"/>
  <c r="F43" i="24"/>
  <c r="F42" i="24"/>
  <c r="F41" i="24"/>
  <c r="F40" i="24"/>
  <c r="F39" i="24"/>
  <c r="F38" i="24"/>
  <c r="F37" i="24"/>
  <c r="F36" i="24"/>
  <c r="F35" i="24"/>
  <c r="F34" i="24"/>
  <c r="F33" i="24"/>
  <c r="F32" i="24"/>
  <c r="F31" i="24"/>
  <c r="F30" i="24"/>
  <c r="F29" i="24"/>
  <c r="F28" i="24"/>
  <c r="F27" i="24"/>
  <c r="F26" i="24"/>
  <c r="F25" i="24"/>
  <c r="F24" i="24"/>
  <c r="F23" i="24"/>
  <c r="F22" i="24"/>
  <c r="F21" i="24"/>
  <c r="F20" i="24"/>
  <c r="F19" i="24"/>
  <c r="F18" i="24"/>
  <c r="F17" i="24"/>
  <c r="F16" i="24"/>
  <c r="F15" i="24"/>
  <c r="F14" i="24"/>
  <c r="F13" i="24"/>
  <c r="F12" i="24"/>
  <c r="F11" i="24"/>
  <c r="F10" i="24"/>
  <c r="F9" i="24"/>
  <c r="F8" i="24"/>
  <c r="F7" i="24"/>
  <c r="F6" i="24"/>
  <c r="F5" i="24"/>
  <c r="F4" i="24"/>
  <c r="F3" i="24"/>
  <c r="E8" i="20"/>
  <c r="D153" i="19"/>
  <c r="D154" i="19" s="1"/>
  <c r="D155" i="19" s="1"/>
  <c r="D156" i="19" s="1"/>
  <c r="D157" i="19" s="1"/>
  <c r="D158" i="19" s="1"/>
  <c r="D159" i="19" s="1"/>
  <c r="D160" i="19" s="1"/>
  <c r="D161" i="19" s="1"/>
  <c r="D162" i="19" s="1"/>
  <c r="D163" i="19" s="1"/>
  <c r="A219" i="25" l="1"/>
  <c r="A220" i="25" s="1"/>
  <c r="A221" i="25" s="1"/>
  <c r="W46" i="20"/>
  <c r="V46" i="20"/>
  <c r="T46" i="20"/>
  <c r="S46" i="20"/>
  <c r="W45" i="20"/>
  <c r="V45" i="20"/>
  <c r="T45" i="20"/>
  <c r="S45" i="20"/>
  <c r="W44" i="20"/>
  <c r="V44" i="20"/>
  <c r="T44" i="20"/>
  <c r="S44" i="20"/>
  <c r="W43" i="20"/>
  <c r="V43" i="20"/>
  <c r="T43" i="20"/>
  <c r="S43" i="20"/>
  <c r="W42" i="20"/>
  <c r="V42" i="20"/>
  <c r="T42" i="20"/>
  <c r="S42" i="20"/>
  <c r="W41" i="20"/>
  <c r="V41" i="20"/>
  <c r="T41" i="20"/>
  <c r="S41" i="20"/>
  <c r="W40" i="20"/>
  <c r="V40" i="20"/>
  <c r="T40" i="20"/>
  <c r="S40" i="20"/>
  <c r="W39" i="20"/>
  <c r="V39" i="20"/>
  <c r="T39" i="20"/>
  <c r="S39" i="20"/>
  <c r="W38" i="20"/>
  <c r="V38" i="20"/>
  <c r="T38" i="20"/>
  <c r="S38" i="20"/>
  <c r="W37" i="20"/>
  <c r="V37" i="20"/>
  <c r="T37" i="20"/>
  <c r="S37" i="20"/>
  <c r="W36" i="20"/>
  <c r="V36" i="20"/>
  <c r="T36" i="20"/>
  <c r="S36" i="20"/>
  <c r="W35" i="20"/>
  <c r="V35" i="20"/>
  <c r="T35" i="20"/>
  <c r="S35" i="20"/>
  <c r="W34" i="20"/>
  <c r="V34" i="20"/>
  <c r="T34" i="20"/>
  <c r="S34" i="20"/>
  <c r="W33" i="20"/>
  <c r="V33" i="20"/>
  <c r="T33" i="20"/>
  <c r="S33" i="20"/>
  <c r="W32" i="20"/>
  <c r="V32" i="20"/>
  <c r="T32" i="20"/>
  <c r="S32" i="20"/>
  <c r="W31" i="20"/>
  <c r="V31" i="20"/>
  <c r="T31" i="20"/>
  <c r="S31" i="20"/>
  <c r="W30" i="20"/>
  <c r="V30" i="20"/>
  <c r="T30" i="20"/>
  <c r="S30" i="20"/>
  <c r="W29" i="20"/>
  <c r="V29" i="20"/>
  <c r="T29" i="20"/>
  <c r="S29" i="20"/>
  <c r="W28" i="20"/>
  <c r="V28" i="20"/>
  <c r="T28" i="20"/>
  <c r="S28" i="20"/>
  <c r="W27" i="20"/>
  <c r="V27" i="20"/>
  <c r="U27" i="20"/>
  <c r="T27" i="20"/>
  <c r="S27" i="20"/>
  <c r="W26" i="20"/>
  <c r="V26" i="20"/>
  <c r="U26" i="20"/>
  <c r="T26" i="20"/>
  <c r="S26" i="20"/>
  <c r="W25" i="20"/>
  <c r="V25" i="20"/>
  <c r="U25" i="20"/>
  <c r="T25" i="20"/>
  <c r="S25" i="20"/>
  <c r="W24" i="20"/>
  <c r="V24" i="20"/>
  <c r="U24" i="20"/>
  <c r="T24" i="20"/>
  <c r="S24" i="20"/>
  <c r="W23" i="20"/>
  <c r="V23" i="20"/>
  <c r="U23" i="20"/>
  <c r="T23" i="20"/>
  <c r="S23" i="20"/>
  <c r="W22" i="20"/>
  <c r="V22" i="20"/>
  <c r="U22" i="20"/>
  <c r="T22" i="20"/>
  <c r="S22" i="20"/>
  <c r="W21" i="20"/>
  <c r="V21" i="20"/>
  <c r="U21" i="20"/>
  <c r="T21" i="20"/>
  <c r="S21" i="20"/>
  <c r="W20" i="20"/>
  <c r="V20" i="20"/>
  <c r="U20" i="20"/>
  <c r="T20" i="20"/>
  <c r="S20" i="20"/>
  <c r="W19" i="20"/>
  <c r="V19" i="20"/>
  <c r="U19" i="20"/>
  <c r="T19" i="20"/>
  <c r="S19" i="20"/>
  <c r="W18" i="20"/>
  <c r="V18" i="20"/>
  <c r="U18" i="20"/>
  <c r="T18" i="20"/>
  <c r="S18" i="20"/>
  <c r="W17" i="20"/>
  <c r="V17" i="20"/>
  <c r="U17" i="20"/>
  <c r="T17" i="20"/>
  <c r="S17" i="20"/>
  <c r="W16" i="20"/>
  <c r="V16" i="20"/>
  <c r="U16" i="20"/>
  <c r="T16" i="20"/>
  <c r="S16" i="20"/>
  <c r="W15" i="20"/>
  <c r="V15" i="20"/>
  <c r="U15" i="20"/>
  <c r="T15" i="20"/>
  <c r="S15" i="20"/>
  <c r="W14" i="20"/>
  <c r="V14" i="20"/>
  <c r="U14" i="20"/>
  <c r="T14" i="20"/>
  <c r="S14" i="20"/>
  <c r="W13" i="20"/>
  <c r="V13" i="20"/>
  <c r="U13" i="20"/>
  <c r="T13" i="20"/>
  <c r="S13" i="20"/>
  <c r="W12" i="20"/>
  <c r="V12" i="20"/>
  <c r="U12" i="20"/>
  <c r="T12" i="20"/>
  <c r="S12" i="20"/>
  <c r="W11" i="20"/>
  <c r="V11" i="20"/>
  <c r="U11" i="20"/>
  <c r="T11" i="20"/>
  <c r="S11" i="20"/>
  <c r="W10" i="20"/>
  <c r="V10" i="20"/>
  <c r="U10" i="20"/>
  <c r="T10" i="20"/>
  <c r="S10" i="20"/>
  <c r="W9" i="20"/>
  <c r="V9" i="20"/>
  <c r="U9" i="20"/>
  <c r="T9" i="20"/>
  <c r="S9" i="20"/>
  <c r="W8" i="20"/>
  <c r="V8" i="20"/>
  <c r="U8" i="20"/>
  <c r="T8" i="20"/>
  <c r="S8" i="20"/>
  <c r="W7" i="20"/>
  <c r="V7" i="20"/>
  <c r="U7" i="20"/>
  <c r="T7" i="20"/>
  <c r="S7" i="20"/>
  <c r="W6" i="20"/>
  <c r="V6" i="20"/>
  <c r="U6" i="20"/>
  <c r="T6" i="20"/>
  <c r="S6" i="20"/>
  <c r="W5" i="20"/>
  <c r="V5" i="20"/>
  <c r="U5" i="20"/>
  <c r="T5" i="20"/>
  <c r="S5" i="20"/>
  <c r="W4" i="20"/>
  <c r="V4" i="20"/>
  <c r="U4" i="20"/>
  <c r="T4" i="20"/>
  <c r="S4" i="20"/>
  <c r="W3" i="20"/>
  <c r="V3" i="20"/>
  <c r="U3" i="20"/>
  <c r="T3" i="20"/>
  <c r="S3" i="20"/>
  <c r="W2" i="20"/>
  <c r="V2" i="20"/>
  <c r="U2" i="20"/>
  <c r="T2" i="20"/>
  <c r="S2" i="20"/>
  <c r="Q46" i="20"/>
  <c r="P46" i="20"/>
  <c r="O46" i="20"/>
  <c r="N46" i="20"/>
  <c r="M46" i="20"/>
  <c r="Q45" i="20"/>
  <c r="P45" i="20"/>
  <c r="O45" i="20"/>
  <c r="N45" i="20"/>
  <c r="M45" i="20"/>
  <c r="Q44" i="20"/>
  <c r="P44" i="20"/>
  <c r="O44" i="20"/>
  <c r="N44" i="20"/>
  <c r="M44" i="20"/>
  <c r="Q43" i="20"/>
  <c r="P43" i="20"/>
  <c r="O43" i="20"/>
  <c r="N43" i="20"/>
  <c r="M43" i="20"/>
  <c r="Q42" i="20"/>
  <c r="P42" i="20"/>
  <c r="O42" i="20"/>
  <c r="N42" i="20"/>
  <c r="M42" i="20"/>
  <c r="Q41" i="20"/>
  <c r="P41" i="20"/>
  <c r="O41" i="20"/>
  <c r="N41" i="20"/>
  <c r="M41" i="20"/>
  <c r="Q40" i="20"/>
  <c r="P40" i="20"/>
  <c r="O40" i="20"/>
  <c r="N40" i="20"/>
  <c r="M40" i="20"/>
  <c r="Q39" i="20"/>
  <c r="P39" i="20"/>
  <c r="O39" i="20"/>
  <c r="N39" i="20"/>
  <c r="M39" i="20"/>
  <c r="Q38" i="20"/>
  <c r="P38" i="20"/>
  <c r="O38" i="20"/>
  <c r="N38" i="20"/>
  <c r="M38" i="20"/>
  <c r="Q37" i="20"/>
  <c r="P37" i="20"/>
  <c r="O37" i="20"/>
  <c r="N37" i="20"/>
  <c r="M37" i="20"/>
  <c r="Q36" i="20"/>
  <c r="P36" i="20"/>
  <c r="O36" i="20"/>
  <c r="N36" i="20"/>
  <c r="M36" i="20"/>
  <c r="Q35" i="20"/>
  <c r="P35" i="20"/>
  <c r="O35" i="20"/>
  <c r="N35" i="20"/>
  <c r="M35" i="20"/>
  <c r="Q34" i="20"/>
  <c r="P34" i="20"/>
  <c r="O34" i="20"/>
  <c r="N34" i="20"/>
  <c r="M34" i="20"/>
  <c r="Q33" i="20"/>
  <c r="P33" i="20"/>
  <c r="O33" i="20"/>
  <c r="N33" i="20"/>
  <c r="M33" i="20"/>
  <c r="Q32" i="20"/>
  <c r="P32" i="20"/>
  <c r="O32" i="20"/>
  <c r="N32" i="20"/>
  <c r="M32" i="20"/>
  <c r="Q31" i="20"/>
  <c r="P31" i="20"/>
  <c r="O31" i="20"/>
  <c r="N31" i="20"/>
  <c r="M31" i="20"/>
  <c r="Q30" i="20"/>
  <c r="P30" i="20"/>
  <c r="O30" i="20"/>
  <c r="N30" i="20"/>
  <c r="M30" i="20"/>
  <c r="Q29" i="20"/>
  <c r="P29" i="20"/>
  <c r="O29" i="20"/>
  <c r="N29" i="20"/>
  <c r="M29" i="20"/>
  <c r="Q28" i="20"/>
  <c r="P28" i="20"/>
  <c r="O28" i="20"/>
  <c r="N28" i="20"/>
  <c r="M28" i="20"/>
  <c r="Q27" i="20"/>
  <c r="P27" i="20"/>
  <c r="O27" i="20"/>
  <c r="N27" i="20"/>
  <c r="M27" i="20"/>
  <c r="Q26" i="20"/>
  <c r="P26" i="20"/>
  <c r="O26" i="20"/>
  <c r="N26" i="20"/>
  <c r="M26" i="20"/>
  <c r="Q25" i="20"/>
  <c r="P25" i="20"/>
  <c r="O25" i="20"/>
  <c r="N25" i="20"/>
  <c r="M25" i="20"/>
  <c r="Q24" i="20"/>
  <c r="P24" i="20"/>
  <c r="O24" i="20"/>
  <c r="N24" i="20"/>
  <c r="M24" i="20"/>
  <c r="Q23" i="20"/>
  <c r="P23" i="20"/>
  <c r="O23" i="20"/>
  <c r="N23" i="20"/>
  <c r="M23" i="20"/>
  <c r="Q22" i="20"/>
  <c r="P22" i="20"/>
  <c r="O22" i="20"/>
  <c r="N22" i="20"/>
  <c r="M22" i="20"/>
  <c r="Q21" i="20"/>
  <c r="P21" i="20"/>
  <c r="O21" i="20"/>
  <c r="N21" i="20"/>
  <c r="M21" i="20"/>
  <c r="Q20" i="20"/>
  <c r="P20" i="20"/>
  <c r="O20" i="20"/>
  <c r="N20" i="20"/>
  <c r="M20" i="20"/>
  <c r="Q19" i="20"/>
  <c r="P19" i="20"/>
  <c r="O19" i="20"/>
  <c r="N19" i="20"/>
  <c r="M19" i="20"/>
  <c r="Q18" i="20"/>
  <c r="P18" i="20"/>
  <c r="O18" i="20"/>
  <c r="N18" i="20"/>
  <c r="M18" i="20"/>
  <c r="Q17" i="20"/>
  <c r="P17" i="20"/>
  <c r="O17" i="20"/>
  <c r="N17" i="20"/>
  <c r="M17" i="20"/>
  <c r="Q16" i="20"/>
  <c r="P16" i="20"/>
  <c r="O16" i="20"/>
  <c r="N16" i="20"/>
  <c r="M16" i="20"/>
  <c r="Q15" i="20"/>
  <c r="P15" i="20"/>
  <c r="O15" i="20"/>
  <c r="N15" i="20"/>
  <c r="M15" i="20"/>
  <c r="Q14" i="20"/>
  <c r="P14" i="20"/>
  <c r="O14" i="20"/>
  <c r="N14" i="20"/>
  <c r="M14" i="20"/>
  <c r="Q13" i="20"/>
  <c r="P13" i="20"/>
  <c r="O13" i="20"/>
  <c r="N13" i="20"/>
  <c r="M13" i="20"/>
  <c r="Q12" i="20"/>
  <c r="P12" i="20"/>
  <c r="O12" i="20"/>
  <c r="N12" i="20"/>
  <c r="M12" i="20"/>
  <c r="Q11" i="20"/>
  <c r="P11" i="20"/>
  <c r="O11" i="20"/>
  <c r="N11" i="20"/>
  <c r="M11" i="20"/>
  <c r="Q10" i="20"/>
  <c r="P10" i="20"/>
  <c r="O10" i="20"/>
  <c r="N10" i="20"/>
  <c r="M10" i="20"/>
  <c r="Q9" i="20"/>
  <c r="P9" i="20"/>
  <c r="O9" i="20"/>
  <c r="N9" i="20"/>
  <c r="M9" i="20"/>
  <c r="Q8" i="20"/>
  <c r="P8" i="20"/>
  <c r="O8" i="20"/>
  <c r="N8" i="20"/>
  <c r="M8" i="20"/>
  <c r="Q7" i="20"/>
  <c r="P7" i="20"/>
  <c r="O7" i="20"/>
  <c r="N7" i="20"/>
  <c r="M7" i="20"/>
  <c r="Q6" i="20"/>
  <c r="P6" i="20"/>
  <c r="O6" i="20"/>
  <c r="N6" i="20"/>
  <c r="M6" i="20"/>
  <c r="Q5" i="20"/>
  <c r="P5" i="20"/>
  <c r="O5" i="20"/>
  <c r="N5" i="20"/>
  <c r="M5" i="20"/>
  <c r="Q4" i="20"/>
  <c r="P4" i="20"/>
  <c r="O4" i="20"/>
  <c r="N4" i="20"/>
  <c r="M4" i="20"/>
  <c r="Q3" i="20"/>
  <c r="P3" i="20"/>
  <c r="O3" i="20"/>
  <c r="N3" i="20"/>
  <c r="M3" i="20"/>
  <c r="Q2" i="20"/>
  <c r="P2" i="20"/>
  <c r="O2" i="20"/>
  <c r="N2" i="20"/>
  <c r="M2" i="20"/>
  <c r="K46" i="20"/>
  <c r="J46" i="20"/>
  <c r="I46" i="20"/>
  <c r="H46" i="20"/>
  <c r="G46" i="20"/>
  <c r="K45" i="20"/>
  <c r="J45" i="20"/>
  <c r="I45" i="20"/>
  <c r="H45" i="20"/>
  <c r="G45" i="20"/>
  <c r="K44" i="20"/>
  <c r="J44" i="20"/>
  <c r="I44" i="20"/>
  <c r="H44" i="20"/>
  <c r="G44" i="20"/>
  <c r="K43" i="20"/>
  <c r="J43" i="20"/>
  <c r="I43" i="20"/>
  <c r="H43" i="20"/>
  <c r="G43" i="20"/>
  <c r="K42" i="20"/>
  <c r="J42" i="20"/>
  <c r="I42" i="20"/>
  <c r="H42" i="20"/>
  <c r="G42" i="20"/>
  <c r="K41" i="20"/>
  <c r="J41" i="20"/>
  <c r="I41" i="20"/>
  <c r="H41" i="20"/>
  <c r="G41" i="20"/>
  <c r="K40" i="20"/>
  <c r="J40" i="20"/>
  <c r="I40" i="20"/>
  <c r="H40" i="20"/>
  <c r="G40" i="20"/>
  <c r="K39" i="20"/>
  <c r="J39" i="20"/>
  <c r="I39" i="20"/>
  <c r="H39" i="20"/>
  <c r="G39" i="20"/>
  <c r="K38" i="20"/>
  <c r="J38" i="20"/>
  <c r="I38" i="20"/>
  <c r="H38" i="20"/>
  <c r="G38" i="20"/>
  <c r="K37" i="20"/>
  <c r="J37" i="20"/>
  <c r="I37" i="20"/>
  <c r="H37" i="20"/>
  <c r="G37" i="20"/>
  <c r="K36" i="20"/>
  <c r="J36" i="20"/>
  <c r="I36" i="20"/>
  <c r="H36" i="20"/>
  <c r="G36" i="20"/>
  <c r="K35" i="20"/>
  <c r="J35" i="20"/>
  <c r="I35" i="20"/>
  <c r="H35" i="20"/>
  <c r="G35" i="20"/>
  <c r="K34" i="20"/>
  <c r="J34" i="20"/>
  <c r="I34" i="20"/>
  <c r="H34" i="20"/>
  <c r="G34" i="20"/>
  <c r="K33" i="20"/>
  <c r="J33" i="20"/>
  <c r="I33" i="20"/>
  <c r="H33" i="20"/>
  <c r="G33" i="20"/>
  <c r="K32" i="20"/>
  <c r="J32" i="20"/>
  <c r="I32" i="20"/>
  <c r="H32" i="20"/>
  <c r="G32" i="20"/>
  <c r="K31" i="20"/>
  <c r="J31" i="20"/>
  <c r="I31" i="20"/>
  <c r="H31" i="20"/>
  <c r="G31" i="20"/>
  <c r="K30" i="20"/>
  <c r="J30" i="20"/>
  <c r="I30" i="20"/>
  <c r="H30" i="20"/>
  <c r="G30" i="20"/>
  <c r="K29" i="20"/>
  <c r="J29" i="20"/>
  <c r="I29" i="20"/>
  <c r="H29" i="20"/>
  <c r="G29" i="20"/>
  <c r="K28" i="20"/>
  <c r="J28" i="20"/>
  <c r="I28" i="20"/>
  <c r="H28" i="20"/>
  <c r="G28" i="20"/>
  <c r="K27" i="20"/>
  <c r="J27" i="20"/>
  <c r="I27" i="20"/>
  <c r="H27" i="20"/>
  <c r="G27" i="20"/>
  <c r="K26" i="20"/>
  <c r="J26" i="20"/>
  <c r="I26" i="20"/>
  <c r="H26" i="20"/>
  <c r="G26" i="20"/>
  <c r="K25" i="20"/>
  <c r="J25" i="20"/>
  <c r="I25" i="20"/>
  <c r="H25" i="20"/>
  <c r="G25" i="20"/>
  <c r="K24" i="20"/>
  <c r="J24" i="20"/>
  <c r="I24" i="20"/>
  <c r="H24" i="20"/>
  <c r="G24" i="20"/>
  <c r="K23" i="20"/>
  <c r="J23" i="20"/>
  <c r="I23" i="20"/>
  <c r="H23" i="20"/>
  <c r="G23" i="20"/>
  <c r="K22" i="20"/>
  <c r="J22" i="20"/>
  <c r="I22" i="20"/>
  <c r="H22" i="20"/>
  <c r="G22" i="20"/>
  <c r="K21" i="20"/>
  <c r="J21" i="20"/>
  <c r="I21" i="20"/>
  <c r="H21" i="20"/>
  <c r="G21" i="20"/>
  <c r="K20" i="20"/>
  <c r="J20" i="20"/>
  <c r="I20" i="20"/>
  <c r="H20" i="20"/>
  <c r="G20" i="20"/>
  <c r="K19" i="20"/>
  <c r="J19" i="20"/>
  <c r="I19" i="20"/>
  <c r="H19" i="20"/>
  <c r="G19" i="20"/>
  <c r="K18" i="20"/>
  <c r="J18" i="20"/>
  <c r="I18" i="20"/>
  <c r="H18" i="20"/>
  <c r="G18" i="20"/>
  <c r="K17" i="20"/>
  <c r="J17" i="20"/>
  <c r="I17" i="20"/>
  <c r="H17" i="20"/>
  <c r="G17" i="20"/>
  <c r="K16" i="20"/>
  <c r="J16" i="20"/>
  <c r="I16" i="20"/>
  <c r="H16" i="20"/>
  <c r="G16" i="20"/>
  <c r="K15" i="20"/>
  <c r="J15" i="20"/>
  <c r="I15" i="20"/>
  <c r="H15" i="20"/>
  <c r="G15" i="20"/>
  <c r="K14" i="20"/>
  <c r="J14" i="20"/>
  <c r="I14" i="20"/>
  <c r="H14" i="20"/>
  <c r="G14" i="20"/>
  <c r="K13" i="20"/>
  <c r="J13" i="20"/>
  <c r="I13" i="20"/>
  <c r="H13" i="20"/>
  <c r="G13" i="20"/>
  <c r="K12" i="20"/>
  <c r="J12" i="20"/>
  <c r="I12" i="20"/>
  <c r="H12" i="20"/>
  <c r="G12" i="20"/>
  <c r="K11" i="20"/>
  <c r="J11" i="20"/>
  <c r="I11" i="20"/>
  <c r="H11" i="20"/>
  <c r="G11" i="20"/>
  <c r="K10" i="20"/>
  <c r="J10" i="20"/>
  <c r="I10" i="20"/>
  <c r="H10" i="20"/>
  <c r="G10" i="20"/>
  <c r="K9" i="20"/>
  <c r="J9" i="20"/>
  <c r="I9" i="20"/>
  <c r="H9" i="20"/>
  <c r="G9" i="20"/>
  <c r="K8" i="20"/>
  <c r="J8" i="20"/>
  <c r="I8" i="20"/>
  <c r="H8" i="20"/>
  <c r="G8" i="20"/>
  <c r="K7" i="20"/>
  <c r="J7" i="20"/>
  <c r="I7" i="20"/>
  <c r="H7" i="20"/>
  <c r="G7" i="20"/>
  <c r="K6" i="20"/>
  <c r="J6" i="20"/>
  <c r="I6" i="20"/>
  <c r="H6" i="20"/>
  <c r="G6" i="20"/>
  <c r="K5" i="20"/>
  <c r="J5" i="20"/>
  <c r="I5" i="20"/>
  <c r="H5" i="20"/>
  <c r="G5" i="20"/>
  <c r="K4" i="20"/>
  <c r="J4" i="20"/>
  <c r="I4" i="20"/>
  <c r="H4" i="20"/>
  <c r="G4" i="20"/>
  <c r="K3" i="20"/>
  <c r="J3" i="20"/>
  <c r="I3" i="20"/>
  <c r="H3" i="20"/>
  <c r="G3" i="20"/>
  <c r="K2" i="20"/>
  <c r="J2" i="20"/>
  <c r="I2" i="20"/>
  <c r="H2" i="20"/>
  <c r="G2" i="20"/>
  <c r="Y46" i="20"/>
  <c r="E46" i="20"/>
  <c r="D46" i="20"/>
  <c r="C46" i="20"/>
  <c r="B46" i="20"/>
  <c r="A46" i="20"/>
  <c r="A182" i="19"/>
  <c r="A181" i="19"/>
  <c r="A180" i="19"/>
  <c r="A179" i="19"/>
  <c r="A178" i="19"/>
  <c r="A177" i="19"/>
  <c r="A176" i="19"/>
  <c r="A175" i="19"/>
  <c r="A174" i="19"/>
  <c r="A173" i="19"/>
  <c r="A172" i="19"/>
  <c r="A171" i="19"/>
  <c r="A170" i="19"/>
  <c r="A169" i="19"/>
  <c r="A168" i="19"/>
  <c r="A167" i="19"/>
  <c r="A166" i="19"/>
  <c r="A165" i="19"/>
  <c r="A164" i="19"/>
  <c r="A163" i="19"/>
  <c r="A162" i="19"/>
  <c r="A161" i="19"/>
  <c r="A160" i="19"/>
  <c r="A159" i="19"/>
  <c r="A158" i="19"/>
  <c r="A157" i="19"/>
  <c r="A156" i="19"/>
  <c r="A155" i="19"/>
  <c r="A154" i="19"/>
  <c r="A153" i="19"/>
  <c r="A152" i="19"/>
  <c r="A151" i="19"/>
  <c r="A150" i="19"/>
  <c r="A149" i="19"/>
  <c r="A148" i="19"/>
  <c r="A147" i="19"/>
  <c r="A146" i="19"/>
  <c r="A145" i="19"/>
  <c r="A144" i="19"/>
  <c r="A143" i="19"/>
  <c r="A142" i="19"/>
  <c r="A141" i="19"/>
  <c r="A140" i="19"/>
  <c r="A139" i="19"/>
  <c r="A138" i="19"/>
  <c r="A137" i="19"/>
  <c r="A136" i="19"/>
  <c r="A135" i="19"/>
  <c r="A134" i="19"/>
  <c r="A133" i="19"/>
  <c r="A132" i="19"/>
  <c r="A131" i="19"/>
  <c r="A130" i="19"/>
  <c r="A129" i="19"/>
  <c r="A128" i="19"/>
  <c r="A127" i="19"/>
  <c r="A126" i="19"/>
  <c r="A125" i="19"/>
  <c r="A124" i="19"/>
  <c r="A123" i="19"/>
  <c r="A122" i="19"/>
  <c r="A121" i="19"/>
  <c r="A120" i="19"/>
  <c r="A119" i="19"/>
  <c r="A118" i="19"/>
  <c r="A117" i="19"/>
  <c r="A116" i="19"/>
  <c r="A115" i="19"/>
  <c r="A114" i="19"/>
  <c r="A113" i="19"/>
  <c r="A112" i="19"/>
  <c r="A111" i="19"/>
  <c r="A110" i="19"/>
  <c r="A109" i="19"/>
  <c r="A108" i="19"/>
  <c r="A107" i="19"/>
  <c r="A106" i="19"/>
  <c r="A105" i="19"/>
  <c r="A104" i="19"/>
  <c r="A103" i="19"/>
  <c r="A102" i="19"/>
  <c r="A101" i="19"/>
  <c r="A100" i="19"/>
  <c r="A99" i="19"/>
  <c r="A98" i="19"/>
  <c r="A97" i="19"/>
  <c r="A96" i="19"/>
  <c r="A95" i="19"/>
  <c r="A94" i="19"/>
  <c r="A93" i="19"/>
  <c r="A92" i="19"/>
  <c r="A91" i="19"/>
  <c r="A90" i="19"/>
  <c r="A89" i="19"/>
  <c r="A88" i="19"/>
  <c r="A87" i="19"/>
  <c r="A86" i="19"/>
  <c r="A85" i="19"/>
  <c r="A84" i="19"/>
  <c r="A83" i="19"/>
  <c r="A82" i="19"/>
  <c r="A81" i="19"/>
  <c r="A80" i="19"/>
  <c r="A79" i="19"/>
  <c r="A78" i="19"/>
  <c r="A77" i="19"/>
  <c r="A76" i="19"/>
  <c r="A75" i="19"/>
  <c r="A74" i="19"/>
  <c r="A73" i="19"/>
  <c r="A72" i="19"/>
  <c r="A71" i="19"/>
  <c r="A70" i="19"/>
  <c r="A69" i="19"/>
  <c r="A68" i="19"/>
  <c r="A67" i="19"/>
  <c r="A66" i="19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D139" i="19"/>
  <c r="D174" i="19"/>
  <c r="D175" i="19" s="1"/>
  <c r="D176" i="19" s="1"/>
  <c r="D177" i="19" s="1"/>
  <c r="D178" i="19" s="1"/>
  <c r="D179" i="19" s="1"/>
  <c r="D180" i="19" s="1"/>
  <c r="D181" i="19" s="1"/>
  <c r="D182" i="19" s="1"/>
  <c r="U46" i="20" s="1"/>
  <c r="D164" i="19"/>
  <c r="D165" i="19" s="1"/>
  <c r="D166" i="19" s="1"/>
  <c r="D167" i="19" s="1"/>
  <c r="D168" i="19" s="1"/>
  <c r="D169" i="19" s="1"/>
  <c r="D170" i="19" s="1"/>
  <c r="D171" i="19" s="1"/>
  <c r="D172" i="19" s="1"/>
  <c r="D173" i="19" s="1"/>
  <c r="U37" i="20" s="1"/>
  <c r="D145" i="19"/>
  <c r="D146" i="19" s="1"/>
  <c r="D147" i="19" s="1"/>
  <c r="D148" i="19" s="1"/>
  <c r="D149" i="19" s="1"/>
  <c r="D150" i="19" s="1"/>
  <c r="D151" i="19" s="1"/>
  <c r="D152" i="19" s="1"/>
  <c r="D140" i="19"/>
  <c r="D141" i="19" s="1"/>
  <c r="D142" i="19" s="1"/>
  <c r="D143" i="19" s="1"/>
  <c r="D144" i="19" s="1"/>
  <c r="D130" i="19"/>
  <c r="D131" i="19" s="1"/>
  <c r="D132" i="19" s="1"/>
  <c r="D133" i="19" s="1"/>
  <c r="D134" i="19" s="1"/>
  <c r="D135" i="19" s="1"/>
  <c r="D136" i="19" s="1"/>
  <c r="D137" i="19" s="1"/>
  <c r="D138" i="19" s="1"/>
  <c r="D124" i="19"/>
  <c r="D125" i="19" s="1"/>
  <c r="D126" i="19" s="1"/>
  <c r="D127" i="19" s="1"/>
  <c r="D128" i="19" s="1"/>
  <c r="D129" i="19" s="1"/>
  <c r="D116" i="19"/>
  <c r="D117" i="19" s="1"/>
  <c r="D118" i="19" s="1"/>
  <c r="D119" i="19" s="1"/>
  <c r="D120" i="19" s="1"/>
  <c r="D121" i="19" s="1"/>
  <c r="D122" i="19" s="1"/>
  <c r="D123" i="19" s="1"/>
  <c r="D111" i="19"/>
  <c r="D112" i="19" s="1"/>
  <c r="D113" i="19" s="1"/>
  <c r="D114" i="19" s="1"/>
  <c r="D115" i="19" s="1"/>
  <c r="D105" i="19"/>
  <c r="D106" i="19" s="1"/>
  <c r="D107" i="19" s="1"/>
  <c r="D108" i="19" s="1"/>
  <c r="D109" i="19" s="1"/>
  <c r="D110" i="19" s="1"/>
  <c r="D100" i="19"/>
  <c r="D101" i="19" s="1"/>
  <c r="D102" i="19" s="1"/>
  <c r="D103" i="19" s="1"/>
  <c r="D104" i="19" s="1"/>
  <c r="D93" i="19"/>
  <c r="D94" i="19" s="1"/>
  <c r="D95" i="19" s="1"/>
  <c r="D96" i="19" s="1"/>
  <c r="D97" i="19" s="1"/>
  <c r="D78" i="19"/>
  <c r="D79" i="19" s="1"/>
  <c r="D80" i="19" s="1"/>
  <c r="D81" i="19" s="1"/>
  <c r="D82" i="19" s="1"/>
  <c r="D83" i="19" s="1"/>
  <c r="D84" i="19" s="1"/>
  <c r="D85" i="19" s="1"/>
  <c r="D86" i="19" s="1"/>
  <c r="D87" i="19" s="1"/>
  <c r="D88" i="19" s="1"/>
  <c r="D89" i="19" s="1"/>
  <c r="D90" i="19" s="1"/>
  <c r="D91" i="19" s="1"/>
  <c r="D92" i="19" s="1"/>
  <c r="D69" i="19"/>
  <c r="D70" i="19" s="1"/>
  <c r="D71" i="19" s="1"/>
  <c r="D72" i="19" s="1"/>
  <c r="D73" i="19" s="1"/>
  <c r="D74" i="19" s="1"/>
  <c r="D75" i="19" s="1"/>
  <c r="D76" i="19" s="1"/>
  <c r="D77" i="19" s="1"/>
  <c r="D65" i="19"/>
  <c r="D66" i="19" s="1"/>
  <c r="D67" i="19" s="1"/>
  <c r="D68" i="19" s="1"/>
  <c r="D56" i="19"/>
  <c r="D57" i="19" s="1"/>
  <c r="D58" i="19" s="1"/>
  <c r="D59" i="19" s="1"/>
  <c r="D60" i="19" s="1"/>
  <c r="D61" i="19" s="1"/>
  <c r="D62" i="19" s="1"/>
  <c r="D63" i="19" s="1"/>
  <c r="D64" i="19" s="1"/>
  <c r="D49" i="19"/>
  <c r="D50" i="19" s="1"/>
  <c r="D51" i="19" s="1"/>
  <c r="D52" i="19" s="1"/>
  <c r="D53" i="19" s="1"/>
  <c r="D54" i="19" s="1"/>
  <c r="D55" i="19" s="1"/>
  <c r="D44" i="19"/>
  <c r="D45" i="19" s="1"/>
  <c r="D46" i="19" s="1"/>
  <c r="D47" i="19" s="1"/>
  <c r="D48" i="19" s="1"/>
  <c r="D37" i="19"/>
  <c r="D38" i="19" s="1"/>
  <c r="D39" i="19" s="1"/>
  <c r="D40" i="19" s="1"/>
  <c r="D41" i="19" s="1"/>
  <c r="D42" i="19" s="1"/>
  <c r="D43" i="19" s="1"/>
  <c r="D34" i="19"/>
  <c r="D35" i="19" s="1"/>
  <c r="D36" i="19" s="1"/>
  <c r="D28" i="19"/>
  <c r="D29" i="19" s="1"/>
  <c r="D30" i="19" s="1"/>
  <c r="D31" i="19" s="1"/>
  <c r="D32" i="19" s="1"/>
  <c r="D33" i="19" s="1"/>
  <c r="D20" i="19"/>
  <c r="D21" i="19" s="1"/>
  <c r="D22" i="19" s="1"/>
  <c r="D23" i="19" s="1"/>
  <c r="D24" i="19" s="1"/>
  <c r="D25" i="19" s="1"/>
  <c r="D26" i="19" s="1"/>
  <c r="D27" i="19" s="1"/>
  <c r="D12" i="19"/>
  <c r="D13" i="19" s="1"/>
  <c r="D14" i="19" s="1"/>
  <c r="D15" i="19" s="1"/>
  <c r="D16" i="19" s="1"/>
  <c r="D17" i="19" s="1"/>
  <c r="D18" i="19" s="1"/>
  <c r="D19" i="19" s="1"/>
  <c r="D3" i="19"/>
  <c r="D4" i="19" s="1"/>
  <c r="D5" i="19" s="1"/>
  <c r="D6" i="19" s="1"/>
  <c r="D7" i="19" s="1"/>
  <c r="D8" i="19" s="1"/>
  <c r="D9" i="19" s="1"/>
  <c r="D10" i="19" s="1"/>
  <c r="D11" i="19" s="1"/>
  <c r="A3" i="19"/>
  <c r="A222" i="25" l="1"/>
  <c r="A223" i="25" s="1"/>
  <c r="U34" i="20"/>
  <c r="U42" i="20"/>
  <c r="U28" i="20"/>
  <c r="U36" i="20"/>
  <c r="U44" i="20"/>
  <c r="U33" i="20"/>
  <c r="U41" i="20"/>
  <c r="U39" i="20"/>
  <c r="U30" i="20"/>
  <c r="U38" i="20"/>
  <c r="U35" i="20"/>
  <c r="U43" i="20"/>
  <c r="U31" i="20"/>
  <c r="U32" i="20"/>
  <c r="U40" i="20"/>
  <c r="U29" i="20"/>
  <c r="U45" i="20"/>
  <c r="D98" i="19"/>
  <c r="D99" i="19" s="1"/>
  <c r="A224" i="25" l="1"/>
  <c r="A225" i="25" s="1"/>
  <c r="A226" i="25" s="1"/>
  <c r="E226" i="25" s="1"/>
  <c r="G187" i="24"/>
  <c r="G183" i="24"/>
  <c r="G185" i="24" s="1"/>
  <c r="B139" i="25" l="1"/>
  <c r="A5" i="25"/>
  <c r="D93" i="24"/>
  <c r="D94" i="24" s="1"/>
  <c r="D95" i="24" s="1"/>
  <c r="D96" i="24" s="1"/>
  <c r="D97" i="24" s="1"/>
  <c r="D98" i="24" s="1"/>
  <c r="D99" i="24" s="1"/>
  <c r="D100" i="24" s="1"/>
  <c r="D101" i="24" s="1"/>
  <c r="D70" i="24"/>
  <c r="D71" i="24" s="1"/>
  <c r="D72" i="24" s="1"/>
  <c r="D73" i="24" s="1"/>
  <c r="D74" i="24" s="1"/>
  <c r="D75" i="24" s="1"/>
  <c r="D76" i="24" s="1"/>
  <c r="D77" i="24" s="1"/>
  <c r="D78" i="24" s="1"/>
  <c r="D79" i="24" s="1"/>
  <c r="D80" i="24" s="1"/>
  <c r="D81" i="24" s="1"/>
  <c r="D82" i="24" s="1"/>
  <c r="D83" i="24" s="1"/>
  <c r="D84" i="24" s="1"/>
  <c r="D85" i="24" s="1"/>
  <c r="D86" i="24" s="1"/>
  <c r="D87" i="24" s="1"/>
  <c r="D88" i="24" s="1"/>
  <c r="D89" i="24" s="1"/>
  <c r="D65" i="24"/>
  <c r="D66" i="24" s="1"/>
  <c r="D67" i="24" s="1"/>
  <c r="D68" i="24" s="1"/>
  <c r="D69" i="24" s="1"/>
  <c r="D56" i="24"/>
  <c r="D57" i="24" s="1"/>
  <c r="D58" i="24" s="1"/>
  <c r="D59" i="24" s="1"/>
  <c r="D60" i="24" s="1"/>
  <c r="D61" i="24" s="1"/>
  <c r="D62" i="24" s="1"/>
  <c r="D63" i="24" s="1"/>
  <c r="D64" i="24" s="1"/>
  <c r="D49" i="24"/>
  <c r="D50" i="24" s="1"/>
  <c r="D51" i="24" s="1"/>
  <c r="D52" i="24" s="1"/>
  <c r="D53" i="24" s="1"/>
  <c r="D54" i="24" s="1"/>
  <c r="D55" i="24" s="1"/>
  <c r="D44" i="24"/>
  <c r="D45" i="24" s="1"/>
  <c r="D46" i="24" s="1"/>
  <c r="D47" i="24" s="1"/>
  <c r="D48" i="24" s="1"/>
  <c r="D3" i="24"/>
  <c r="D4" i="24" s="1"/>
  <c r="D5" i="24" s="1"/>
  <c r="D6" i="24" s="1"/>
  <c r="D7" i="24" s="1"/>
  <c r="D8" i="24" s="1"/>
  <c r="D9" i="24" s="1"/>
  <c r="D10" i="24" s="1"/>
  <c r="D11" i="24" s="1"/>
  <c r="D12" i="24" s="1"/>
  <c r="D13" i="24" s="1"/>
  <c r="D14" i="24" s="1"/>
  <c r="D15" i="24" s="1"/>
  <c r="D16" i="24" s="1"/>
  <c r="D17" i="24" s="1"/>
  <c r="D18" i="24" s="1"/>
  <c r="D19" i="24" s="1"/>
  <c r="D20" i="24" s="1"/>
  <c r="D21" i="24" s="1"/>
  <c r="D22" i="24" s="1"/>
  <c r="D23" i="24" s="1"/>
  <c r="D24" i="24" s="1"/>
  <c r="D25" i="24" s="1"/>
  <c r="D26" i="24" s="1"/>
  <c r="D27" i="24" s="1"/>
  <c r="D28" i="24" s="1"/>
  <c r="D29" i="24" s="1"/>
  <c r="D30" i="24" s="1"/>
  <c r="D31" i="24" s="1"/>
  <c r="D32" i="24" s="1"/>
  <c r="D33" i="24" s="1"/>
  <c r="D34" i="24" s="1"/>
  <c r="D35" i="24" s="1"/>
  <c r="D36" i="24" s="1"/>
  <c r="D37" i="24" s="1"/>
  <c r="D38" i="24" s="1"/>
  <c r="D39" i="24" s="1"/>
  <c r="D40" i="24" s="1"/>
  <c r="D41" i="24" s="1"/>
  <c r="D42" i="24" s="1"/>
  <c r="D43" i="24" s="1"/>
  <c r="A3" i="24"/>
  <c r="D102" i="24" l="1"/>
  <c r="D103" i="24" s="1"/>
  <c r="D104" i="24" s="1"/>
  <c r="D105" i="24" s="1"/>
  <c r="D106" i="24" s="1"/>
  <c r="D107" i="24" s="1"/>
  <c r="D108" i="24" s="1"/>
  <c r="D109" i="24" s="1"/>
  <c r="D110" i="24" s="1"/>
  <c r="A84" i="25"/>
  <c r="A85" i="25" s="1"/>
  <c r="D111" i="24"/>
  <c r="D112" i="24" s="1"/>
  <c r="D113" i="24" s="1"/>
  <c r="D114" i="24" s="1"/>
  <c r="D115" i="24" s="1"/>
  <c r="D116" i="24" s="1"/>
  <c r="D117" i="24" s="1"/>
  <c r="D118" i="24" s="1"/>
  <c r="D119" i="24" s="1"/>
  <c r="D120" i="24" s="1"/>
  <c r="D121" i="24" s="1"/>
  <c r="D122" i="24" s="1"/>
  <c r="D123" i="24" s="1"/>
  <c r="D124" i="24" s="1"/>
  <c r="D90" i="24"/>
  <c r="D91" i="24" s="1"/>
  <c r="D92" i="24" s="1"/>
  <c r="D125" i="24" l="1"/>
  <c r="D126" i="24"/>
  <c r="D127" i="24" s="1"/>
  <c r="D128" i="24" s="1"/>
  <c r="D129" i="24" s="1"/>
  <c r="D130" i="24" s="1"/>
  <c r="D131" i="24" s="1"/>
  <c r="D132" i="24" s="1"/>
  <c r="D133" i="24" s="1"/>
  <c r="D134" i="24" s="1"/>
  <c r="D135" i="24" s="1"/>
  <c r="D136" i="24" s="1"/>
  <c r="D137" i="24" s="1"/>
  <c r="D138" i="24" s="1"/>
  <c r="D139" i="24" s="1"/>
  <c r="D140" i="24" s="1"/>
  <c r="D141" i="24" s="1"/>
  <c r="D142" i="24" s="1"/>
  <c r="D143" i="24" s="1"/>
  <c r="D144" i="24" s="1"/>
  <c r="D145" i="24" s="1"/>
  <c r="D146" i="24" s="1"/>
  <c r="D147" i="24" s="1"/>
  <c r="D148" i="24" s="1"/>
  <c r="D149" i="24" s="1"/>
  <c r="D150" i="24" s="1"/>
  <c r="D151" i="24" s="1"/>
  <c r="D152" i="24" s="1"/>
  <c r="D153" i="24" s="1"/>
  <c r="D154" i="24" s="1"/>
  <c r="D155" i="24" s="1"/>
  <c r="D156" i="24" s="1"/>
  <c r="D157" i="24" s="1"/>
  <c r="D158" i="24" s="1"/>
  <c r="D159" i="24" s="1"/>
  <c r="D160" i="24" s="1"/>
  <c r="D161" i="24" s="1"/>
  <c r="D162" i="24" s="1"/>
  <c r="D163" i="24" s="1"/>
  <c r="D164" i="24" s="1"/>
  <c r="D165" i="24" s="1"/>
  <c r="D166" i="24" s="1"/>
  <c r="A86" i="25"/>
  <c r="A88" i="25" s="1"/>
  <c r="E88" i="25" s="1"/>
  <c r="E45" i="20"/>
  <c r="D45" i="20"/>
  <c r="C45" i="20"/>
  <c r="B45" i="20"/>
  <c r="A45" i="20"/>
  <c r="E44" i="20"/>
  <c r="D44" i="20"/>
  <c r="C44" i="20"/>
  <c r="B44" i="20"/>
  <c r="A44" i="20"/>
  <c r="E43" i="20"/>
  <c r="D43" i="20"/>
  <c r="C43" i="20"/>
  <c r="B43" i="20"/>
  <c r="A43" i="20"/>
  <c r="E42" i="20"/>
  <c r="D42" i="20"/>
  <c r="C42" i="20"/>
  <c r="B42" i="20"/>
  <c r="A42" i="20"/>
  <c r="E41" i="20"/>
  <c r="D41" i="20"/>
  <c r="C41" i="20"/>
  <c r="B41" i="20"/>
  <c r="A41" i="20"/>
  <c r="E40" i="20"/>
  <c r="D40" i="20"/>
  <c r="C40" i="20"/>
  <c r="B40" i="20"/>
  <c r="A40" i="20"/>
  <c r="E39" i="20"/>
  <c r="D39" i="20"/>
  <c r="C39" i="20"/>
  <c r="B39" i="20"/>
  <c r="A39" i="20"/>
  <c r="E38" i="20"/>
  <c r="D38" i="20"/>
  <c r="C38" i="20"/>
  <c r="B38" i="20"/>
  <c r="A38" i="20"/>
  <c r="E37" i="20"/>
  <c r="D37" i="20"/>
  <c r="C37" i="20"/>
  <c r="B37" i="20"/>
  <c r="A37" i="20"/>
  <c r="E36" i="20"/>
  <c r="D36" i="20"/>
  <c r="C36" i="20"/>
  <c r="B36" i="20"/>
  <c r="A36" i="20"/>
  <c r="E35" i="20"/>
  <c r="D35" i="20"/>
  <c r="C35" i="20"/>
  <c r="B35" i="20"/>
  <c r="A35" i="20"/>
  <c r="E34" i="20"/>
  <c r="D34" i="20"/>
  <c r="C34" i="20"/>
  <c r="B34" i="20"/>
  <c r="A34" i="20"/>
  <c r="E33" i="20"/>
  <c r="D33" i="20"/>
  <c r="C33" i="20"/>
  <c r="B33" i="20"/>
  <c r="A33" i="20"/>
  <c r="E32" i="20"/>
  <c r="D32" i="20"/>
  <c r="C32" i="20"/>
  <c r="B32" i="20"/>
  <c r="A32" i="20"/>
  <c r="E31" i="20"/>
  <c r="D31" i="20"/>
  <c r="C31" i="20"/>
  <c r="B31" i="20"/>
  <c r="A31" i="20"/>
  <c r="E30" i="20"/>
  <c r="D30" i="20"/>
  <c r="C30" i="20"/>
  <c r="B30" i="20"/>
  <c r="A30" i="20"/>
  <c r="E29" i="20"/>
  <c r="D29" i="20"/>
  <c r="C29" i="20"/>
  <c r="B29" i="20"/>
  <c r="A29" i="20"/>
  <c r="E28" i="20"/>
  <c r="D28" i="20"/>
  <c r="C28" i="20"/>
  <c r="B28" i="20"/>
  <c r="A28" i="20"/>
  <c r="E27" i="20"/>
  <c r="D27" i="20"/>
  <c r="C27" i="20"/>
  <c r="B27" i="20"/>
  <c r="A27" i="20"/>
  <c r="E26" i="20"/>
  <c r="D26" i="20"/>
  <c r="C26" i="20"/>
  <c r="B26" i="20"/>
  <c r="A26" i="20"/>
  <c r="E25" i="20"/>
  <c r="D25" i="20"/>
  <c r="C25" i="20"/>
  <c r="B25" i="20"/>
  <c r="A25" i="20"/>
  <c r="E24" i="20"/>
  <c r="D24" i="20"/>
  <c r="C24" i="20"/>
  <c r="B24" i="20"/>
  <c r="A24" i="20"/>
  <c r="E23" i="20"/>
  <c r="D23" i="20"/>
  <c r="C23" i="20"/>
  <c r="B23" i="20"/>
  <c r="A23" i="20"/>
  <c r="E22" i="20"/>
  <c r="D22" i="20"/>
  <c r="C22" i="20"/>
  <c r="B22" i="20"/>
  <c r="A22" i="20"/>
  <c r="E21" i="20"/>
  <c r="D21" i="20"/>
  <c r="C21" i="20"/>
  <c r="B21" i="20"/>
  <c r="A21" i="20"/>
  <c r="E20" i="20"/>
  <c r="D20" i="20"/>
  <c r="C20" i="20"/>
  <c r="B20" i="20"/>
  <c r="A20" i="20"/>
  <c r="E19" i="20"/>
  <c r="D19" i="20"/>
  <c r="C19" i="20"/>
  <c r="B19" i="20"/>
  <c r="A19" i="20"/>
  <c r="E18" i="20"/>
  <c r="D18" i="20"/>
  <c r="C18" i="20"/>
  <c r="B18" i="20"/>
  <c r="A18" i="20"/>
  <c r="E17" i="20"/>
  <c r="D17" i="20"/>
  <c r="C17" i="20"/>
  <c r="B17" i="20"/>
  <c r="A17" i="20"/>
  <c r="E16" i="20"/>
  <c r="D16" i="20"/>
  <c r="C16" i="20"/>
  <c r="B16" i="20"/>
  <c r="A16" i="20"/>
  <c r="E15" i="20"/>
  <c r="D15" i="20"/>
  <c r="C15" i="20"/>
  <c r="B15" i="20"/>
  <c r="A15" i="20"/>
  <c r="E14" i="20"/>
  <c r="D14" i="20"/>
  <c r="C14" i="20"/>
  <c r="B14" i="20"/>
  <c r="A14" i="20"/>
  <c r="E13" i="20"/>
  <c r="D13" i="20"/>
  <c r="C13" i="20"/>
  <c r="B13" i="20"/>
  <c r="A13" i="20"/>
  <c r="E12" i="20"/>
  <c r="D12" i="20"/>
  <c r="C12" i="20"/>
  <c r="B12" i="20"/>
  <c r="A12" i="20"/>
  <c r="E11" i="20"/>
  <c r="D11" i="20"/>
  <c r="C11" i="20"/>
  <c r="B11" i="20"/>
  <c r="A11" i="20"/>
  <c r="E10" i="20"/>
  <c r="D10" i="20"/>
  <c r="C10" i="20"/>
  <c r="B10" i="20"/>
  <c r="A10" i="20"/>
  <c r="E9" i="20"/>
  <c r="D9" i="20"/>
  <c r="C9" i="20"/>
  <c r="B9" i="20"/>
  <c r="A9" i="20"/>
  <c r="D8" i="20"/>
  <c r="C8" i="20"/>
  <c r="B8" i="20"/>
  <c r="A8" i="20"/>
  <c r="E7" i="20"/>
  <c r="D7" i="20"/>
  <c r="C7" i="20"/>
  <c r="B7" i="20"/>
  <c r="A7" i="20"/>
  <c r="E6" i="20"/>
  <c r="D6" i="20"/>
  <c r="C6" i="20"/>
  <c r="B6" i="20"/>
  <c r="A6" i="20"/>
  <c r="E5" i="20"/>
  <c r="D5" i="20"/>
  <c r="C5" i="20"/>
  <c r="B5" i="20"/>
  <c r="A5" i="20"/>
  <c r="E4" i="20"/>
  <c r="D4" i="20"/>
  <c r="C4" i="20"/>
  <c r="B4" i="20"/>
  <c r="A4" i="20"/>
  <c r="E3" i="20"/>
  <c r="D3" i="20"/>
  <c r="C3" i="20"/>
  <c r="B3" i="20"/>
  <c r="A3" i="20"/>
  <c r="E2" i="20"/>
  <c r="D2" i="20"/>
  <c r="C2" i="20"/>
  <c r="B2" i="20"/>
  <c r="A2" i="20"/>
  <c r="D167" i="24" l="1"/>
  <c r="D168" i="24"/>
  <c r="D169" i="24" s="1"/>
  <c r="D170" i="24" s="1"/>
  <c r="D171" i="24" s="1"/>
  <c r="D172" i="24" s="1"/>
  <c r="D173" i="24" s="1"/>
  <c r="D174" i="24" s="1"/>
  <c r="D175" i="24" s="1"/>
  <c r="D176" i="24" s="1"/>
  <c r="D177" i="24" s="1"/>
  <c r="D178" i="24" s="1"/>
  <c r="D179" i="24" s="1"/>
  <c r="D180" i="24" s="1"/>
  <c r="D181" i="24" s="1"/>
  <c r="D182" i="24" s="1"/>
  <c r="B242" i="25"/>
  <c r="B230" i="25"/>
  <c r="B216" i="25"/>
  <c r="B205" i="25"/>
  <c r="B196" i="25"/>
  <c r="B184" i="25"/>
  <c r="B175" i="25"/>
  <c r="B164" i="25"/>
  <c r="B156" i="25"/>
  <c r="B147" i="25"/>
  <c r="B129" i="25"/>
  <c r="B111" i="25"/>
  <c r="B99" i="25"/>
  <c r="B92" i="25"/>
  <c r="B80" i="25"/>
  <c r="B70" i="25"/>
  <c r="B62" i="25"/>
  <c r="B52" i="25"/>
  <c r="B46" i="25"/>
  <c r="B37" i="25"/>
  <c r="B26" i="25"/>
  <c r="B15" i="25"/>
  <c r="A28" i="25"/>
  <c r="A244" i="25"/>
  <c r="A245" i="25" s="1"/>
  <c r="A232" i="25"/>
  <c r="A233" i="25" s="1"/>
  <c r="A207" i="25"/>
  <c r="A208" i="25" s="1"/>
  <c r="A198" i="25"/>
  <c r="A186" i="25"/>
  <c r="A177" i="25"/>
  <c r="A178" i="25" s="1"/>
  <c r="A166" i="25"/>
  <c r="A167" i="25" s="1"/>
  <c r="A158" i="25"/>
  <c r="A159" i="25" s="1"/>
  <c r="A149" i="25"/>
  <c r="A141" i="25"/>
  <c r="A131" i="25"/>
  <c r="A113" i="25"/>
  <c r="A101" i="25"/>
  <c r="A95" i="25"/>
  <c r="A96" i="25" s="1"/>
  <c r="E96" i="25" s="1"/>
  <c r="A73" i="25"/>
  <c r="A64" i="25"/>
  <c r="A65" i="25" s="1"/>
  <c r="A66" i="25" s="1"/>
  <c r="A54" i="25"/>
  <c r="A48" i="25"/>
  <c r="A49" i="25" s="1"/>
  <c r="E49" i="25" s="1"/>
  <c r="A17" i="25"/>
  <c r="A187" i="25" l="1"/>
  <c r="A188" i="25" s="1"/>
  <c r="A114" i="25"/>
  <c r="A115" i="25" s="1"/>
  <c r="A55" i="25"/>
  <c r="A56" i="25"/>
  <c r="A57" i="25" s="1"/>
  <c r="A29" i="25"/>
  <c r="A30" i="25" s="1"/>
  <c r="A142" i="25"/>
  <c r="A132" i="25"/>
  <c r="A133" i="25" s="1"/>
  <c r="A150" i="25"/>
  <c r="A153" i="25" s="1"/>
  <c r="A40" i="25"/>
  <c r="A41" i="25" s="1"/>
  <c r="A42" i="25" s="1"/>
  <c r="A43" i="25" s="1"/>
  <c r="E43" i="25" s="1"/>
  <c r="A102" i="25"/>
  <c r="A246" i="25"/>
  <c r="A234" i="25"/>
  <c r="A235" i="25" s="1"/>
  <c r="A209" i="25"/>
  <c r="A210" i="25" s="1"/>
  <c r="A199" i="25"/>
  <c r="A200" i="25" s="1"/>
  <c r="A201" i="25" s="1"/>
  <c r="A179" i="25"/>
  <c r="A180" i="25" s="1"/>
  <c r="E180" i="25" s="1"/>
  <c r="A168" i="25"/>
  <c r="A160" i="25"/>
  <c r="A161" i="25" s="1"/>
  <c r="E161" i="25" s="1"/>
  <c r="A67" i="25"/>
  <c r="E67" i="25" s="1"/>
  <c r="A18" i="25"/>
  <c r="A19" i="25" s="1"/>
  <c r="A6" i="25"/>
  <c r="A58" i="25" l="1"/>
  <c r="A59" i="25" s="1"/>
  <c r="E59" i="25" s="1"/>
  <c r="A116" i="25"/>
  <c r="A117" i="25" s="1"/>
  <c r="A7" i="25"/>
  <c r="A31" i="25"/>
  <c r="A32" i="25" s="1"/>
  <c r="A134" i="25"/>
  <c r="A202" i="25"/>
  <c r="E202" i="25" s="1"/>
  <c r="A169" i="25"/>
  <c r="A170" i="25" s="1"/>
  <c r="A171" i="25" s="1"/>
  <c r="A172" i="25" s="1"/>
  <c r="E172" i="25" s="1"/>
  <c r="A143" i="25"/>
  <c r="A144" i="25" s="1"/>
  <c r="E144" i="25" s="1"/>
  <c r="A247" i="25"/>
  <c r="A236" i="25"/>
  <c r="A237" i="25" s="1"/>
  <c r="A211" i="25"/>
  <c r="A189" i="25"/>
  <c r="A190" i="25" s="1"/>
  <c r="A75" i="25"/>
  <c r="A76" i="25" s="1"/>
  <c r="A20" i="25"/>
  <c r="A22" i="25" s="1"/>
  <c r="A118" i="25" l="1"/>
  <c r="A119" i="25" s="1"/>
  <c r="A120" i="25" s="1"/>
  <c r="E153" i="25"/>
  <c r="A8" i="25"/>
  <c r="A10" i="25" s="1"/>
  <c r="A11" i="25" s="1"/>
  <c r="A135" i="25"/>
  <c r="A136" i="25" s="1"/>
  <c r="E136" i="25" s="1"/>
  <c r="A104" i="25"/>
  <c r="A105" i="25" s="1"/>
  <c r="A106" i="25" s="1"/>
  <c r="A107" i="25" s="1"/>
  <c r="A33" i="25"/>
  <c r="A34" i="25" s="1"/>
  <c r="E34" i="25" s="1"/>
  <c r="A248" i="25"/>
  <c r="A238" i="25"/>
  <c r="A212" i="25"/>
  <c r="A213" i="25" s="1"/>
  <c r="E213" i="25" s="1"/>
  <c r="A191" i="25"/>
  <c r="A77" i="25"/>
  <c r="E77" i="25" s="1"/>
  <c r="A23" i="25"/>
  <c r="E23" i="25" s="1"/>
  <c r="A121" i="25" l="1"/>
  <c r="A122" i="25" s="1"/>
  <c r="A108" i="25"/>
  <c r="E108" i="25" s="1"/>
  <c r="A192" i="25"/>
  <c r="A193" i="25" s="1"/>
  <c r="E193" i="25" s="1"/>
  <c r="A239" i="25"/>
  <c r="E239" i="25" s="1"/>
  <c r="A249" i="25"/>
  <c r="A250" i="25" s="1"/>
  <c r="A12" i="25"/>
  <c r="E12" i="25" s="1"/>
  <c r="A123" i="25" l="1"/>
  <c r="A124" i="25" s="1"/>
  <c r="A251" i="25"/>
  <c r="E251" i="25" s="1"/>
  <c r="A125" i="25" l="1"/>
  <c r="A126" i="25" s="1"/>
  <c r="E126" i="25" s="1"/>
  <c r="E253" i="25" s="1"/>
  <c r="Y3" i="20"/>
  <c r="Y4" i="20" s="1"/>
  <c r="Y5" i="20" s="1"/>
  <c r="Y6" i="20" s="1"/>
  <c r="Y7" i="20" s="1"/>
  <c r="Y8" i="20" s="1"/>
  <c r="Y9" i="20" s="1"/>
  <c r="Y10" i="20" s="1"/>
  <c r="Y11" i="20" s="1"/>
  <c r="Y12" i="20" s="1"/>
  <c r="Y13" i="20" s="1"/>
  <c r="Y14" i="20" s="1"/>
  <c r="Y15" i="20" s="1"/>
  <c r="Y16" i="20" s="1"/>
  <c r="Y17" i="20" s="1"/>
  <c r="Y18" i="20" s="1"/>
  <c r="Y19" i="20" s="1"/>
  <c r="Y20" i="20" s="1"/>
  <c r="Y21" i="20" s="1"/>
  <c r="Y22" i="20" s="1"/>
  <c r="Y23" i="20" s="1"/>
  <c r="Y24" i="20" s="1"/>
  <c r="Y25" i="20" s="1"/>
  <c r="Y26" i="20" s="1"/>
  <c r="Y27" i="20" s="1"/>
  <c r="Y28" i="20" s="1"/>
  <c r="Y29" i="20" s="1"/>
  <c r="Y30" i="20" s="1"/>
  <c r="Y31" i="20" s="1"/>
  <c r="Y32" i="20" s="1"/>
  <c r="Y33" i="20" s="1"/>
  <c r="Y34" i="20" s="1"/>
  <c r="Y35" i="20" s="1"/>
  <c r="Y36" i="20" s="1"/>
  <c r="Y37" i="20" s="1"/>
  <c r="Y38" i="20" s="1"/>
  <c r="Y39" i="20" s="1"/>
  <c r="Y40" i="20" s="1"/>
  <c r="Y41" i="20" s="1"/>
  <c r="Y42" i="20" s="1"/>
  <c r="Y43" i="20" s="1"/>
  <c r="Y44" i="20" s="1"/>
  <c r="Y45" i="20" s="1"/>
</calcChain>
</file>

<file path=xl/sharedStrings.xml><?xml version="1.0" encoding="utf-8"?>
<sst xmlns="http://schemas.openxmlformats.org/spreadsheetml/2006/main" count="1036" uniqueCount="616">
  <si>
    <t>6－1</t>
    <phoneticPr fontId="2"/>
  </si>
  <si>
    <t>6－2</t>
    <phoneticPr fontId="2"/>
  </si>
  <si>
    <t>松本秀雄</t>
    <rPh sb="0" eb="2">
      <t>マツモト</t>
    </rPh>
    <rPh sb="2" eb="4">
      <t>ヒデオ</t>
    </rPh>
    <phoneticPr fontId="2"/>
  </si>
  <si>
    <t>中村太一</t>
    <rPh sb="0" eb="2">
      <t>ナカムラ</t>
    </rPh>
    <rPh sb="2" eb="4">
      <t>タイチ</t>
    </rPh>
    <phoneticPr fontId="2"/>
  </si>
  <si>
    <t>203号室</t>
    <rPh sb="3" eb="4">
      <t>ゴウ</t>
    </rPh>
    <rPh sb="4" eb="5">
      <t>ムロ</t>
    </rPh>
    <phoneticPr fontId="2"/>
  </si>
  <si>
    <t>301号室</t>
    <rPh sb="3" eb="4">
      <t>ゴウ</t>
    </rPh>
    <rPh sb="4" eb="5">
      <t>ムロ</t>
    </rPh>
    <phoneticPr fontId="2"/>
  </si>
  <si>
    <t>401号室</t>
    <rPh sb="3" eb="4">
      <t>ゴウ</t>
    </rPh>
    <rPh sb="4" eb="5">
      <t>ムロ</t>
    </rPh>
    <phoneticPr fontId="2"/>
  </si>
  <si>
    <t>402号室</t>
    <rPh sb="3" eb="4">
      <t>ゴウ</t>
    </rPh>
    <rPh sb="4" eb="5">
      <t>ムロ</t>
    </rPh>
    <phoneticPr fontId="2"/>
  </si>
  <si>
    <t>403号室</t>
    <rPh sb="3" eb="5">
      <t>ゴウシツ</t>
    </rPh>
    <phoneticPr fontId="2"/>
  </si>
  <si>
    <t>901号室</t>
    <rPh sb="3" eb="4">
      <t>ゴウ</t>
    </rPh>
    <rPh sb="4" eb="5">
      <t>ムロ</t>
    </rPh>
    <phoneticPr fontId="2"/>
  </si>
  <si>
    <t>902号室</t>
    <rPh sb="3" eb="4">
      <t>ゴウ</t>
    </rPh>
    <rPh sb="4" eb="5">
      <t>ムロ</t>
    </rPh>
    <phoneticPr fontId="2"/>
  </si>
  <si>
    <t>801号室</t>
    <rPh sb="3" eb="4">
      <t>ゴウ</t>
    </rPh>
    <rPh sb="4" eb="5">
      <t>ムロ</t>
    </rPh>
    <phoneticPr fontId="2"/>
  </si>
  <si>
    <t>702号室</t>
    <rPh sb="3" eb="4">
      <t>ゴウ</t>
    </rPh>
    <rPh sb="4" eb="5">
      <t>ムロ</t>
    </rPh>
    <phoneticPr fontId="2"/>
  </si>
  <si>
    <t>703号室</t>
    <rPh sb="3" eb="4">
      <t>ゴウ</t>
    </rPh>
    <rPh sb="4" eb="5">
      <t>ムロ</t>
    </rPh>
    <phoneticPr fontId="2"/>
  </si>
  <si>
    <t>601号室</t>
    <rPh sb="3" eb="4">
      <t>ゴウ</t>
    </rPh>
    <rPh sb="4" eb="5">
      <t>ムロ</t>
    </rPh>
    <phoneticPr fontId="2"/>
  </si>
  <si>
    <t>603号室</t>
    <rPh sb="3" eb="4">
      <t>ゴウ</t>
    </rPh>
    <rPh sb="4" eb="5">
      <t>ムロ</t>
    </rPh>
    <phoneticPr fontId="2"/>
  </si>
  <si>
    <t>501号室</t>
    <rPh sb="3" eb="4">
      <t>ゴウ</t>
    </rPh>
    <rPh sb="4" eb="5">
      <t>ムロ</t>
    </rPh>
    <phoneticPr fontId="2"/>
  </si>
  <si>
    <t>403号室</t>
    <rPh sb="3" eb="4">
      <t>ゴウ</t>
    </rPh>
    <rPh sb="4" eb="5">
      <t>ムロ</t>
    </rPh>
    <phoneticPr fontId="2"/>
  </si>
  <si>
    <t>404号室</t>
    <rPh sb="3" eb="4">
      <t>ゴウ</t>
    </rPh>
    <rPh sb="4" eb="5">
      <t>ムロ</t>
    </rPh>
    <phoneticPr fontId="2"/>
  </si>
  <si>
    <t>204号室</t>
    <rPh sb="3" eb="4">
      <t>ゴウ</t>
    </rPh>
    <rPh sb="4" eb="5">
      <t>ムロ</t>
    </rPh>
    <phoneticPr fontId="2"/>
  </si>
  <si>
    <t>長谷部が同居</t>
    <rPh sb="0" eb="3">
      <t>ハセベ</t>
    </rPh>
    <rPh sb="4" eb="6">
      <t>ドウキョ</t>
    </rPh>
    <phoneticPr fontId="2"/>
  </si>
  <si>
    <t>861－2770</t>
    <phoneticPr fontId="2"/>
  </si>
  <si>
    <t>861－2446</t>
    <phoneticPr fontId="2"/>
  </si>
  <si>
    <t>861－2384</t>
    <phoneticPr fontId="2"/>
  </si>
  <si>
    <t>861－2481</t>
    <phoneticPr fontId="2"/>
  </si>
  <si>
    <t>セラヴィ</t>
    <phoneticPr fontId="2"/>
  </si>
  <si>
    <t>861－3291</t>
    <phoneticPr fontId="2"/>
  </si>
  <si>
    <t>861－4015</t>
    <phoneticPr fontId="2"/>
  </si>
  <si>
    <t>6－69</t>
    <phoneticPr fontId="2"/>
  </si>
  <si>
    <t>861－3180</t>
    <phoneticPr fontId="2"/>
  </si>
  <si>
    <t>6－68</t>
    <phoneticPr fontId="2"/>
  </si>
  <si>
    <t>861－0509</t>
    <phoneticPr fontId="2"/>
  </si>
  <si>
    <t>861－3823</t>
    <phoneticPr fontId="2"/>
  </si>
  <si>
    <t>861－5959</t>
    <phoneticPr fontId="2"/>
  </si>
  <si>
    <t>861－1220</t>
    <phoneticPr fontId="2"/>
  </si>
  <si>
    <t>861－3753</t>
    <phoneticPr fontId="2"/>
  </si>
  <si>
    <t>6－77</t>
    <phoneticPr fontId="2"/>
  </si>
  <si>
    <t>861－4993</t>
    <phoneticPr fontId="2"/>
  </si>
  <si>
    <t>861－0925</t>
    <phoneticPr fontId="2"/>
  </si>
  <si>
    <t>861－8060</t>
    <phoneticPr fontId="2"/>
  </si>
  <si>
    <t>861－5829</t>
    <phoneticPr fontId="2"/>
  </si>
  <si>
    <t>861－2733</t>
    <phoneticPr fontId="2"/>
  </si>
  <si>
    <t>887－0676</t>
    <phoneticPr fontId="2"/>
  </si>
  <si>
    <t>6－75</t>
    <phoneticPr fontId="2"/>
  </si>
  <si>
    <t>861－4214</t>
    <phoneticPr fontId="2"/>
  </si>
  <si>
    <t>861－7234</t>
    <phoneticPr fontId="2"/>
  </si>
  <si>
    <t>6－74</t>
    <phoneticPr fontId="2"/>
  </si>
  <si>
    <t>861－2490</t>
    <phoneticPr fontId="2"/>
  </si>
  <si>
    <t>861－2132</t>
    <phoneticPr fontId="2"/>
  </si>
  <si>
    <t>プレミール</t>
    <phoneticPr fontId="2"/>
  </si>
  <si>
    <t>861－2905</t>
    <phoneticPr fontId="2"/>
  </si>
  <si>
    <t>861－9056</t>
    <phoneticPr fontId="2"/>
  </si>
  <si>
    <t>861－8652</t>
    <phoneticPr fontId="2"/>
  </si>
  <si>
    <t>6－66</t>
    <phoneticPr fontId="2"/>
  </si>
  <si>
    <t>861－3697</t>
    <phoneticPr fontId="2"/>
  </si>
  <si>
    <t>6－70</t>
    <phoneticPr fontId="2"/>
  </si>
  <si>
    <t>861－6352</t>
    <phoneticPr fontId="2"/>
  </si>
  <si>
    <t>861－8128</t>
    <phoneticPr fontId="2"/>
  </si>
  <si>
    <t>861－8640</t>
    <phoneticPr fontId="2"/>
  </si>
  <si>
    <t>861－6138</t>
    <phoneticPr fontId="2"/>
  </si>
  <si>
    <t>861－4059</t>
    <phoneticPr fontId="2"/>
  </si>
  <si>
    <t>861－2375</t>
    <phoneticPr fontId="2"/>
  </si>
  <si>
    <t>6－67</t>
    <phoneticPr fontId="2"/>
  </si>
  <si>
    <t>861－4325</t>
    <phoneticPr fontId="2"/>
  </si>
  <si>
    <t>861－3965</t>
    <phoneticPr fontId="2"/>
  </si>
  <si>
    <t>6－63</t>
    <phoneticPr fontId="2"/>
  </si>
  <si>
    <t>861－0881</t>
    <phoneticPr fontId="2"/>
  </si>
  <si>
    <t>6－65</t>
    <phoneticPr fontId="2"/>
  </si>
  <si>
    <t>861－1657</t>
    <phoneticPr fontId="2"/>
  </si>
  <si>
    <t>861－2969</t>
    <phoneticPr fontId="2"/>
  </si>
  <si>
    <t>861－3586</t>
    <phoneticPr fontId="2"/>
  </si>
  <si>
    <t>861－4055</t>
    <phoneticPr fontId="2"/>
  </si>
  <si>
    <t>6－64</t>
    <phoneticPr fontId="2"/>
  </si>
  <si>
    <t>861－4047</t>
    <phoneticPr fontId="2"/>
  </si>
  <si>
    <t xml:space="preserve"> </t>
    <phoneticPr fontId="2"/>
  </si>
  <si>
    <t>861－6619</t>
    <phoneticPr fontId="2"/>
  </si>
  <si>
    <t>861－8908</t>
    <phoneticPr fontId="2"/>
  </si>
  <si>
    <t>6－6</t>
    <phoneticPr fontId="2"/>
  </si>
  <si>
    <t>861－0046</t>
    <phoneticPr fontId="2"/>
  </si>
  <si>
    <t>861－5768</t>
    <phoneticPr fontId="2"/>
  </si>
  <si>
    <t>861－6556</t>
    <phoneticPr fontId="2"/>
  </si>
  <si>
    <t>861－4475</t>
    <phoneticPr fontId="2"/>
  </si>
  <si>
    <t>861－5160</t>
    <phoneticPr fontId="2"/>
  </si>
  <si>
    <t>861－6386</t>
    <phoneticPr fontId="2"/>
  </si>
  <si>
    <t>861－8988</t>
    <phoneticPr fontId="2"/>
  </si>
  <si>
    <t>861－5071</t>
    <phoneticPr fontId="2"/>
  </si>
  <si>
    <t>861－7531</t>
    <phoneticPr fontId="2"/>
  </si>
  <si>
    <t>861－2322</t>
    <phoneticPr fontId="2"/>
  </si>
  <si>
    <t>861－1736</t>
    <phoneticPr fontId="2"/>
  </si>
  <si>
    <t>861－4840</t>
    <phoneticPr fontId="2"/>
  </si>
  <si>
    <t>861－4220</t>
    <phoneticPr fontId="2"/>
  </si>
  <si>
    <t>861－8630</t>
    <phoneticPr fontId="2"/>
  </si>
  <si>
    <t>861－5004</t>
    <phoneticPr fontId="2"/>
  </si>
  <si>
    <t>861－8916</t>
    <phoneticPr fontId="2"/>
  </si>
  <si>
    <t>861－5953</t>
    <phoneticPr fontId="2"/>
  </si>
  <si>
    <t>861－7670</t>
    <phoneticPr fontId="2"/>
  </si>
  <si>
    <t>6－9</t>
    <phoneticPr fontId="2"/>
  </si>
  <si>
    <t>861－0783</t>
    <phoneticPr fontId="2"/>
  </si>
  <si>
    <t>6－10</t>
    <phoneticPr fontId="2"/>
  </si>
  <si>
    <t>891－7351</t>
    <phoneticPr fontId="2"/>
  </si>
  <si>
    <t>861－8450</t>
    <phoneticPr fontId="2"/>
  </si>
  <si>
    <t>861－1562</t>
    <phoneticPr fontId="2"/>
  </si>
  <si>
    <t>861－7016</t>
    <phoneticPr fontId="2"/>
  </si>
  <si>
    <t>6－19</t>
    <phoneticPr fontId="2"/>
  </si>
  <si>
    <t>861－7513</t>
    <phoneticPr fontId="2"/>
  </si>
  <si>
    <t>6－20</t>
    <phoneticPr fontId="2"/>
  </si>
  <si>
    <t>861－4464</t>
    <phoneticPr fontId="2"/>
  </si>
  <si>
    <t>6－12</t>
    <phoneticPr fontId="2"/>
  </si>
  <si>
    <t>861－4956</t>
    <phoneticPr fontId="2"/>
  </si>
  <si>
    <t>861－6934</t>
    <phoneticPr fontId="2"/>
  </si>
  <si>
    <t>6－11</t>
    <phoneticPr fontId="2"/>
  </si>
  <si>
    <t>861－7068</t>
    <phoneticPr fontId="2"/>
  </si>
  <si>
    <t>861－6994</t>
    <phoneticPr fontId="2"/>
  </si>
  <si>
    <t>6－14</t>
    <phoneticPr fontId="2"/>
  </si>
  <si>
    <t>861－5756</t>
    <phoneticPr fontId="2"/>
  </si>
  <si>
    <t>6－13</t>
    <phoneticPr fontId="2"/>
  </si>
  <si>
    <t>861－1392</t>
    <phoneticPr fontId="2"/>
  </si>
  <si>
    <t>861－2809</t>
    <phoneticPr fontId="2"/>
  </si>
  <si>
    <t>861－2812</t>
    <phoneticPr fontId="2"/>
  </si>
  <si>
    <t>6－18</t>
    <phoneticPr fontId="2"/>
  </si>
  <si>
    <t>861－2670</t>
    <phoneticPr fontId="2"/>
  </si>
  <si>
    <t>861－0476</t>
    <phoneticPr fontId="2"/>
  </si>
  <si>
    <t>861－4759</t>
    <phoneticPr fontId="2"/>
  </si>
  <si>
    <t>861－4472</t>
    <phoneticPr fontId="2"/>
  </si>
  <si>
    <t>861－3589</t>
    <phoneticPr fontId="2"/>
  </si>
  <si>
    <t>861－8441</t>
    <phoneticPr fontId="2"/>
  </si>
  <si>
    <t>861－7064</t>
    <phoneticPr fontId="2"/>
  </si>
  <si>
    <t>861－7675</t>
    <phoneticPr fontId="2"/>
  </si>
  <si>
    <t>6－15</t>
    <phoneticPr fontId="2"/>
  </si>
  <si>
    <t>861－4804</t>
    <phoneticPr fontId="2"/>
  </si>
  <si>
    <t>861－6897</t>
    <phoneticPr fontId="2"/>
  </si>
  <si>
    <t>861－0176</t>
    <phoneticPr fontId="2"/>
  </si>
  <si>
    <t>861－6409</t>
    <phoneticPr fontId="2"/>
  </si>
  <si>
    <t>861－1352</t>
    <phoneticPr fontId="2"/>
  </si>
  <si>
    <t>861－7069</t>
    <phoneticPr fontId="2"/>
  </si>
  <si>
    <t>861－1599</t>
    <phoneticPr fontId="2"/>
  </si>
  <si>
    <t>861－4678</t>
    <phoneticPr fontId="2"/>
  </si>
  <si>
    <t>861－7307</t>
    <phoneticPr fontId="2"/>
  </si>
  <si>
    <t>6－17</t>
    <phoneticPr fontId="2"/>
  </si>
  <si>
    <t>861－4057</t>
    <phoneticPr fontId="2"/>
  </si>
  <si>
    <t>861－2317</t>
    <phoneticPr fontId="2"/>
  </si>
  <si>
    <t>861－0866</t>
    <phoneticPr fontId="2"/>
  </si>
  <si>
    <t>861－2232</t>
    <phoneticPr fontId="2"/>
  </si>
  <si>
    <t>861－3516</t>
    <phoneticPr fontId="2"/>
  </si>
  <si>
    <t>6－21</t>
    <phoneticPr fontId="2"/>
  </si>
  <si>
    <t>861－4850</t>
    <phoneticPr fontId="2"/>
  </si>
  <si>
    <t>861－5938</t>
    <phoneticPr fontId="2"/>
  </si>
  <si>
    <t>861－0650</t>
    <phoneticPr fontId="2"/>
  </si>
  <si>
    <t>861－7338</t>
    <phoneticPr fontId="2"/>
  </si>
  <si>
    <t>861－3445</t>
    <phoneticPr fontId="2"/>
  </si>
  <si>
    <t>861－4711</t>
    <phoneticPr fontId="2"/>
  </si>
  <si>
    <t>861－3367</t>
    <phoneticPr fontId="2"/>
  </si>
  <si>
    <t>861－1514</t>
    <phoneticPr fontId="2"/>
  </si>
  <si>
    <t>861－0905</t>
    <phoneticPr fontId="2"/>
  </si>
  <si>
    <t>861－7527</t>
    <phoneticPr fontId="2"/>
  </si>
  <si>
    <t>861－2869</t>
    <phoneticPr fontId="2"/>
  </si>
  <si>
    <t>861－4579</t>
    <phoneticPr fontId="2"/>
  </si>
  <si>
    <t>861－5360</t>
    <phoneticPr fontId="2"/>
  </si>
  <si>
    <t>861－1500</t>
    <phoneticPr fontId="2"/>
  </si>
  <si>
    <t>861－2122</t>
    <phoneticPr fontId="2"/>
  </si>
  <si>
    <t>6－31</t>
    <phoneticPr fontId="2"/>
  </si>
  <si>
    <t>861－1416</t>
    <phoneticPr fontId="2"/>
  </si>
  <si>
    <t>861－0102</t>
    <phoneticPr fontId="2"/>
  </si>
  <si>
    <t>861－2244</t>
    <phoneticPr fontId="2"/>
  </si>
  <si>
    <t>861－1461</t>
    <phoneticPr fontId="2"/>
  </si>
  <si>
    <t>6－22</t>
    <phoneticPr fontId="2"/>
  </si>
  <si>
    <t>861－0013</t>
    <phoneticPr fontId="2"/>
  </si>
  <si>
    <t>861－7708</t>
    <phoneticPr fontId="2"/>
  </si>
  <si>
    <t>861－8486</t>
    <phoneticPr fontId="2"/>
  </si>
  <si>
    <t>861－7617</t>
    <phoneticPr fontId="2"/>
  </si>
  <si>
    <t>861－6641</t>
    <phoneticPr fontId="2"/>
  </si>
  <si>
    <t>861－1522</t>
    <phoneticPr fontId="2"/>
  </si>
  <si>
    <t>861－6002</t>
    <phoneticPr fontId="2"/>
  </si>
  <si>
    <t>　氏名　／　屋号</t>
    <rPh sb="1" eb="2">
      <t>シ</t>
    </rPh>
    <rPh sb="2" eb="3">
      <t>メイ</t>
    </rPh>
    <rPh sb="6" eb="8">
      <t>ヤゴウ</t>
    </rPh>
    <phoneticPr fontId="2"/>
  </si>
  <si>
    <t>　住所番地</t>
    <rPh sb="1" eb="2">
      <t>ジュウ</t>
    </rPh>
    <rPh sb="2" eb="3">
      <t>ショ</t>
    </rPh>
    <rPh sb="3" eb="5">
      <t>バンチ</t>
    </rPh>
    <phoneticPr fontId="2"/>
  </si>
  <si>
    <t>中村芳朗</t>
    <rPh sb="0" eb="2">
      <t>ナカムラ</t>
    </rPh>
    <rPh sb="2" eb="4">
      <t>ヨシロウ</t>
    </rPh>
    <phoneticPr fontId="2"/>
  </si>
  <si>
    <t>松川正士</t>
    <rPh sb="0" eb="2">
      <t>マツカワ</t>
    </rPh>
    <rPh sb="2" eb="4">
      <t>マサシ</t>
    </rPh>
    <phoneticPr fontId="2"/>
  </si>
  <si>
    <t>和田薪</t>
    <rPh sb="0" eb="2">
      <t>ワダ</t>
    </rPh>
    <rPh sb="2" eb="3">
      <t>マキ</t>
    </rPh>
    <phoneticPr fontId="2"/>
  </si>
  <si>
    <t>平井進</t>
    <rPh sb="0" eb="2">
      <t>ヒライ</t>
    </rPh>
    <rPh sb="2" eb="3">
      <t>ススム</t>
    </rPh>
    <phoneticPr fontId="2"/>
  </si>
  <si>
    <t>粟飯原功</t>
    <rPh sb="0" eb="1">
      <t>アワ</t>
    </rPh>
    <rPh sb="1" eb="2">
      <t>メシ</t>
    </rPh>
    <rPh sb="2" eb="3">
      <t>ハラ</t>
    </rPh>
    <rPh sb="3" eb="4">
      <t>コウ</t>
    </rPh>
    <phoneticPr fontId="2"/>
  </si>
  <si>
    <t>高橋正</t>
    <rPh sb="0" eb="2">
      <t>タカハシ</t>
    </rPh>
    <rPh sb="2" eb="3">
      <t>タダシ</t>
    </rPh>
    <phoneticPr fontId="2"/>
  </si>
  <si>
    <t>紺野建設</t>
    <rPh sb="0" eb="1">
      <t>コン</t>
    </rPh>
    <rPh sb="1" eb="2">
      <t>ノ</t>
    </rPh>
    <rPh sb="2" eb="4">
      <t>ケンセツ</t>
    </rPh>
    <phoneticPr fontId="2"/>
  </si>
  <si>
    <t>高瀬一</t>
    <rPh sb="0" eb="2">
      <t>タカセ</t>
    </rPh>
    <rPh sb="2" eb="3">
      <t>ハジメ</t>
    </rPh>
    <phoneticPr fontId="2"/>
  </si>
  <si>
    <t>齋藤勇</t>
    <rPh sb="0" eb="2">
      <t>サイトウ</t>
    </rPh>
    <rPh sb="2" eb="3">
      <t>イサム</t>
    </rPh>
    <phoneticPr fontId="2"/>
  </si>
  <si>
    <t>鍋田益男</t>
    <rPh sb="0" eb="2">
      <t>ナベタ</t>
    </rPh>
    <rPh sb="2" eb="4">
      <t>マスオ</t>
    </rPh>
    <phoneticPr fontId="2"/>
  </si>
  <si>
    <t>班</t>
    <rPh sb="0" eb="1">
      <t>ハン</t>
    </rPh>
    <phoneticPr fontId="1"/>
  </si>
  <si>
    <t>備　考　</t>
    <rPh sb="0" eb="1">
      <t>ソナエ</t>
    </rPh>
    <rPh sb="2" eb="3">
      <t>コウ</t>
    </rPh>
    <phoneticPr fontId="2"/>
  </si>
  <si>
    <t>通番</t>
    <rPh sb="0" eb="1">
      <t>トオ</t>
    </rPh>
    <rPh sb="1" eb="2">
      <t>バン</t>
    </rPh>
    <phoneticPr fontId="1"/>
  </si>
  <si>
    <t>区</t>
    <rPh sb="0" eb="1">
      <t>ク</t>
    </rPh>
    <phoneticPr fontId="1"/>
  </si>
  <si>
    <t>6－66－４　G3</t>
    <phoneticPr fontId="2"/>
  </si>
  <si>
    <t>佐久間明</t>
    <rPh sb="0" eb="3">
      <t>サクマ</t>
    </rPh>
    <rPh sb="3" eb="4">
      <t>アキラ</t>
    </rPh>
    <phoneticPr fontId="2"/>
  </si>
  <si>
    <t>石岡明憲</t>
    <rPh sb="0" eb="1">
      <t>セキ</t>
    </rPh>
    <rPh sb="1" eb="2">
      <t>オカ</t>
    </rPh>
    <rPh sb="2" eb="3">
      <t>メイ</t>
    </rPh>
    <rPh sb="3" eb="4">
      <t>ケン</t>
    </rPh>
    <phoneticPr fontId="2"/>
  </si>
  <si>
    <t>中華料理成都</t>
    <rPh sb="0" eb="2">
      <t>チュウカ</t>
    </rPh>
    <rPh sb="2" eb="4">
      <t>リョウリ</t>
    </rPh>
    <rPh sb="4" eb="5">
      <t>ナ</t>
    </rPh>
    <rPh sb="5" eb="6">
      <t>ミヤコ</t>
    </rPh>
    <phoneticPr fontId="2"/>
  </si>
  <si>
    <t>串一</t>
    <rPh sb="0" eb="1">
      <t>クシ</t>
    </rPh>
    <rPh sb="1" eb="2">
      <t>1</t>
    </rPh>
    <phoneticPr fontId="2"/>
  </si>
  <si>
    <t>秋山芳美</t>
    <rPh sb="0" eb="2">
      <t>アキヤマ</t>
    </rPh>
    <rPh sb="2" eb="4">
      <t>ヨシミ</t>
    </rPh>
    <phoneticPr fontId="2"/>
  </si>
  <si>
    <t>櫻井治</t>
    <rPh sb="0" eb="2">
      <t>サクライ</t>
    </rPh>
    <rPh sb="2" eb="3">
      <t>オサム</t>
    </rPh>
    <phoneticPr fontId="2"/>
  </si>
  <si>
    <t>松永彰</t>
    <rPh sb="0" eb="2">
      <t>マツナガ</t>
    </rPh>
    <rPh sb="2" eb="3">
      <t>アキラ</t>
    </rPh>
    <phoneticPr fontId="2"/>
  </si>
  <si>
    <t>橋本勇</t>
    <rPh sb="0" eb="2">
      <t>ハシモト</t>
    </rPh>
    <rPh sb="2" eb="3">
      <t>イサム</t>
    </rPh>
    <phoneticPr fontId="2"/>
  </si>
  <si>
    <t>首藤睦</t>
    <rPh sb="0" eb="2">
      <t>シュトウ</t>
    </rPh>
    <rPh sb="2" eb="3">
      <t>ムツミ</t>
    </rPh>
    <phoneticPr fontId="2"/>
  </si>
  <si>
    <t>大野誠治</t>
    <rPh sb="0" eb="2">
      <t>オオノ</t>
    </rPh>
    <rPh sb="2" eb="4">
      <t>セイジ</t>
    </rPh>
    <phoneticPr fontId="2"/>
  </si>
  <si>
    <t>青山啓二</t>
    <rPh sb="0" eb="2">
      <t>アオヤマ</t>
    </rPh>
    <rPh sb="2" eb="4">
      <t>ケイジ</t>
    </rPh>
    <phoneticPr fontId="2"/>
  </si>
  <si>
    <t>西田善隆</t>
    <rPh sb="0" eb="2">
      <t>ニシダ</t>
    </rPh>
    <rPh sb="2" eb="4">
      <t>ヨシタカ</t>
    </rPh>
    <phoneticPr fontId="2"/>
  </si>
  <si>
    <t>渡戸正志</t>
    <rPh sb="0" eb="1">
      <t>ワタ</t>
    </rPh>
    <rPh sb="1" eb="2">
      <t>ト</t>
    </rPh>
    <rPh sb="2" eb="4">
      <t>マサシ</t>
    </rPh>
    <phoneticPr fontId="2"/>
  </si>
  <si>
    <t>山合行之</t>
    <rPh sb="0" eb="1">
      <t>ヤマ</t>
    </rPh>
    <rPh sb="1" eb="2">
      <t>ア</t>
    </rPh>
    <rPh sb="2" eb="3">
      <t>ユ</t>
    </rPh>
    <rPh sb="3" eb="4">
      <t>ノ</t>
    </rPh>
    <phoneticPr fontId="2"/>
  </si>
  <si>
    <t>鈴木啓次</t>
    <rPh sb="0" eb="2">
      <t>スズキ</t>
    </rPh>
    <rPh sb="2" eb="4">
      <t>ケイジ</t>
    </rPh>
    <phoneticPr fontId="2"/>
  </si>
  <si>
    <t>小野怜子</t>
    <rPh sb="0" eb="2">
      <t>オノ</t>
    </rPh>
    <rPh sb="2" eb="4">
      <t>レイコ</t>
    </rPh>
    <phoneticPr fontId="2"/>
  </si>
  <si>
    <t>齋藤良一</t>
    <rPh sb="0" eb="2">
      <t>サイトウ</t>
    </rPh>
    <rPh sb="2" eb="4">
      <t>リョウイチ</t>
    </rPh>
    <phoneticPr fontId="2"/>
  </si>
  <si>
    <t>溝口美代子</t>
    <rPh sb="0" eb="2">
      <t>ミゾグチ</t>
    </rPh>
    <rPh sb="2" eb="5">
      <t>ミヨコ</t>
    </rPh>
    <phoneticPr fontId="2"/>
  </si>
  <si>
    <t>宮川正子</t>
    <rPh sb="0" eb="2">
      <t>ミヤガワ</t>
    </rPh>
    <rPh sb="2" eb="4">
      <t>マサコ</t>
    </rPh>
    <phoneticPr fontId="2"/>
  </si>
  <si>
    <t>金子勲</t>
    <rPh sb="0" eb="2">
      <t>カネコ</t>
    </rPh>
    <rPh sb="2" eb="3">
      <t>イサオ</t>
    </rPh>
    <phoneticPr fontId="2"/>
  </si>
  <si>
    <t>藤田範男</t>
    <rPh sb="0" eb="2">
      <t>フジタ</t>
    </rPh>
    <rPh sb="2" eb="4">
      <t>ノリオ</t>
    </rPh>
    <phoneticPr fontId="2"/>
  </si>
  <si>
    <t>前田清孝</t>
    <rPh sb="0" eb="2">
      <t>マエダ</t>
    </rPh>
    <rPh sb="2" eb="4">
      <t>キヨタカ</t>
    </rPh>
    <phoneticPr fontId="2"/>
  </si>
  <si>
    <t>高島秀夫</t>
    <rPh sb="0" eb="2">
      <t>タカシマ</t>
    </rPh>
    <rPh sb="2" eb="4">
      <t>ヒデオ</t>
    </rPh>
    <phoneticPr fontId="2"/>
  </si>
  <si>
    <t>須田公子</t>
    <rPh sb="0" eb="2">
      <t>スダ</t>
    </rPh>
    <rPh sb="2" eb="4">
      <t>キミコ</t>
    </rPh>
    <phoneticPr fontId="2"/>
  </si>
  <si>
    <t>渡邊芳彦</t>
    <rPh sb="0" eb="2">
      <t>ワタナベ</t>
    </rPh>
    <rPh sb="2" eb="4">
      <t>ヨシヒコ</t>
    </rPh>
    <phoneticPr fontId="2"/>
  </si>
  <si>
    <t>矢部謙三</t>
    <rPh sb="0" eb="2">
      <t>ヤベ</t>
    </rPh>
    <rPh sb="2" eb="4">
      <t>ケンゾウ</t>
    </rPh>
    <phoneticPr fontId="2"/>
  </si>
  <si>
    <t>伊藤健二</t>
    <rPh sb="0" eb="2">
      <t>イトウ</t>
    </rPh>
    <rPh sb="2" eb="4">
      <t>ケンジ</t>
    </rPh>
    <phoneticPr fontId="2"/>
  </si>
  <si>
    <t>荒井照男</t>
    <rPh sb="0" eb="2">
      <t>アライ</t>
    </rPh>
    <rPh sb="2" eb="4">
      <t>テルオ</t>
    </rPh>
    <phoneticPr fontId="2"/>
  </si>
  <si>
    <t>佐々木宏子</t>
    <rPh sb="0" eb="3">
      <t>ササキ</t>
    </rPh>
    <rPh sb="3" eb="5">
      <t>ヒロコ</t>
    </rPh>
    <phoneticPr fontId="2"/>
  </si>
  <si>
    <t>佐々木雅浩</t>
    <rPh sb="0" eb="3">
      <t>ササキ</t>
    </rPh>
    <rPh sb="3" eb="5">
      <t>マサヒロ</t>
    </rPh>
    <phoneticPr fontId="2"/>
  </si>
  <si>
    <t>森良枝</t>
    <rPh sb="0" eb="1">
      <t>モリ</t>
    </rPh>
    <rPh sb="1" eb="2">
      <t>ヨ</t>
    </rPh>
    <rPh sb="2" eb="3">
      <t>エ</t>
    </rPh>
    <phoneticPr fontId="2"/>
  </si>
  <si>
    <t>杉森正博</t>
    <rPh sb="0" eb="2">
      <t>スギモリ</t>
    </rPh>
    <rPh sb="2" eb="4">
      <t>マサヒロ</t>
    </rPh>
    <phoneticPr fontId="2"/>
  </si>
  <si>
    <t>山口明良</t>
    <rPh sb="0" eb="2">
      <t>ヤマグチ</t>
    </rPh>
    <rPh sb="2" eb="3">
      <t>アキラ</t>
    </rPh>
    <rPh sb="3" eb="4">
      <t>リョウ</t>
    </rPh>
    <phoneticPr fontId="2"/>
  </si>
  <si>
    <t>小田切幸男</t>
    <rPh sb="0" eb="3">
      <t>オダギリ</t>
    </rPh>
    <rPh sb="3" eb="5">
      <t>ユキオ</t>
    </rPh>
    <phoneticPr fontId="2"/>
  </si>
  <si>
    <t>矢畑進</t>
    <rPh sb="0" eb="1">
      <t>ヤ</t>
    </rPh>
    <rPh sb="1" eb="2">
      <t>ハタ</t>
    </rPh>
    <rPh sb="2" eb="3">
      <t>スス</t>
    </rPh>
    <phoneticPr fontId="2"/>
  </si>
  <si>
    <t>高橋昭仁</t>
    <rPh sb="0" eb="2">
      <t>タカハシ</t>
    </rPh>
    <rPh sb="2" eb="3">
      <t>ショウ</t>
    </rPh>
    <rPh sb="3" eb="4">
      <t>ジン</t>
    </rPh>
    <phoneticPr fontId="2"/>
  </si>
  <si>
    <t>雨海正男</t>
    <rPh sb="0" eb="1">
      <t>アメ</t>
    </rPh>
    <rPh sb="1" eb="2">
      <t>ウミ</t>
    </rPh>
    <rPh sb="2" eb="4">
      <t>マサオ</t>
    </rPh>
    <phoneticPr fontId="2"/>
  </si>
  <si>
    <t>高橋博満</t>
    <rPh sb="0" eb="2">
      <t>タカハシ</t>
    </rPh>
    <rPh sb="2" eb="3">
      <t>ヒロシ</t>
    </rPh>
    <rPh sb="3" eb="4">
      <t>マン</t>
    </rPh>
    <phoneticPr fontId="2"/>
  </si>
  <si>
    <t>小澤正行</t>
    <rPh sb="0" eb="2">
      <t>オザワ</t>
    </rPh>
    <rPh sb="2" eb="4">
      <t>マサユキ</t>
    </rPh>
    <phoneticPr fontId="2"/>
  </si>
  <si>
    <t>福島紀一</t>
    <rPh sb="0" eb="2">
      <t>フクシマ</t>
    </rPh>
    <rPh sb="2" eb="4">
      <t>キイチ</t>
    </rPh>
    <phoneticPr fontId="2"/>
  </si>
  <si>
    <t>佐野和弘</t>
    <rPh sb="0" eb="2">
      <t>サノ</t>
    </rPh>
    <rPh sb="2" eb="4">
      <t>カズヒロ</t>
    </rPh>
    <phoneticPr fontId="2"/>
  </si>
  <si>
    <t>橋本岳</t>
    <rPh sb="0" eb="2">
      <t>ハシモト</t>
    </rPh>
    <rPh sb="2" eb="3">
      <t>ダケ</t>
    </rPh>
    <phoneticPr fontId="2"/>
  </si>
  <si>
    <t>小松誠</t>
    <rPh sb="0" eb="2">
      <t>コマツ</t>
    </rPh>
    <rPh sb="2" eb="3">
      <t>マコト</t>
    </rPh>
    <phoneticPr fontId="2"/>
  </si>
  <si>
    <t>霜村紀子</t>
    <rPh sb="0" eb="2">
      <t>シモムラ</t>
    </rPh>
    <rPh sb="2" eb="4">
      <t>ノリコ</t>
    </rPh>
    <phoneticPr fontId="2"/>
  </si>
  <si>
    <t>岩垂晴夫</t>
    <rPh sb="0" eb="2">
      <t>イワタレ</t>
    </rPh>
    <rPh sb="2" eb="4">
      <t>ハルオ</t>
    </rPh>
    <phoneticPr fontId="2"/>
  </si>
  <si>
    <t>斉田芳久</t>
    <rPh sb="0" eb="2">
      <t>サイタ</t>
    </rPh>
    <rPh sb="2" eb="4">
      <t>ヨシヒサ</t>
    </rPh>
    <phoneticPr fontId="2"/>
  </si>
  <si>
    <t>安藤豊美</t>
    <rPh sb="0" eb="2">
      <t>アンドウ</t>
    </rPh>
    <rPh sb="2" eb="4">
      <t>トヨミ</t>
    </rPh>
    <phoneticPr fontId="2"/>
  </si>
  <si>
    <t>森原初枝</t>
    <rPh sb="0" eb="2">
      <t>モリハラ</t>
    </rPh>
    <rPh sb="2" eb="4">
      <t>ハツエ</t>
    </rPh>
    <phoneticPr fontId="2"/>
  </si>
  <si>
    <t>佐々木誠</t>
    <rPh sb="0" eb="3">
      <t>ササキ</t>
    </rPh>
    <rPh sb="3" eb="4">
      <t>マコト</t>
    </rPh>
    <phoneticPr fontId="2"/>
  </si>
  <si>
    <t>田口英弼</t>
    <rPh sb="0" eb="2">
      <t>タグチ</t>
    </rPh>
    <rPh sb="2" eb="3">
      <t>エイ</t>
    </rPh>
    <rPh sb="3" eb="4">
      <t>タスク</t>
    </rPh>
    <phoneticPr fontId="2"/>
  </si>
  <si>
    <t>三井雅子</t>
    <rPh sb="0" eb="2">
      <t>ミツイ</t>
    </rPh>
    <rPh sb="2" eb="4">
      <t>マサコ</t>
    </rPh>
    <phoneticPr fontId="2"/>
  </si>
  <si>
    <t>勇士時生</t>
    <rPh sb="0" eb="2">
      <t>ユウシ</t>
    </rPh>
    <rPh sb="2" eb="4">
      <t>トキオ</t>
    </rPh>
    <phoneticPr fontId="2"/>
  </si>
  <si>
    <t>宮下忠夫</t>
    <rPh sb="0" eb="2">
      <t>ミヤシタ</t>
    </rPh>
    <rPh sb="2" eb="4">
      <t>タダオ</t>
    </rPh>
    <phoneticPr fontId="2"/>
  </si>
  <si>
    <t>黒部綾</t>
    <rPh sb="0" eb="2">
      <t>クロベ</t>
    </rPh>
    <rPh sb="2" eb="3">
      <t>アヤ</t>
    </rPh>
    <phoneticPr fontId="2"/>
  </si>
  <si>
    <t>小林晃</t>
    <rPh sb="0" eb="2">
      <t>コバヤシ</t>
    </rPh>
    <rPh sb="2" eb="3">
      <t>アキラ</t>
    </rPh>
    <phoneticPr fontId="2"/>
  </si>
  <si>
    <t>井波純一</t>
    <rPh sb="0" eb="2">
      <t>イナミ</t>
    </rPh>
    <rPh sb="2" eb="3">
      <t>ジュン</t>
    </rPh>
    <rPh sb="3" eb="4">
      <t>イチ</t>
    </rPh>
    <phoneticPr fontId="2"/>
  </si>
  <si>
    <t>冨山厚</t>
    <rPh sb="0" eb="2">
      <t>トミヤマ</t>
    </rPh>
    <rPh sb="2" eb="3">
      <t>アツシ</t>
    </rPh>
    <phoneticPr fontId="2"/>
  </si>
  <si>
    <t>宗像進</t>
    <rPh sb="0" eb="2">
      <t>ムナカタ</t>
    </rPh>
    <rPh sb="2" eb="3">
      <t>ススム</t>
    </rPh>
    <phoneticPr fontId="2"/>
  </si>
  <si>
    <t>関根伸成</t>
    <rPh sb="0" eb="2">
      <t>セキネ</t>
    </rPh>
    <rPh sb="2" eb="3">
      <t>ノブ</t>
    </rPh>
    <rPh sb="3" eb="4">
      <t>ナリ</t>
    </rPh>
    <phoneticPr fontId="2"/>
  </si>
  <si>
    <t>阿部治</t>
    <rPh sb="0" eb="2">
      <t>アベ</t>
    </rPh>
    <rPh sb="2" eb="3">
      <t>オサム</t>
    </rPh>
    <phoneticPr fontId="2"/>
  </si>
  <si>
    <t>内山巧</t>
    <rPh sb="0" eb="2">
      <t>ウチヤマ</t>
    </rPh>
    <rPh sb="2" eb="3">
      <t>コウ</t>
    </rPh>
    <phoneticPr fontId="2"/>
  </si>
  <si>
    <t>大塚孝史</t>
    <rPh sb="0" eb="2">
      <t>オオツカ</t>
    </rPh>
    <rPh sb="2" eb="4">
      <t>タカシ</t>
    </rPh>
    <phoneticPr fontId="2"/>
  </si>
  <si>
    <t>鴨崎昶美</t>
    <rPh sb="0" eb="1">
      <t>カモ</t>
    </rPh>
    <rPh sb="1" eb="2">
      <t>ザキ</t>
    </rPh>
    <rPh sb="2" eb="3">
      <t>アキラ</t>
    </rPh>
    <rPh sb="3" eb="4">
      <t>ミ</t>
    </rPh>
    <phoneticPr fontId="2"/>
  </si>
  <si>
    <t>杉本一久</t>
    <rPh sb="0" eb="2">
      <t>スギモト</t>
    </rPh>
    <rPh sb="2" eb="4">
      <t>カズヒサ</t>
    </rPh>
    <phoneticPr fontId="2"/>
  </si>
  <si>
    <t>佐藤和朗</t>
    <rPh sb="0" eb="2">
      <t>サトウ</t>
    </rPh>
    <rPh sb="2" eb="4">
      <t>カズロウ</t>
    </rPh>
    <phoneticPr fontId="2"/>
  </si>
  <si>
    <t>堀江善幸</t>
    <rPh sb="0" eb="2">
      <t>ホリエ</t>
    </rPh>
    <rPh sb="2" eb="4">
      <t>ゼンコウ</t>
    </rPh>
    <phoneticPr fontId="2"/>
  </si>
  <si>
    <t>稲橋義治</t>
    <rPh sb="0" eb="1">
      <t>イナ</t>
    </rPh>
    <rPh sb="1" eb="2">
      <t>ハシ</t>
    </rPh>
    <rPh sb="2" eb="4">
      <t>ヨシハル</t>
    </rPh>
    <phoneticPr fontId="2"/>
  </si>
  <si>
    <t>水内鶴男</t>
    <rPh sb="0" eb="2">
      <t>ミズウチ</t>
    </rPh>
    <rPh sb="2" eb="4">
      <t>ツルオ</t>
    </rPh>
    <phoneticPr fontId="2"/>
  </si>
  <si>
    <t>八子秀五郎</t>
    <rPh sb="0" eb="1">
      <t>8</t>
    </rPh>
    <rPh sb="1" eb="2">
      <t>コ</t>
    </rPh>
    <rPh sb="2" eb="3">
      <t>ヒデ</t>
    </rPh>
    <rPh sb="3" eb="5">
      <t>ゴロウ</t>
    </rPh>
    <phoneticPr fontId="2"/>
  </si>
  <si>
    <t>内田純久</t>
    <rPh sb="0" eb="2">
      <t>ウチダ</t>
    </rPh>
    <rPh sb="2" eb="3">
      <t>ジュン</t>
    </rPh>
    <rPh sb="3" eb="4">
      <t>ヒサ</t>
    </rPh>
    <phoneticPr fontId="2"/>
  </si>
  <si>
    <t>金井六平</t>
    <rPh sb="0" eb="2">
      <t>カナイ</t>
    </rPh>
    <rPh sb="2" eb="3">
      <t>ロッ</t>
    </rPh>
    <rPh sb="3" eb="4">
      <t>ヘイ</t>
    </rPh>
    <phoneticPr fontId="2"/>
  </si>
  <si>
    <t>鈴木由美子</t>
    <rPh sb="0" eb="2">
      <t>スズキ</t>
    </rPh>
    <rPh sb="2" eb="5">
      <t>ユミコ</t>
    </rPh>
    <phoneticPr fontId="2"/>
  </si>
  <si>
    <t>藤巻明子</t>
    <rPh sb="0" eb="2">
      <t>フジマキ</t>
    </rPh>
    <rPh sb="2" eb="4">
      <t>アキコ</t>
    </rPh>
    <phoneticPr fontId="2"/>
  </si>
  <si>
    <t>軍司由利子</t>
    <rPh sb="0" eb="2">
      <t>グンジ</t>
    </rPh>
    <rPh sb="2" eb="5">
      <t>ユリコ</t>
    </rPh>
    <phoneticPr fontId="2"/>
  </si>
  <si>
    <t>多和エイ子</t>
    <rPh sb="0" eb="1">
      <t>タ</t>
    </rPh>
    <rPh sb="1" eb="2">
      <t>ワ</t>
    </rPh>
    <rPh sb="4" eb="5">
      <t>コ</t>
    </rPh>
    <phoneticPr fontId="2"/>
  </si>
  <si>
    <t>中島京子</t>
    <rPh sb="0" eb="2">
      <t>ナカジマ</t>
    </rPh>
    <rPh sb="2" eb="4">
      <t>キョウコ</t>
    </rPh>
    <phoneticPr fontId="2"/>
  </si>
  <si>
    <t>山下信子</t>
    <rPh sb="0" eb="2">
      <t>ヤマシタ</t>
    </rPh>
    <rPh sb="2" eb="4">
      <t>ノブコ</t>
    </rPh>
    <phoneticPr fontId="2"/>
  </si>
  <si>
    <t>志田武</t>
    <rPh sb="0" eb="2">
      <t>シダ</t>
    </rPh>
    <rPh sb="2" eb="3">
      <t>タケシ</t>
    </rPh>
    <phoneticPr fontId="2"/>
  </si>
  <si>
    <t>熊本義明</t>
    <rPh sb="0" eb="2">
      <t>クマモト</t>
    </rPh>
    <rPh sb="2" eb="4">
      <t>ヨシアキ</t>
    </rPh>
    <phoneticPr fontId="2"/>
  </si>
  <si>
    <t>山田つるゑ</t>
    <rPh sb="0" eb="2">
      <t>ヤマダ</t>
    </rPh>
    <phoneticPr fontId="2"/>
  </si>
  <si>
    <t>渡邊俊郎</t>
    <rPh sb="0" eb="2">
      <t>ワタナベ</t>
    </rPh>
    <rPh sb="2" eb="4">
      <t>トシロウ</t>
    </rPh>
    <phoneticPr fontId="2"/>
  </si>
  <si>
    <t>松村和彦</t>
    <rPh sb="0" eb="2">
      <t>マツムラ</t>
    </rPh>
    <rPh sb="2" eb="4">
      <t>カズヒコ</t>
    </rPh>
    <phoneticPr fontId="2"/>
  </si>
  <si>
    <t>菅原憲治</t>
    <rPh sb="0" eb="2">
      <t>スガハラ</t>
    </rPh>
    <rPh sb="2" eb="4">
      <t>ケンジ</t>
    </rPh>
    <phoneticPr fontId="2"/>
  </si>
  <si>
    <t>三浦豊治</t>
    <rPh sb="0" eb="2">
      <t>ミウラ</t>
    </rPh>
    <rPh sb="2" eb="4">
      <t>トヨハル</t>
    </rPh>
    <phoneticPr fontId="2"/>
  </si>
  <si>
    <t>水内美治</t>
    <rPh sb="0" eb="2">
      <t>ミズウチ</t>
    </rPh>
    <rPh sb="2" eb="4">
      <t>ヨシハル</t>
    </rPh>
    <phoneticPr fontId="2"/>
  </si>
  <si>
    <t>長沼千賀子</t>
    <rPh sb="0" eb="2">
      <t>ナガヌマ</t>
    </rPh>
    <rPh sb="2" eb="5">
      <t>チカコ</t>
    </rPh>
    <phoneticPr fontId="2"/>
  </si>
  <si>
    <t>中原真一</t>
    <rPh sb="0" eb="2">
      <t>ナカハラ</t>
    </rPh>
    <rPh sb="2" eb="3">
      <t>シン</t>
    </rPh>
    <rPh sb="3" eb="4">
      <t>イチ</t>
    </rPh>
    <phoneticPr fontId="2"/>
  </si>
  <si>
    <t>菅野吉幸</t>
    <rPh sb="0" eb="2">
      <t>スゲノ</t>
    </rPh>
    <rPh sb="2" eb="4">
      <t>ヨシユキ</t>
    </rPh>
    <phoneticPr fontId="2"/>
  </si>
  <si>
    <t>電　　話</t>
    <rPh sb="0" eb="1">
      <t>デン</t>
    </rPh>
    <rPh sb="3" eb="4">
      <t>ワ</t>
    </rPh>
    <phoneticPr fontId="2"/>
  </si>
  <si>
    <t>6－68-14 G2　</t>
    <phoneticPr fontId="1"/>
  </si>
  <si>
    <t>ｱｼﾞﾄ中村みどり</t>
    <rPh sb="4" eb="6">
      <t>ナカムラ</t>
    </rPh>
    <phoneticPr fontId="2"/>
  </si>
  <si>
    <t>杉山</t>
    <rPh sb="0" eb="2">
      <t>スギヤマ</t>
    </rPh>
    <phoneticPr fontId="2"/>
  </si>
  <si>
    <t>遠山美代子</t>
    <rPh sb="0" eb="2">
      <t>トオヤマ</t>
    </rPh>
    <rPh sb="2" eb="5">
      <t>ミヨコ</t>
    </rPh>
    <phoneticPr fontId="2"/>
  </si>
  <si>
    <t>渋江康弘</t>
    <rPh sb="0" eb="2">
      <t>シブエ</t>
    </rPh>
    <rPh sb="2" eb="4">
      <t>ヤスヒロ</t>
    </rPh>
    <phoneticPr fontId="2"/>
  </si>
  <si>
    <t>小池弘</t>
    <rPh sb="0" eb="2">
      <t>コイケ</t>
    </rPh>
    <rPh sb="2" eb="3">
      <t>ヒロシ</t>
    </rPh>
    <phoneticPr fontId="2"/>
  </si>
  <si>
    <t>上田千代</t>
    <rPh sb="0" eb="2">
      <t>ウエダ</t>
    </rPh>
    <rPh sb="2" eb="4">
      <t>チヨ</t>
    </rPh>
    <phoneticPr fontId="2"/>
  </si>
  <si>
    <t>吉田千恵子</t>
    <rPh sb="0" eb="2">
      <t>ヨシダ</t>
    </rPh>
    <rPh sb="2" eb="5">
      <t>チエコ</t>
    </rPh>
    <phoneticPr fontId="2"/>
  </si>
  <si>
    <t>中根佳江</t>
    <rPh sb="0" eb="2">
      <t>ナカネ</t>
    </rPh>
    <rPh sb="2" eb="4">
      <t>ヨシエ</t>
    </rPh>
    <phoneticPr fontId="2"/>
  </si>
  <si>
    <t>6－20-39</t>
    <phoneticPr fontId="2"/>
  </si>
  <si>
    <t>6－20-41</t>
    <phoneticPr fontId="2"/>
  </si>
  <si>
    <t>6－20-35</t>
    <phoneticPr fontId="2"/>
  </si>
  <si>
    <t>6－20-34</t>
    <phoneticPr fontId="2"/>
  </si>
  <si>
    <t>6－20-44</t>
    <phoneticPr fontId="2"/>
  </si>
  <si>
    <t>6－20-43</t>
    <phoneticPr fontId="2"/>
  </si>
  <si>
    <t>6－20-42</t>
    <phoneticPr fontId="2"/>
  </si>
  <si>
    <t>6－17-34</t>
    <phoneticPr fontId="2"/>
  </si>
  <si>
    <t>6－16-16</t>
    <phoneticPr fontId="2"/>
  </si>
  <si>
    <t>6－17-28</t>
    <phoneticPr fontId="2"/>
  </si>
  <si>
    <t>6－16-18</t>
    <phoneticPr fontId="2"/>
  </si>
  <si>
    <t>6－17-35</t>
    <phoneticPr fontId="2"/>
  </si>
  <si>
    <t>6－16-8</t>
    <phoneticPr fontId="2"/>
  </si>
  <si>
    <t>6－17-30</t>
    <phoneticPr fontId="2"/>
  </si>
  <si>
    <t>6－16-17</t>
    <phoneticPr fontId="2"/>
  </si>
  <si>
    <t>6－17-39</t>
    <phoneticPr fontId="2"/>
  </si>
  <si>
    <t>6－16-11</t>
    <phoneticPr fontId="2"/>
  </si>
  <si>
    <t>861－0114</t>
    <phoneticPr fontId="2"/>
  </si>
  <si>
    <t>861－2218</t>
    <phoneticPr fontId="2"/>
  </si>
  <si>
    <t>名取眞代</t>
    <rPh sb="0" eb="2">
      <t>ナトリ</t>
    </rPh>
    <rPh sb="2" eb="3">
      <t>シン</t>
    </rPh>
    <rPh sb="3" eb="4">
      <t>ダイ</t>
    </rPh>
    <phoneticPr fontId="1"/>
  </si>
  <si>
    <t>ﾊｲﾂ小林103</t>
    <rPh sb="3" eb="5">
      <t>コバヤシ</t>
    </rPh>
    <phoneticPr fontId="1"/>
  </si>
  <si>
    <t>濱名誠</t>
    <rPh sb="0" eb="1">
      <t>ハマ</t>
    </rPh>
    <rPh sb="1" eb="2">
      <t>メイ</t>
    </rPh>
    <rPh sb="2" eb="3">
      <t>マコト</t>
    </rPh>
    <phoneticPr fontId="1"/>
  </si>
  <si>
    <t>6-14-8</t>
    <phoneticPr fontId="1"/>
  </si>
  <si>
    <t>6－20・40</t>
  </si>
  <si>
    <t>861－3123</t>
    <phoneticPr fontId="2"/>
  </si>
  <si>
    <t>090-9204-3671</t>
    <phoneticPr fontId="1"/>
  </si>
  <si>
    <t>玉田義輝</t>
    <rPh sb="0" eb="1">
      <t>タマ</t>
    </rPh>
    <rPh sb="1" eb="2">
      <t>タ</t>
    </rPh>
    <rPh sb="2" eb="4">
      <t>ヨシテル</t>
    </rPh>
    <phoneticPr fontId="2"/>
  </si>
  <si>
    <t>090-8778-2829</t>
    <phoneticPr fontId="2"/>
  </si>
  <si>
    <t>乾タツ子</t>
    <rPh sb="0" eb="1">
      <t>イヌイ</t>
    </rPh>
    <rPh sb="3" eb="4">
      <t>コ</t>
    </rPh>
    <phoneticPr fontId="2"/>
  </si>
  <si>
    <t>伊藤一樹</t>
    <rPh sb="0" eb="2">
      <t>イトウ</t>
    </rPh>
    <rPh sb="2" eb="4">
      <t>カズキ</t>
    </rPh>
    <phoneticPr fontId="2"/>
  </si>
  <si>
    <t>鎌田智士</t>
    <rPh sb="0" eb="2">
      <t>カマタ</t>
    </rPh>
    <rPh sb="2" eb="3">
      <t>サトシ</t>
    </rPh>
    <rPh sb="3" eb="4">
      <t>シ</t>
    </rPh>
    <phoneticPr fontId="1"/>
  </si>
  <si>
    <t>090-7416-4378</t>
    <phoneticPr fontId="1"/>
  </si>
  <si>
    <t>503号室</t>
    <rPh sb="3" eb="5">
      <t>ゴウシツ</t>
    </rPh>
    <phoneticPr fontId="1"/>
  </si>
  <si>
    <t>高橋則篤</t>
    <rPh sb="0" eb="2">
      <t>タカハシ</t>
    </rPh>
    <rPh sb="2" eb="3">
      <t>ノリ</t>
    </rPh>
    <rPh sb="3" eb="4">
      <t>アツシ</t>
    </rPh>
    <phoneticPr fontId="2"/>
  </si>
  <si>
    <t>マミークリーニング</t>
    <phoneticPr fontId="1"/>
  </si>
  <si>
    <t>爲廣哲朗</t>
    <rPh sb="0" eb="1">
      <t>タメ</t>
    </rPh>
    <rPh sb="1" eb="2">
      <t>ヒロシ</t>
    </rPh>
    <rPh sb="2" eb="4">
      <t>テツロウ</t>
    </rPh>
    <phoneticPr fontId="1"/>
  </si>
  <si>
    <t>西田裕亮</t>
    <rPh sb="0" eb="2">
      <t>ニシダ</t>
    </rPh>
    <rPh sb="2" eb="3">
      <t>ヒロシ</t>
    </rPh>
    <rPh sb="3" eb="4">
      <t>リョウ</t>
    </rPh>
    <phoneticPr fontId="2"/>
  </si>
  <si>
    <t>080-5654-9297</t>
    <phoneticPr fontId="2"/>
  </si>
  <si>
    <t>ゆうすけ茉里奈</t>
    <rPh sb="4" eb="7">
      <t>マリナ</t>
    </rPh>
    <phoneticPr fontId="1"/>
  </si>
  <si>
    <t>佐藤清</t>
    <rPh sb="0" eb="2">
      <t>サトウ</t>
    </rPh>
    <rPh sb="2" eb="3">
      <t>キヨシ</t>
    </rPh>
    <phoneticPr fontId="1"/>
  </si>
  <si>
    <t>861－6235</t>
    <phoneticPr fontId="2"/>
  </si>
  <si>
    <t>林信行</t>
    <rPh sb="0" eb="1">
      <t>ハヤシ</t>
    </rPh>
    <rPh sb="1" eb="3">
      <t>ノブユキ</t>
    </rPh>
    <phoneticPr fontId="2"/>
  </si>
  <si>
    <t>090-3916-4588</t>
    <phoneticPr fontId="2"/>
  </si>
  <si>
    <t>H29.4～</t>
    <phoneticPr fontId="1"/>
  </si>
  <si>
    <t>長谷川聡</t>
    <rPh sb="0" eb="3">
      <t>ハセガワ</t>
    </rPh>
    <rPh sb="3" eb="4">
      <t>サトシ</t>
    </rPh>
    <phoneticPr fontId="1"/>
  </si>
  <si>
    <t>須田昭</t>
    <rPh sb="0" eb="2">
      <t>スダ</t>
    </rPh>
    <rPh sb="2" eb="3">
      <t>アキラ</t>
    </rPh>
    <phoneticPr fontId="2"/>
  </si>
  <si>
    <t>齋藤耕平</t>
    <rPh sb="0" eb="2">
      <t>サイトウ</t>
    </rPh>
    <rPh sb="2" eb="4">
      <t>コウヘイ</t>
    </rPh>
    <phoneticPr fontId="1"/>
  </si>
  <si>
    <t>吉田順子</t>
    <rPh sb="0" eb="2">
      <t>ヨシダ</t>
    </rPh>
    <rPh sb="2" eb="4">
      <t>ジュンコ</t>
    </rPh>
    <phoneticPr fontId="2"/>
  </si>
  <si>
    <t>手塚文子</t>
    <rPh sb="0" eb="2">
      <t>テツカ</t>
    </rPh>
    <rPh sb="2" eb="4">
      <t>フミコ</t>
    </rPh>
    <phoneticPr fontId="2"/>
  </si>
  <si>
    <t>齋藤和枝</t>
    <rPh sb="0" eb="2">
      <t>サイトウ</t>
    </rPh>
    <rPh sb="2" eb="4">
      <t>カズエ</t>
    </rPh>
    <phoneticPr fontId="1"/>
  </si>
  <si>
    <t>861－1010</t>
    <phoneticPr fontId="2"/>
  </si>
  <si>
    <t>鈴木洋一</t>
    <rPh sb="0" eb="2">
      <t>スズキ</t>
    </rPh>
    <rPh sb="2" eb="4">
      <t>ヨウイチ</t>
    </rPh>
    <phoneticPr fontId="1"/>
  </si>
  <si>
    <t>小山米子</t>
    <rPh sb="0" eb="2">
      <t>コヤマ</t>
    </rPh>
    <rPh sb="2" eb="4">
      <t>ヨネコ</t>
    </rPh>
    <phoneticPr fontId="2"/>
  </si>
  <si>
    <t>鳥居スミヱ</t>
    <rPh sb="0" eb="2">
      <t>トリイ</t>
    </rPh>
    <phoneticPr fontId="2"/>
  </si>
  <si>
    <t>橘鷹裕介</t>
    <rPh sb="0" eb="1">
      <t>タチバナ</t>
    </rPh>
    <rPh sb="1" eb="2">
      <t>タカ</t>
    </rPh>
    <rPh sb="2" eb="4">
      <t>ユウスケ</t>
    </rPh>
    <phoneticPr fontId="2"/>
  </si>
  <si>
    <t>千葉満</t>
    <rPh sb="0" eb="2">
      <t>チバ</t>
    </rPh>
    <rPh sb="2" eb="3">
      <t>ミツル</t>
    </rPh>
    <phoneticPr fontId="1"/>
  </si>
  <si>
    <t>502号室</t>
    <rPh sb="3" eb="5">
      <t>ゴウシツ</t>
    </rPh>
    <phoneticPr fontId="1"/>
  </si>
  <si>
    <t>佐藤シズエ</t>
    <rPh sb="0" eb="2">
      <t>サトウ</t>
    </rPh>
    <phoneticPr fontId="2"/>
  </si>
  <si>
    <t>星川ツル</t>
    <rPh sb="0" eb="2">
      <t>ホシカワ</t>
    </rPh>
    <phoneticPr fontId="2"/>
  </si>
  <si>
    <t>稲葉政志</t>
    <rPh sb="0" eb="2">
      <t>イナバ</t>
    </rPh>
    <rPh sb="2" eb="4">
      <t>マサシ</t>
    </rPh>
    <phoneticPr fontId="2"/>
  </si>
  <si>
    <t>倉邉雅光</t>
    <rPh sb="0" eb="1">
      <t>クラ</t>
    </rPh>
    <rPh sb="1" eb="2">
      <t>ベ</t>
    </rPh>
    <rPh sb="2" eb="4">
      <t>マサミツ</t>
    </rPh>
    <phoneticPr fontId="2"/>
  </si>
  <si>
    <t>渡辺八重子</t>
    <rPh sb="0" eb="2">
      <t>ワタナベ</t>
    </rPh>
    <rPh sb="2" eb="5">
      <t>ヤエコ</t>
    </rPh>
    <phoneticPr fontId="2"/>
  </si>
  <si>
    <t>冨田剛</t>
    <rPh sb="0" eb="2">
      <t>トミタ</t>
    </rPh>
    <rPh sb="2" eb="3">
      <t>ツヨシ</t>
    </rPh>
    <phoneticPr fontId="1"/>
  </si>
  <si>
    <t>6-63-27</t>
    <phoneticPr fontId="1"/>
  </si>
  <si>
    <t>090-7828-7469</t>
    <phoneticPr fontId="1"/>
  </si>
  <si>
    <t>H31.1-</t>
    <phoneticPr fontId="1"/>
  </si>
  <si>
    <t>090-1604-7097</t>
    <phoneticPr fontId="2"/>
  </si>
  <si>
    <t>H31.4～</t>
    <phoneticPr fontId="1"/>
  </si>
  <si>
    <t>前田拓也</t>
    <rPh sb="0" eb="2">
      <t>マエダ</t>
    </rPh>
    <rPh sb="2" eb="4">
      <t>タクヤ</t>
    </rPh>
    <phoneticPr fontId="1"/>
  </si>
  <si>
    <t>090-1698-7304</t>
    <phoneticPr fontId="1"/>
  </si>
  <si>
    <t>瀧下なつみ</t>
    <rPh sb="0" eb="1">
      <t xml:space="preserve">タキモト </t>
    </rPh>
    <rPh sb="1" eb="2">
      <t xml:space="preserve">シタ </t>
    </rPh>
    <phoneticPr fontId="1"/>
  </si>
  <si>
    <t>堀井広樹</t>
    <rPh sb="0" eb="1">
      <t xml:space="preserve">ホリイ </t>
    </rPh>
    <rPh sb="2" eb="4">
      <t xml:space="preserve">ヒロキ </t>
    </rPh>
    <phoneticPr fontId="1"/>
  </si>
  <si>
    <t>080-5417-6576</t>
    <phoneticPr fontId="1"/>
  </si>
  <si>
    <t>R1.5〜</t>
    <phoneticPr fontId="1"/>
  </si>
  <si>
    <t>6-63-7</t>
    <phoneticPr fontId="1"/>
  </si>
  <si>
    <t>090-3406-1011</t>
    <phoneticPr fontId="1"/>
  </si>
  <si>
    <t>赤荻薫子</t>
    <rPh sb="0" eb="2">
      <t>アカオギ</t>
    </rPh>
    <rPh sb="2" eb="3">
      <t xml:space="preserve">カオル </t>
    </rPh>
    <rPh sb="3" eb="4">
      <t>コ</t>
    </rPh>
    <phoneticPr fontId="2"/>
  </si>
  <si>
    <t>2019修さん逝去</t>
    <phoneticPr fontId="1"/>
  </si>
  <si>
    <t>2019光太郎さん逝去</t>
    <phoneticPr fontId="1"/>
  </si>
  <si>
    <t>網倉潤子</t>
    <rPh sb="0" eb="2">
      <t>アミクラコウタロウ</t>
    </rPh>
    <phoneticPr fontId="2"/>
  </si>
  <si>
    <t>御薗節子</t>
    <rPh sb="0" eb="2">
      <t>ミソノ</t>
    </rPh>
    <phoneticPr fontId="2"/>
  </si>
  <si>
    <t>三橋眞弓</t>
    <rPh sb="0" eb="2">
      <t>ミツハシ</t>
    </rPh>
    <rPh sb="2" eb="4">
      <t xml:space="preserve">マユミ </t>
    </rPh>
    <phoneticPr fontId="2"/>
  </si>
  <si>
    <t>No.</t>
    <phoneticPr fontId="2"/>
  </si>
  <si>
    <t>武藤親弘</t>
    <rPh sb="0" eb="2">
      <t>ムトウ</t>
    </rPh>
    <rPh sb="2" eb="3">
      <t>オヤ</t>
    </rPh>
    <rPh sb="3" eb="4">
      <t>ヒロシ</t>
    </rPh>
    <phoneticPr fontId="2"/>
  </si>
  <si>
    <t>福寿早苗</t>
    <rPh sb="0" eb="2">
      <t>フクジュ</t>
    </rPh>
    <rPh sb="2" eb="4">
      <t>サナエ</t>
    </rPh>
    <phoneticPr fontId="2"/>
  </si>
  <si>
    <t>山岸靖子</t>
    <rPh sb="0" eb="2">
      <t>ヤマギシ</t>
    </rPh>
    <rPh sb="2" eb="4">
      <t>ヤスコ</t>
    </rPh>
    <phoneticPr fontId="1"/>
  </si>
  <si>
    <t>304号室</t>
    <rPh sb="3" eb="4">
      <t>ゴウ</t>
    </rPh>
    <rPh sb="4" eb="5">
      <t>シツ</t>
    </rPh>
    <phoneticPr fontId="2"/>
  </si>
  <si>
    <t>鹿野絵里子</t>
    <rPh sb="0" eb="2">
      <t>シカノ</t>
    </rPh>
    <rPh sb="2" eb="5">
      <t>エリコ</t>
    </rPh>
    <phoneticPr fontId="2"/>
  </si>
  <si>
    <t>中村治子</t>
    <rPh sb="0" eb="2">
      <t>ナカムラ</t>
    </rPh>
    <rPh sb="2" eb="4">
      <t>ハルコ</t>
    </rPh>
    <phoneticPr fontId="2"/>
  </si>
  <si>
    <t>小原友美</t>
    <rPh sb="0" eb="2">
      <t xml:space="preserve">オバラ </t>
    </rPh>
    <rPh sb="2" eb="4">
      <t xml:space="preserve">トモミ </t>
    </rPh>
    <phoneticPr fontId="2"/>
  </si>
  <si>
    <t>6－19－2</t>
    <phoneticPr fontId="2"/>
  </si>
  <si>
    <t>080-6542-0035</t>
    <phoneticPr fontId="1"/>
  </si>
  <si>
    <t>評議員</t>
    <rPh sb="0" eb="3">
      <t xml:space="preserve">ヒョウギイン </t>
    </rPh>
    <phoneticPr fontId="1"/>
  </si>
  <si>
    <t>●</t>
    <phoneticPr fontId="1"/>
  </si>
  <si>
    <t>菊池之裕</t>
    <rPh sb="0" eb="2">
      <t>キクチ</t>
    </rPh>
    <rPh sb="2" eb="3">
      <t>ユキ</t>
    </rPh>
    <rPh sb="3" eb="4">
      <t>ヒロシ</t>
    </rPh>
    <phoneticPr fontId="1"/>
  </si>
  <si>
    <t>6－15</t>
    <phoneticPr fontId="1"/>
  </si>
  <si>
    <t>861-3871</t>
    <phoneticPr fontId="1"/>
  </si>
  <si>
    <t>080-8013-0897</t>
    <phoneticPr fontId="1"/>
  </si>
  <si>
    <t>佐合駿</t>
    <rPh sb="0" eb="2">
      <t>サゴウ</t>
    </rPh>
    <rPh sb="2" eb="3">
      <t>シュン</t>
    </rPh>
    <phoneticPr fontId="1"/>
  </si>
  <si>
    <t>090-9193-9910</t>
    <phoneticPr fontId="1"/>
  </si>
  <si>
    <t>宮野正子</t>
    <rPh sb="0" eb="2">
      <t>ミヤノ</t>
    </rPh>
    <rPh sb="2" eb="4">
      <t>マサコ</t>
    </rPh>
    <phoneticPr fontId="2"/>
  </si>
  <si>
    <t>関口香奈</t>
    <rPh sb="0" eb="1">
      <t xml:space="preserve">セキグチ </t>
    </rPh>
    <rPh sb="2" eb="4">
      <t xml:space="preserve">カナ </t>
    </rPh>
    <phoneticPr fontId="2"/>
  </si>
  <si>
    <t>丸茂治彦</t>
    <rPh sb="0" eb="2">
      <t>マルモ</t>
    </rPh>
    <rPh sb="2" eb="4">
      <t xml:space="preserve">ハルヒコ </t>
    </rPh>
    <phoneticPr fontId="2"/>
  </si>
  <si>
    <t>松本弘子</t>
    <rPh sb="0" eb="2">
      <t xml:space="preserve">マツモト </t>
    </rPh>
    <rPh sb="2" eb="4">
      <t xml:space="preserve">ヒロコ </t>
    </rPh>
    <phoneticPr fontId="2"/>
  </si>
  <si>
    <t>R3.評議員は「しのぶ」さん</t>
    <rPh sb="3" eb="6">
      <t xml:space="preserve">ヒョウギイイｎ </t>
    </rPh>
    <phoneticPr fontId="1"/>
  </si>
  <si>
    <t>R3.評議員は「智子」さん</t>
    <rPh sb="3" eb="6">
      <t xml:space="preserve">ヒョウギイン </t>
    </rPh>
    <phoneticPr fontId="1"/>
  </si>
  <si>
    <t>桐生勝巳</t>
    <rPh sb="0" eb="2">
      <t>キリュウ</t>
    </rPh>
    <rPh sb="2" eb="3">
      <t>カツミ</t>
    </rPh>
    <rPh sb="3" eb="4">
      <t xml:space="preserve">タツミ </t>
    </rPh>
    <phoneticPr fontId="2"/>
  </si>
  <si>
    <t>303号室　R3.評議員は「安岐子」さん</t>
    <rPh sb="3" eb="4">
      <t>ゴウ</t>
    </rPh>
    <rPh sb="4" eb="5">
      <t>シツ</t>
    </rPh>
    <rPh sb="9" eb="12">
      <t xml:space="preserve">ヒョウギイン </t>
    </rPh>
    <phoneticPr fontId="2"/>
  </si>
  <si>
    <t>R3.評議員は「光枝」さん</t>
    <rPh sb="3" eb="6">
      <t xml:space="preserve">ヒョウギイン </t>
    </rPh>
    <phoneticPr fontId="1"/>
  </si>
  <si>
    <t>宮川雅之</t>
    <rPh sb="0" eb="2">
      <t>ミヤガワ</t>
    </rPh>
    <rPh sb="2" eb="4">
      <t>ミツエ</t>
    </rPh>
    <phoneticPr fontId="2"/>
  </si>
  <si>
    <t>中村未紀</t>
    <rPh sb="0" eb="1">
      <t xml:space="preserve">ナカムラ </t>
    </rPh>
    <rPh sb="2" eb="4">
      <t>MIKI</t>
    </rPh>
    <phoneticPr fontId="2"/>
  </si>
  <si>
    <t>090-7227-0266</t>
    <phoneticPr fontId="1"/>
  </si>
  <si>
    <t>グアダルーペ</t>
    <phoneticPr fontId="1"/>
  </si>
  <si>
    <t>861－0178</t>
    <phoneticPr fontId="2"/>
  </si>
  <si>
    <t>897－7032</t>
    <phoneticPr fontId="2"/>
  </si>
  <si>
    <t>090-8506-2232</t>
    <phoneticPr fontId="1"/>
  </si>
  <si>
    <t>6－3</t>
    <phoneticPr fontId="2"/>
  </si>
  <si>
    <t>861－8012</t>
    <phoneticPr fontId="2"/>
  </si>
  <si>
    <t>854－9148</t>
    <phoneticPr fontId="2"/>
  </si>
  <si>
    <t>森田眞由美</t>
    <rPh sb="0" eb="2">
      <t>モリタ</t>
    </rPh>
    <rPh sb="2" eb="5">
      <t xml:space="preserve">マユミ </t>
    </rPh>
    <phoneticPr fontId="2"/>
  </si>
  <si>
    <t>森田章裕</t>
    <rPh sb="0" eb="2">
      <t>モリタ</t>
    </rPh>
    <rPh sb="3" eb="4">
      <t xml:space="preserve">ユウ </t>
    </rPh>
    <phoneticPr fontId="2"/>
  </si>
  <si>
    <t>080-1057-0799</t>
    <phoneticPr fontId="1"/>
  </si>
  <si>
    <t>861－2167</t>
    <phoneticPr fontId="2"/>
  </si>
  <si>
    <t>R4.4月雄一さん逝去</t>
    <phoneticPr fontId="1"/>
  </si>
  <si>
    <t>岡本三七子</t>
    <rPh sb="0" eb="2">
      <t>オカモト</t>
    </rPh>
    <rPh sb="2" eb="3">
      <t xml:space="preserve">サン </t>
    </rPh>
    <rPh sb="4" eb="5">
      <t xml:space="preserve">コ </t>
    </rPh>
    <phoneticPr fontId="2"/>
  </si>
  <si>
    <t>6－17-26</t>
    <phoneticPr fontId="2"/>
  </si>
  <si>
    <t>藤谷健太</t>
    <rPh sb="0" eb="1">
      <t xml:space="preserve">フジタニ </t>
    </rPh>
    <rPh sb="2" eb="4">
      <t xml:space="preserve">ケンタ </t>
    </rPh>
    <phoneticPr fontId="2"/>
  </si>
  <si>
    <t>090-8962-3594</t>
    <phoneticPr fontId="1"/>
  </si>
  <si>
    <t>6－21-9</t>
    <phoneticPr fontId="2"/>
  </si>
  <si>
    <t>861－5246</t>
    <phoneticPr fontId="2"/>
  </si>
  <si>
    <t>861－1643</t>
    <phoneticPr fontId="2"/>
  </si>
  <si>
    <t>861－9412</t>
    <phoneticPr fontId="1"/>
  </si>
  <si>
    <t>桑名須美枝 関口：090-6047-4874</t>
    <rPh sb="0" eb="2">
      <t>クワナ</t>
    </rPh>
    <rPh sb="2" eb="5">
      <t>スミエ</t>
    </rPh>
    <rPh sb="6" eb="8">
      <t xml:space="preserve">セキグチ </t>
    </rPh>
    <phoneticPr fontId="2"/>
  </si>
  <si>
    <t>藤田将作</t>
    <rPh sb="0" eb="2">
      <t xml:space="preserve">フジタ </t>
    </rPh>
    <rPh sb="2" eb="3">
      <t xml:space="preserve">タイショウ </t>
    </rPh>
    <rPh sb="3" eb="4">
      <t xml:space="preserve">ツクル </t>
    </rPh>
    <phoneticPr fontId="1"/>
  </si>
  <si>
    <t>6－7－1</t>
    <phoneticPr fontId="2"/>
  </si>
  <si>
    <t>090-3231-5190</t>
    <phoneticPr fontId="2"/>
  </si>
  <si>
    <t>2021.11.19洋吉さん逝去</t>
    <phoneticPr fontId="1"/>
  </si>
  <si>
    <t>6－20－36? 杉本追記</t>
    <rPh sb="9" eb="11">
      <t>スギモト</t>
    </rPh>
    <rPh sb="11" eb="13">
      <t>ツイキ</t>
    </rPh>
    <phoneticPr fontId="1"/>
  </si>
  <si>
    <t>2022-1210 浩さん逝去</t>
    <rPh sb="13" eb="15">
      <t>セイキョ</t>
    </rPh>
    <phoneticPr fontId="1"/>
  </si>
  <si>
    <t>鈴木真寿美</t>
    <rPh sb="0" eb="2">
      <t>スズキ</t>
    </rPh>
    <rPh sb="2" eb="5">
      <t>マスミ</t>
    </rPh>
    <phoneticPr fontId="2"/>
  </si>
  <si>
    <t>評議員は鳥居知加代</t>
    <rPh sb="0" eb="3">
      <t>ヒョウギイン</t>
    </rPh>
    <rPh sb="4" eb="6">
      <t>トリイ</t>
    </rPh>
    <rPh sb="6" eb="7">
      <t>チ</t>
    </rPh>
    <rPh sb="7" eb="9">
      <t>カヨ</t>
    </rPh>
    <phoneticPr fontId="1"/>
  </si>
  <si>
    <t>2023.3.31 恭久さん逝去</t>
    <phoneticPr fontId="1"/>
  </si>
  <si>
    <t>小林弘子</t>
    <rPh sb="0" eb="2">
      <t>コバヤシ</t>
    </rPh>
    <phoneticPr fontId="2"/>
  </si>
  <si>
    <t>R4 弘志さん逝去</t>
    <rPh sb="7" eb="9">
      <t>セイキョ</t>
    </rPh>
    <phoneticPr fontId="1"/>
  </si>
  <si>
    <t>千葉幸代</t>
    <rPh sb="0" eb="2">
      <t>チバ</t>
    </rPh>
    <rPh sb="2" eb="4">
      <t>サチヨ</t>
    </rPh>
    <phoneticPr fontId="2"/>
  </si>
  <si>
    <t>トータル</t>
    <phoneticPr fontId="1"/>
  </si>
  <si>
    <t>備考</t>
    <rPh sb="0" eb="2">
      <t>ビコウ</t>
    </rPh>
    <phoneticPr fontId="1"/>
  </si>
  <si>
    <t>合計：</t>
    <rPh sb="0" eb="2">
      <t>ゴウケイ</t>
    </rPh>
    <phoneticPr fontId="1"/>
  </si>
  <si>
    <t>合計</t>
    <rPh sb="0" eb="2">
      <t>ゴウケイ</t>
    </rPh>
    <phoneticPr fontId="1"/>
  </si>
  <si>
    <t>No.</t>
    <phoneticPr fontId="1"/>
  </si>
  <si>
    <t>☑</t>
    <phoneticPr fontId="1"/>
  </si>
  <si>
    <t>返礼チェック</t>
  </si>
  <si>
    <r>
      <t>吉田</t>
    </r>
    <r>
      <rPr>
        <sz val="22"/>
        <rFont val="ＭＳ Ｐゴシック"/>
        <family val="3"/>
        <charset val="128"/>
      </rPr>
      <t>初枝</t>
    </r>
    <rPh sb="0" eb="2">
      <t>ヨシダ</t>
    </rPh>
    <rPh sb="2" eb="4">
      <t xml:space="preserve">ハツエ </t>
    </rPh>
    <phoneticPr fontId="2"/>
  </si>
  <si>
    <t>奉納者</t>
    <rPh sb="0" eb="3">
      <t>ホウノウシャ</t>
    </rPh>
    <phoneticPr fontId="1"/>
  </si>
  <si>
    <t>１．最新名簿で、「①会員名簿マスタ」シートの内容を更新する。</t>
    <rPh sb="2" eb="4">
      <t>サイシン</t>
    </rPh>
    <rPh sb="4" eb="6">
      <t>メイボ</t>
    </rPh>
    <rPh sb="22" eb="24">
      <t>ナイヨウ</t>
    </rPh>
    <rPh sb="25" eb="27">
      <t>コウシン</t>
    </rPh>
    <phoneticPr fontId="1"/>
  </si>
  <si>
    <t>遠山悦子</t>
    <rPh sb="0" eb="2">
      <t>トオヤマ</t>
    </rPh>
    <rPh sb="2" eb="4">
      <t>エツコ</t>
    </rPh>
    <phoneticPr fontId="2"/>
  </si>
  <si>
    <t>861－3815</t>
    <phoneticPr fontId="2"/>
  </si>
  <si>
    <t>R5.美代子さん逝去</t>
    <rPh sb="8" eb="10">
      <t>セイキョ</t>
    </rPh>
    <phoneticPr fontId="1"/>
  </si>
  <si>
    <t>佐々木由香里</t>
    <rPh sb="0" eb="3">
      <t>ササキ</t>
    </rPh>
    <rPh sb="3" eb="6">
      <t>ユカリ</t>
    </rPh>
    <phoneticPr fontId="1"/>
  </si>
  <si>
    <t>070-1226-1130</t>
    <phoneticPr fontId="2"/>
  </si>
  <si>
    <t>評議員は「節子」さん</t>
    <rPh sb="0" eb="3">
      <t xml:space="preserve">ヒョウギイン </t>
    </rPh>
    <rPh sb="5" eb="7">
      <t>セツコ</t>
    </rPh>
    <phoneticPr fontId="1"/>
  </si>
  <si>
    <t>評議員は「優子」さん</t>
    <rPh sb="0" eb="3">
      <t xml:space="preserve">ヒョウギイン </t>
    </rPh>
    <rPh sb="5" eb="7">
      <t>ユウコ</t>
    </rPh>
    <phoneticPr fontId="1"/>
  </si>
  <si>
    <r>
      <t>861－</t>
    </r>
    <r>
      <rPr>
        <sz val="11"/>
        <rFont val="BIZ UDゴシック"/>
        <family val="3"/>
        <charset val="128"/>
      </rPr>
      <t>0304</t>
    </r>
    <phoneticPr fontId="2"/>
  </si>
  <si>
    <t>竹本久子</t>
    <rPh sb="0" eb="2">
      <t>タケモト</t>
    </rPh>
    <rPh sb="2" eb="4">
      <t>ヒサコ</t>
    </rPh>
    <phoneticPr fontId="1"/>
  </si>
  <si>
    <t>090-2426-5722</t>
    <phoneticPr fontId="1"/>
  </si>
  <si>
    <t>杉澤知美</t>
    <rPh sb="0" eb="2">
      <t>スギサワ</t>
    </rPh>
    <rPh sb="2" eb="4">
      <t>トモミ</t>
    </rPh>
    <phoneticPr fontId="2"/>
  </si>
  <si>
    <t>701号室（久貝⇒杉澤）090-1539-9137</t>
    <rPh sb="3" eb="4">
      <t>ゴウ</t>
    </rPh>
    <rPh sb="4" eb="5">
      <t>ムロ</t>
    </rPh>
    <rPh sb="9" eb="11">
      <t>スギサワ</t>
    </rPh>
    <phoneticPr fontId="2"/>
  </si>
  <si>
    <t>202号室　評議員は「由美子」さん</t>
    <rPh sb="3" eb="4">
      <t>ゴウ</t>
    </rPh>
    <rPh sb="4" eb="5">
      <t>ムロ</t>
    </rPh>
    <rPh sb="11" eb="14">
      <t>ユミコ</t>
    </rPh>
    <phoneticPr fontId="2"/>
  </si>
  <si>
    <t>評議員は「恵」さん</t>
    <rPh sb="0" eb="3">
      <t xml:space="preserve">ヒョウギイン </t>
    </rPh>
    <rPh sb="5" eb="6">
      <t>メグミ</t>
    </rPh>
    <phoneticPr fontId="1"/>
  </si>
  <si>
    <t>評議員は「玲子」さん</t>
    <rPh sb="0" eb="3">
      <t>ヒョウギイン</t>
    </rPh>
    <rPh sb="5" eb="7">
      <t>レイコ</t>
    </rPh>
    <phoneticPr fontId="1"/>
  </si>
  <si>
    <t>滝本春香</t>
    <rPh sb="0" eb="2">
      <t>タキモト</t>
    </rPh>
    <rPh sb="2" eb="4">
      <t>ハルカ</t>
    </rPh>
    <phoneticPr fontId="1"/>
  </si>
  <si>
    <t>080-4106-0506</t>
    <phoneticPr fontId="1"/>
  </si>
  <si>
    <t>R.5.10月入会</t>
    <rPh sb="6" eb="7">
      <t>ガツ</t>
    </rPh>
    <rPh sb="7" eb="9">
      <t>ニュウカイ</t>
    </rPh>
    <phoneticPr fontId="1"/>
  </si>
  <si>
    <t>2018.7-　評議員は「文代」さん</t>
    <phoneticPr fontId="1"/>
  </si>
  <si>
    <t>評議員は「ミズサ」さん</t>
    <rPh sb="0" eb="3">
      <t>ヒョウギイン</t>
    </rPh>
    <phoneticPr fontId="1"/>
  </si>
  <si>
    <t>評議員は「アリサ」さん</t>
    <rPh sb="0" eb="3">
      <t>ヒョウギイン</t>
    </rPh>
    <phoneticPr fontId="1"/>
  </si>
  <si>
    <t>吉田初枝</t>
    <rPh sb="0" eb="2">
      <t>ヨシダ</t>
    </rPh>
    <rPh sb="2" eb="4">
      <t xml:space="preserve">ハツエ </t>
    </rPh>
    <phoneticPr fontId="2"/>
  </si>
  <si>
    <t>090-4478-5466</t>
    <phoneticPr fontId="2"/>
  </si>
  <si>
    <t>オールウェイズ201（R2加入）生保</t>
    <rPh sb="13" eb="15">
      <t xml:space="preserve">カニュウ </t>
    </rPh>
    <rPh sb="16" eb="18">
      <t>セイホ</t>
    </rPh>
    <phoneticPr fontId="1"/>
  </si>
  <si>
    <t>6－17－8</t>
    <phoneticPr fontId="2"/>
  </si>
  <si>
    <t>1981.7.23生、評議員は「舞」さん。</t>
    <rPh sb="9" eb="10">
      <t>ウ</t>
    </rPh>
    <rPh sb="11" eb="14">
      <t>ヒョウギイン</t>
    </rPh>
    <rPh sb="16" eb="17">
      <t>マイ</t>
    </rPh>
    <phoneticPr fontId="1"/>
  </si>
  <si>
    <t>澤藤成穂</t>
    <rPh sb="0" eb="2">
      <t>サワフジ</t>
    </rPh>
    <rPh sb="2" eb="3">
      <t>ナリ</t>
    </rPh>
    <rPh sb="3" eb="4">
      <t>ホ</t>
    </rPh>
    <phoneticPr fontId="2"/>
  </si>
  <si>
    <t>橋本尚弥</t>
    <rPh sb="0" eb="2">
      <t>ハシモト</t>
    </rPh>
    <rPh sb="2" eb="4">
      <t>ナオヤ</t>
    </rPh>
    <phoneticPr fontId="2"/>
  </si>
  <si>
    <t>6-17</t>
    <phoneticPr fontId="1"/>
  </si>
  <si>
    <t>090-4121-0576</t>
    <phoneticPr fontId="2"/>
  </si>
  <si>
    <t>H7.6.28生</t>
    <rPh sb="7" eb="8">
      <t>ウ</t>
    </rPh>
    <phoneticPr fontId="1"/>
  </si>
  <si>
    <t>R3.12加入（町内会費3,600円のみ）</t>
    <rPh sb="5" eb="7">
      <t xml:space="preserve">カニュウ </t>
    </rPh>
    <rPh sb="17" eb="18">
      <t>エン</t>
    </rPh>
    <phoneticPr fontId="1"/>
  </si>
  <si>
    <t>中島祐子</t>
    <phoneticPr fontId="1"/>
  </si>
  <si>
    <t>世帯主：中村雅紀➡中島祐子</t>
    <rPh sb="0" eb="3">
      <t>セタイヌシ</t>
    </rPh>
    <rPh sb="9" eb="11">
      <t>ナカジマ</t>
    </rPh>
    <rPh sb="11" eb="13">
      <t>ユウコ</t>
    </rPh>
    <phoneticPr fontId="1"/>
  </si>
  <si>
    <t>評議員は「かつみ」さん</t>
    <rPh sb="0" eb="3">
      <t xml:space="preserve">ヒョウギイン </t>
    </rPh>
    <phoneticPr fontId="1"/>
  </si>
  <si>
    <t>喪中</t>
    <rPh sb="0" eb="2">
      <t>モチュウ</t>
    </rPh>
    <phoneticPr fontId="1"/>
  </si>
  <si>
    <t>相沢さんの家：外国人７名　</t>
    <phoneticPr fontId="1"/>
  </si>
  <si>
    <t>１区１班</t>
    <rPh sb="1" eb="2">
      <t>ク</t>
    </rPh>
    <rPh sb="3" eb="4">
      <t>ハン</t>
    </rPh>
    <phoneticPr fontId="1"/>
  </si>
  <si>
    <t>１区２班</t>
    <rPh sb="1" eb="2">
      <t>ク</t>
    </rPh>
    <rPh sb="3" eb="4">
      <t>ハン</t>
    </rPh>
    <phoneticPr fontId="1"/>
  </si>
  <si>
    <t>１区３班</t>
    <rPh sb="1" eb="2">
      <t>ク</t>
    </rPh>
    <rPh sb="3" eb="4">
      <t>ハン</t>
    </rPh>
    <phoneticPr fontId="1"/>
  </si>
  <si>
    <t>１区４班</t>
    <rPh sb="1" eb="2">
      <t>ク</t>
    </rPh>
    <rPh sb="3" eb="4">
      <t>ハン</t>
    </rPh>
    <phoneticPr fontId="1"/>
  </si>
  <si>
    <t>１区５班</t>
    <rPh sb="1" eb="2">
      <t>ク</t>
    </rPh>
    <rPh sb="3" eb="4">
      <t>ハン</t>
    </rPh>
    <phoneticPr fontId="1"/>
  </si>
  <si>
    <t>１区６班</t>
    <rPh sb="1" eb="2">
      <t>ク</t>
    </rPh>
    <rPh sb="3" eb="4">
      <t>ハン</t>
    </rPh>
    <phoneticPr fontId="1"/>
  </si>
  <si>
    <t>１区７班</t>
    <rPh sb="1" eb="2">
      <t>ク</t>
    </rPh>
    <rPh sb="3" eb="4">
      <t>ハン</t>
    </rPh>
    <phoneticPr fontId="1"/>
  </si>
  <si>
    <t>１区８班</t>
    <rPh sb="1" eb="2">
      <t>ク</t>
    </rPh>
    <rPh sb="3" eb="4">
      <t>ハン</t>
    </rPh>
    <phoneticPr fontId="1"/>
  </si>
  <si>
    <t>１区９班</t>
    <rPh sb="1" eb="2">
      <t>ク</t>
    </rPh>
    <rPh sb="3" eb="4">
      <t>ハン</t>
    </rPh>
    <phoneticPr fontId="1"/>
  </si>
  <si>
    <t>竹本久子</t>
    <phoneticPr fontId="1"/>
  </si>
  <si>
    <t>１区１０班</t>
    <rPh sb="1" eb="2">
      <t>ク</t>
    </rPh>
    <rPh sb="4" eb="5">
      <t>ハン</t>
    </rPh>
    <phoneticPr fontId="1"/>
  </si>
  <si>
    <t>１区１１班</t>
    <rPh sb="1" eb="2">
      <t>ク</t>
    </rPh>
    <rPh sb="4" eb="5">
      <t>ハン</t>
    </rPh>
    <phoneticPr fontId="1"/>
  </si>
  <si>
    <t>１区１２班</t>
    <rPh sb="1" eb="2">
      <t>ク</t>
    </rPh>
    <rPh sb="4" eb="5">
      <t>ハン</t>
    </rPh>
    <phoneticPr fontId="1"/>
  </si>
  <si>
    <t>２区１班</t>
    <rPh sb="1" eb="2">
      <t>ク</t>
    </rPh>
    <rPh sb="3" eb="4">
      <t>ハン</t>
    </rPh>
    <phoneticPr fontId="1"/>
  </si>
  <si>
    <t>滝本春香</t>
    <phoneticPr fontId="1"/>
  </si>
  <si>
    <t>２区２班</t>
    <rPh sb="1" eb="2">
      <t>ク</t>
    </rPh>
    <rPh sb="3" eb="4">
      <t>ハン</t>
    </rPh>
    <phoneticPr fontId="1"/>
  </si>
  <si>
    <t>２区３班</t>
    <rPh sb="1" eb="2">
      <t>ク</t>
    </rPh>
    <rPh sb="3" eb="4">
      <t>ハン</t>
    </rPh>
    <phoneticPr fontId="1"/>
  </si>
  <si>
    <t>２区４班</t>
    <rPh sb="1" eb="2">
      <t>ク</t>
    </rPh>
    <rPh sb="3" eb="4">
      <t>ハン</t>
    </rPh>
    <phoneticPr fontId="1"/>
  </si>
  <si>
    <t>２区５班</t>
    <rPh sb="1" eb="2">
      <t>ク</t>
    </rPh>
    <rPh sb="3" eb="4">
      <t>ハン</t>
    </rPh>
    <phoneticPr fontId="1"/>
  </si>
  <si>
    <t>２区６班</t>
    <rPh sb="1" eb="2">
      <t>ク</t>
    </rPh>
    <rPh sb="3" eb="4">
      <t>ハン</t>
    </rPh>
    <phoneticPr fontId="1"/>
  </si>
  <si>
    <t>２区７班</t>
    <rPh sb="1" eb="2">
      <t>ク</t>
    </rPh>
    <rPh sb="3" eb="4">
      <t>ハン</t>
    </rPh>
    <phoneticPr fontId="1"/>
  </si>
  <si>
    <t>２区８班</t>
    <rPh sb="1" eb="2">
      <t>ク</t>
    </rPh>
    <rPh sb="3" eb="4">
      <t>ハン</t>
    </rPh>
    <phoneticPr fontId="1"/>
  </si>
  <si>
    <t>２区９班</t>
    <rPh sb="1" eb="2">
      <t>ク</t>
    </rPh>
    <rPh sb="3" eb="4">
      <t>ハン</t>
    </rPh>
    <phoneticPr fontId="1"/>
  </si>
  <si>
    <t>２区１０班</t>
    <rPh sb="1" eb="2">
      <t>ク</t>
    </rPh>
    <rPh sb="4" eb="5">
      <t>ハン</t>
    </rPh>
    <phoneticPr fontId="1"/>
  </si>
  <si>
    <t>橋本尚弥</t>
    <phoneticPr fontId="2"/>
  </si>
  <si>
    <t>２区１１班</t>
    <rPh sb="1" eb="2">
      <t>ク</t>
    </rPh>
    <rPh sb="4" eb="5">
      <t>ハン</t>
    </rPh>
    <phoneticPr fontId="1"/>
  </si>
  <si>
    <t>２区１２班</t>
    <rPh sb="1" eb="2">
      <t>ク</t>
    </rPh>
    <rPh sb="4" eb="5">
      <t>ハン</t>
    </rPh>
    <phoneticPr fontId="1"/>
  </si>
  <si>
    <t>佐々木由香里</t>
    <rPh sb="0" eb="3">
      <t>ササキ</t>
    </rPh>
    <rPh sb="3" eb="6">
      <t>ユカリ</t>
    </rPh>
    <phoneticPr fontId="2"/>
  </si>
  <si>
    <t>橋本（1-1新井さん）</t>
    <rPh sb="0" eb="2">
      <t>ハシモト</t>
    </rPh>
    <rPh sb="6" eb="8">
      <t>アライ</t>
    </rPh>
    <phoneticPr fontId="1"/>
  </si>
  <si>
    <t>R6寄付金額</t>
    <rPh sb="2" eb="6">
      <t>キフキンガク</t>
    </rPh>
    <phoneticPr fontId="1"/>
  </si>
  <si>
    <t>収集日</t>
    <rPh sb="0" eb="3">
      <t>シュウシュウビ</t>
    </rPh>
    <phoneticPr fontId="1"/>
  </si>
  <si>
    <t>日付ごとの集計：</t>
    <rPh sb="0" eb="2">
      <t>ヒヅケ</t>
    </rPh>
    <rPh sb="5" eb="7">
      <t>シュウケイ</t>
    </rPh>
    <phoneticPr fontId="1"/>
  </si>
  <si>
    <t>駒寄町内会　会員名簿　(2025年6月29日現在)</t>
    <rPh sb="0" eb="2">
      <t>コマヨセ</t>
    </rPh>
    <rPh sb="2" eb="4">
      <t>チョウナイ</t>
    </rPh>
    <rPh sb="4" eb="5">
      <t>カイ</t>
    </rPh>
    <rPh sb="6" eb="8">
      <t>カイイン</t>
    </rPh>
    <rPh sb="8" eb="10">
      <t>メイボ</t>
    </rPh>
    <rPh sb="16" eb="17">
      <t>ネン</t>
    </rPh>
    <rPh sb="18" eb="19">
      <t>ツキ</t>
    </rPh>
    <rPh sb="21" eb="22">
      <t>ニチ</t>
    </rPh>
    <rPh sb="22" eb="24">
      <t>ゲンザイ</t>
    </rPh>
    <phoneticPr fontId="1"/>
  </si>
  <si>
    <t>H29.4～ 046-854-9786</t>
    <phoneticPr fontId="1"/>
  </si>
  <si>
    <t>戸村則登</t>
    <rPh sb="0" eb="2">
      <t>トムラ</t>
    </rPh>
    <rPh sb="2" eb="3">
      <t>ノリ</t>
    </rPh>
    <rPh sb="3" eb="4">
      <t>ノボル</t>
    </rPh>
    <phoneticPr fontId="1"/>
  </si>
  <si>
    <t>6－68-19</t>
    <phoneticPr fontId="2"/>
  </si>
  <si>
    <t>090-6346-9518</t>
    <phoneticPr fontId="2"/>
  </si>
  <si>
    <t>R7.6月加入、S33.7.29生</t>
    <rPh sb="4" eb="5">
      <t>ガツ</t>
    </rPh>
    <rPh sb="5" eb="7">
      <t>カニュウ</t>
    </rPh>
    <rPh sb="16" eb="17">
      <t>ウ</t>
    </rPh>
    <phoneticPr fontId="1"/>
  </si>
  <si>
    <t>AJITO中村みどり</t>
    <rPh sb="5" eb="7">
      <t>ナカムラ</t>
    </rPh>
    <phoneticPr fontId="2"/>
  </si>
  <si>
    <t>澤登武文</t>
    <rPh sb="0" eb="1">
      <t>サワ</t>
    </rPh>
    <rPh sb="1" eb="2">
      <t>ト</t>
    </rPh>
    <rPh sb="2" eb="4">
      <t>タケフミ</t>
    </rPh>
    <phoneticPr fontId="2"/>
  </si>
  <si>
    <t>R1.4〜スズサンマンション302</t>
    <phoneticPr fontId="1"/>
  </si>
  <si>
    <t>102号室（861-8656）</t>
    <rPh sb="3" eb="4">
      <t>ゴウ</t>
    </rPh>
    <rPh sb="4" eb="5">
      <t>ムロ</t>
    </rPh>
    <phoneticPr fontId="2"/>
  </si>
  <si>
    <t>菊池崇広</t>
    <rPh sb="0" eb="2">
      <t>キクチ</t>
    </rPh>
    <rPh sb="2" eb="3">
      <t>タカシ</t>
    </rPh>
    <rPh sb="3" eb="4">
      <t>ヒロシ</t>
    </rPh>
    <phoneticPr fontId="1"/>
  </si>
  <si>
    <t>6-47-54</t>
    <phoneticPr fontId="1"/>
  </si>
  <si>
    <t>090-8585-0686</t>
    <phoneticPr fontId="1"/>
  </si>
  <si>
    <t>R7.2加入〜 ﾀｶﾋﾛ(1993.10.4生)</t>
    <rPh sb="4" eb="6">
      <t>カニュウ</t>
    </rPh>
    <rPh sb="22" eb="23">
      <t>ウ</t>
    </rPh>
    <phoneticPr fontId="1"/>
  </si>
  <si>
    <t>冨松良紀</t>
    <rPh sb="0" eb="2">
      <t>トミマツ</t>
    </rPh>
    <rPh sb="2" eb="4">
      <t>ヨシノリ</t>
    </rPh>
    <phoneticPr fontId="1"/>
  </si>
  <si>
    <t>6-47-28</t>
    <phoneticPr fontId="1"/>
  </si>
  <si>
    <t>090-4537-8236</t>
    <phoneticPr fontId="1"/>
  </si>
  <si>
    <t>R7.4加入 1998.5月生（橘鷹さん孫）アイミ夫婦＋子</t>
    <rPh sb="4" eb="6">
      <t>カニュウ</t>
    </rPh>
    <rPh sb="13" eb="14">
      <t>ガツ</t>
    </rPh>
    <rPh sb="14" eb="15">
      <t>ウ</t>
    </rPh>
    <rPh sb="17" eb="18">
      <t>タカ</t>
    </rPh>
    <rPh sb="25" eb="27">
      <t>フウフ</t>
    </rPh>
    <rPh sb="28" eb="29">
      <t>コ</t>
    </rPh>
    <phoneticPr fontId="1"/>
  </si>
  <si>
    <t>6－62</t>
    <phoneticPr fontId="2"/>
  </si>
  <si>
    <r>
      <t>R3.12月加入//S43.4.23生「</t>
    </r>
    <r>
      <rPr>
        <sz val="11"/>
        <color rgb="FFFF0000"/>
        <rFont val="BIZ UDゴシック"/>
        <family val="3"/>
        <charset val="128"/>
      </rPr>
      <t>未紀？未妃？</t>
    </r>
    <r>
      <rPr>
        <sz val="11"/>
        <rFont val="BIZ UDゴシック"/>
        <family val="3"/>
        <charset val="128"/>
      </rPr>
      <t>」</t>
    </r>
    <rPh sb="5" eb="6">
      <t xml:space="preserve">ガツ </t>
    </rPh>
    <rPh sb="6" eb="8">
      <t xml:space="preserve">カニュウ </t>
    </rPh>
    <rPh sb="18" eb="19">
      <t xml:space="preserve">ウマレ </t>
    </rPh>
    <rPh sb="23" eb="24">
      <t>ミ</t>
    </rPh>
    <rPh sb="24" eb="25">
      <t>キサキ</t>
    </rPh>
    <phoneticPr fontId="1"/>
  </si>
  <si>
    <t>評議員は「尚子」さん</t>
    <rPh sb="0" eb="3">
      <t xml:space="preserve">ヒョウギイン </t>
    </rPh>
    <rPh sb="5" eb="7">
      <t>ナオコ</t>
    </rPh>
    <phoneticPr fontId="1"/>
  </si>
  <si>
    <t>評議員は妹の：加瀬和子 ※祭礼寄付は加瀬さん</t>
    <rPh sb="4" eb="5">
      <t xml:space="preserve">イモウト </t>
    </rPh>
    <rPh sb="7" eb="9">
      <t>カセ</t>
    </rPh>
    <rPh sb="9" eb="11">
      <t>カズコ</t>
    </rPh>
    <rPh sb="13" eb="15">
      <t>サイレイ</t>
    </rPh>
    <rPh sb="15" eb="17">
      <t>キフ</t>
    </rPh>
    <rPh sb="18" eb="20">
      <t>カセ</t>
    </rPh>
    <phoneticPr fontId="2"/>
  </si>
  <si>
    <t>R5.8月入会 1954.1.6生 三角</t>
    <rPh sb="4" eb="5">
      <t>ガツ</t>
    </rPh>
    <rPh sb="5" eb="7">
      <t>ニュウカイ</t>
    </rPh>
    <rPh sb="16" eb="17">
      <t>ウ</t>
    </rPh>
    <rPh sb="18" eb="20">
      <t>サンカク</t>
    </rPh>
    <phoneticPr fontId="1"/>
  </si>
  <si>
    <t>R4.評議員は「重光隆子」さん 090-5508-6158</t>
    <rPh sb="3" eb="6">
      <t xml:space="preserve">ヒョウギイイｎ </t>
    </rPh>
    <phoneticPr fontId="1"/>
  </si>
  <si>
    <t>802号室　※祭礼寄付の意志なし</t>
    <rPh sb="3" eb="4">
      <t>ゴウ</t>
    </rPh>
    <rPh sb="4" eb="5">
      <t>ムロ</t>
    </rPh>
    <rPh sb="7" eb="9">
      <t>サイレイ</t>
    </rPh>
    <rPh sb="9" eb="11">
      <t>キフ</t>
    </rPh>
    <rPh sb="12" eb="14">
      <t>イシ</t>
    </rPh>
    <phoneticPr fontId="2"/>
  </si>
  <si>
    <t>046-848－5127</t>
    <phoneticPr fontId="2"/>
  </si>
  <si>
    <t>古川孝一</t>
    <rPh sb="0" eb="2">
      <t>フルカワ</t>
    </rPh>
    <rPh sb="2" eb="4">
      <t>コウイチ</t>
    </rPh>
    <phoneticPr fontId="2"/>
  </si>
  <si>
    <t>080-5694-8317</t>
    <phoneticPr fontId="1"/>
  </si>
  <si>
    <t>504号室　R.7.3月加入 1964.8.20生</t>
    <rPh sb="3" eb="4">
      <t>ゴウ</t>
    </rPh>
    <rPh sb="4" eb="5">
      <t>ムロ</t>
    </rPh>
    <rPh sb="11" eb="12">
      <t>ガツ</t>
    </rPh>
    <rPh sb="12" eb="14">
      <t>カニュウ</t>
    </rPh>
    <rPh sb="24" eb="25">
      <t>ウ</t>
    </rPh>
    <phoneticPr fontId="2"/>
  </si>
  <si>
    <r>
      <t>302号室　姓のみでOK</t>
    </r>
    <r>
      <rPr>
        <sz val="11"/>
        <color rgb="FFFF0000"/>
        <rFont val="BIZ UDゴシック"/>
        <family val="3"/>
        <charset val="128"/>
      </rPr>
      <t>「正臣？政臣？」</t>
    </r>
    <rPh sb="3" eb="4">
      <t>ゴウ</t>
    </rPh>
    <rPh sb="4" eb="5">
      <t>シツ</t>
    </rPh>
    <rPh sb="6" eb="7">
      <t>セイ</t>
    </rPh>
    <rPh sb="16" eb="17">
      <t>セイ</t>
    </rPh>
    <rPh sb="17" eb="18">
      <t>シン</t>
    </rPh>
    <phoneticPr fontId="2"/>
  </si>
  <si>
    <t>R.4.5月入会　評議員は「雅子」さん（080-1039-4467）</t>
    <rPh sb="5" eb="6">
      <t xml:space="preserve">ガツ </t>
    </rPh>
    <rPh sb="6" eb="8">
      <t xml:space="preserve">ニュウカイ </t>
    </rPh>
    <rPh sb="14" eb="16">
      <t>マサコ</t>
    </rPh>
    <phoneticPr fontId="1"/>
  </si>
  <si>
    <t>渡辺嘉久也</t>
    <rPh sb="0" eb="2">
      <t>ワタナベ</t>
    </rPh>
    <rPh sb="2" eb="3">
      <t>カ</t>
    </rPh>
    <rPh sb="3" eb="4">
      <t>ヒサシ</t>
    </rPh>
    <rPh sb="4" eb="5">
      <t>ヤ</t>
    </rPh>
    <phoneticPr fontId="2"/>
  </si>
  <si>
    <t>R7 体調により評議員を網倉さんに変更</t>
    <rPh sb="3" eb="5">
      <t>タイチョウ</t>
    </rPh>
    <rPh sb="8" eb="11">
      <t>ヒョウギイン</t>
    </rPh>
    <rPh sb="12" eb="14">
      <t>アミクラ</t>
    </rPh>
    <rPh sb="17" eb="19">
      <t>ヘンコウ</t>
    </rPh>
    <phoneticPr fontId="1"/>
  </si>
  <si>
    <t>「順子=ノブコ」</t>
    <phoneticPr fontId="1"/>
  </si>
  <si>
    <r>
      <t>上田</t>
    </r>
    <r>
      <rPr>
        <sz val="11"/>
        <color rgb="FFFF0000"/>
        <rFont val="BIZ UDゴシック"/>
        <family val="3"/>
        <charset val="128"/>
      </rPr>
      <t>千代</t>
    </r>
    <rPh sb="0" eb="2">
      <t>ウエダ</t>
    </rPh>
    <rPh sb="2" eb="4">
      <t>チヨ</t>
    </rPh>
    <phoneticPr fontId="2"/>
  </si>
  <si>
    <t>2025.5月18日 千代さん逝去</t>
    <rPh sb="6" eb="7">
      <t>ガツ</t>
    </rPh>
    <rPh sb="9" eb="10">
      <t>ニチ</t>
    </rPh>
    <rPh sb="15" eb="17">
      <t>セイキョ</t>
    </rPh>
    <phoneticPr fontId="1"/>
  </si>
  <si>
    <t>磯野真一</t>
    <rPh sb="0" eb="2">
      <t>イソノ</t>
    </rPh>
    <rPh sb="2" eb="4">
      <t>シンイチ</t>
    </rPh>
    <phoneticPr fontId="2"/>
  </si>
  <si>
    <t>R7.4月外国人住居　回覧板不要</t>
    <rPh sb="4" eb="5">
      <t>ガツ</t>
    </rPh>
    <rPh sb="5" eb="8">
      <t>ガイコクジン</t>
    </rPh>
    <rPh sb="8" eb="10">
      <t>ジュウキョ</t>
    </rPh>
    <rPh sb="11" eb="14">
      <t>カイランバン</t>
    </rPh>
    <rPh sb="14" eb="16">
      <t>フヨウ</t>
    </rPh>
    <phoneticPr fontId="1"/>
  </si>
  <si>
    <t>評議員は「友美」さん</t>
    <rPh sb="5" eb="7">
      <t>トモミ</t>
    </rPh>
    <phoneticPr fontId="1"/>
  </si>
  <si>
    <t>森原智</t>
    <rPh sb="0" eb="2">
      <t>モリハラ</t>
    </rPh>
    <rPh sb="2" eb="3">
      <t>サトシ</t>
    </rPh>
    <phoneticPr fontId="2"/>
  </si>
  <si>
    <t>2024.8.4初枝さん逝去88歳 ※初枝の長男</t>
    <rPh sb="12" eb="14">
      <t>セイキョ</t>
    </rPh>
    <rPh sb="16" eb="17">
      <t>サイ</t>
    </rPh>
    <rPh sb="22" eb="24">
      <t>チョウナン</t>
    </rPh>
    <phoneticPr fontId="1"/>
  </si>
  <si>
    <t>「隼斗」</t>
    <rPh sb="1" eb="2">
      <t>ハヤブサ</t>
    </rPh>
    <phoneticPr fontId="1"/>
  </si>
  <si>
    <t>861－0383</t>
    <phoneticPr fontId="2"/>
  </si>
  <si>
    <t>評議員は「ゆみ」さん</t>
    <phoneticPr fontId="2"/>
  </si>
  <si>
    <t>評議員は(同居人)伊藤育伸さん。伊藤さん携帯</t>
    <rPh sb="5" eb="7">
      <t>ドウキョ</t>
    </rPh>
    <rPh sb="7" eb="8">
      <t>ニン</t>
    </rPh>
    <rPh sb="9" eb="11">
      <t>イトウ</t>
    </rPh>
    <rPh sb="11" eb="12">
      <t>イク</t>
    </rPh>
    <rPh sb="12" eb="13">
      <t>シン</t>
    </rPh>
    <rPh sb="16" eb="18">
      <t>イトウ</t>
    </rPh>
    <rPh sb="20" eb="22">
      <t>ケイタイ</t>
    </rPh>
    <phoneticPr fontId="1"/>
  </si>
  <si>
    <t>オールウェイズ残り３世帯は水内さんから町内会費のみ収納</t>
    <rPh sb="7" eb="8">
      <t>ノコ</t>
    </rPh>
    <rPh sb="10" eb="12">
      <t>セタイ</t>
    </rPh>
    <rPh sb="13" eb="15">
      <t>ミズウチ</t>
    </rPh>
    <rPh sb="19" eb="21">
      <t>チョウナイ</t>
    </rPh>
    <rPh sb="21" eb="22">
      <t>カイ</t>
    </rPh>
    <rPh sb="22" eb="23">
      <t>ヒ</t>
    </rPh>
    <rPh sb="25" eb="27">
      <t>シュウノウ</t>
    </rPh>
    <phoneticPr fontId="1"/>
  </si>
  <si>
    <t>評議員は「和美」さん</t>
    <rPh sb="0" eb="3">
      <t>ヒョウギイン</t>
    </rPh>
    <rPh sb="5" eb="7">
      <t>カズミ</t>
    </rPh>
    <phoneticPr fontId="1"/>
  </si>
  <si>
    <t>鈴木眞寿美</t>
    <rPh sb="0" eb="2">
      <t>スズキ</t>
    </rPh>
    <rPh sb="2" eb="3">
      <t>マコト</t>
    </rPh>
    <rPh sb="3" eb="5">
      <t>トシミ</t>
    </rPh>
    <phoneticPr fontId="2"/>
  </si>
  <si>
    <t>赤荻忠幸</t>
    <rPh sb="0" eb="2">
      <t>アカオギ</t>
    </rPh>
    <rPh sb="2" eb="4">
      <t>タダユキ</t>
    </rPh>
    <phoneticPr fontId="2"/>
  </si>
  <si>
    <t>090-1032-3946</t>
    <phoneticPr fontId="2"/>
  </si>
  <si>
    <t>2019幸男さん逝去, 2025(1月)薫子さん逝去</t>
    <rPh sb="18" eb="19">
      <t>ガツ</t>
    </rPh>
    <rPh sb="24" eb="26">
      <t>セイキョ</t>
    </rPh>
    <phoneticPr fontId="1"/>
  </si>
  <si>
    <t>861－6118</t>
    <phoneticPr fontId="2"/>
  </si>
  <si>
    <t>評議員は「千春」さん</t>
    <rPh sb="5" eb="7">
      <t>チハル</t>
    </rPh>
    <phoneticPr fontId="1"/>
  </si>
  <si>
    <t>須藤晃</t>
    <rPh sb="0" eb="2">
      <t>スドウ</t>
    </rPh>
    <rPh sb="2" eb="3">
      <t>アキラ</t>
    </rPh>
    <phoneticPr fontId="2"/>
  </si>
  <si>
    <t>Mr.Fesus &amp; Mrs.Claudia</t>
    <phoneticPr fontId="1"/>
  </si>
  <si>
    <r>
      <t xml:space="preserve">Mr.Fesus &amp; Mrs.Claudia </t>
    </r>
    <r>
      <rPr>
        <b/>
        <sz val="11"/>
        <color theme="1"/>
        <rFont val="BIZ UDゴシック"/>
        <family val="3"/>
        <charset val="128"/>
      </rPr>
      <t>Guadalupe</t>
    </r>
    <phoneticPr fontId="1"/>
  </si>
  <si>
    <t>鈴木聡・りえさん同居</t>
    <rPh sb="8" eb="10">
      <t>ドウキョ</t>
    </rPh>
    <phoneticPr fontId="1"/>
  </si>
  <si>
    <t>046-804-9430</t>
    <phoneticPr fontId="2"/>
  </si>
  <si>
    <t>評議員（凡例）</t>
    <rPh sb="0" eb="3">
      <t>ヒョウギイン</t>
    </rPh>
    <rPh sb="4" eb="6">
      <t>ハンレイ</t>
    </rPh>
    <phoneticPr fontId="1"/>
  </si>
  <si>
    <t>R７年度評議員（2025.5月～2026.4月末まで）</t>
    <rPh sb="2" eb="4">
      <t>ネンド</t>
    </rPh>
    <rPh sb="4" eb="7">
      <t>ヒョウギイン</t>
    </rPh>
    <rPh sb="22" eb="23">
      <t>ガツ</t>
    </rPh>
    <rPh sb="23" eb="24">
      <t>マツ</t>
    </rPh>
    <phoneticPr fontId="1"/>
  </si>
  <si>
    <t>：今回の変更箇所</t>
    <rPh sb="1" eb="3">
      <t>コンカイ</t>
    </rPh>
    <rPh sb="4" eb="6">
      <t>ヘンコウ</t>
    </rPh>
    <rPh sb="6" eb="8">
      <t>カショ</t>
    </rPh>
    <phoneticPr fontId="1"/>
  </si>
  <si>
    <t>：情報不足箇所</t>
    <rPh sb="1" eb="3">
      <t>ジョウホウ</t>
    </rPh>
    <rPh sb="3" eb="5">
      <t>フソク</t>
    </rPh>
    <rPh sb="5" eb="7">
      <t>カショ</t>
    </rPh>
    <phoneticPr fontId="1"/>
  </si>
  <si>
    <t>会員名簿の中から、「㈲峯田工業」など祭礼寄付をいただいていない会員の行を除去する。</t>
    <rPh sb="0" eb="2">
      <t>カイイン</t>
    </rPh>
    <rPh sb="2" eb="4">
      <t>メイボ</t>
    </rPh>
    <rPh sb="5" eb="6">
      <t>ナカ</t>
    </rPh>
    <rPh sb="18" eb="20">
      <t>サイレイ</t>
    </rPh>
    <rPh sb="20" eb="22">
      <t>キフ</t>
    </rPh>
    <rPh sb="31" eb="33">
      <t>カイイン</t>
    </rPh>
    <rPh sb="34" eb="35">
      <t>ギョウ</t>
    </rPh>
    <rPh sb="36" eb="38">
      <t>ジョキョ</t>
    </rPh>
    <phoneticPr fontId="1"/>
  </si>
  <si>
    <t>３．「②差し込み印刷用４段」シートにマッピングする。</t>
    <rPh sb="4" eb="5">
      <t>サ</t>
    </rPh>
    <rPh sb="6" eb="7">
      <t>コ</t>
    </rPh>
    <rPh sb="8" eb="11">
      <t>インサツヨウ</t>
    </rPh>
    <rPh sb="12" eb="13">
      <t>ダン</t>
    </rPh>
    <phoneticPr fontId="1"/>
  </si>
  <si>
    <t>「①会員名簿マスタ」シートの会員数を確認し、その値を４で割った値（割り切れない場合、＋１）の</t>
    <rPh sb="14" eb="16">
      <t>カイイン</t>
    </rPh>
    <rPh sb="16" eb="17">
      <t>スウ</t>
    </rPh>
    <rPh sb="18" eb="20">
      <t>カクニン</t>
    </rPh>
    <rPh sb="24" eb="25">
      <t>アタイ</t>
    </rPh>
    <rPh sb="28" eb="29">
      <t>ワ</t>
    </rPh>
    <rPh sb="31" eb="32">
      <t>アタイ</t>
    </rPh>
    <rPh sb="33" eb="34">
      <t>ワ</t>
    </rPh>
    <rPh sb="35" eb="36">
      <t>キ</t>
    </rPh>
    <rPh sb="39" eb="41">
      <t>バアイ</t>
    </rPh>
    <phoneticPr fontId="1"/>
  </si>
  <si>
    <t>行数の差し込み印刷用４段シートを作成する。</t>
    <rPh sb="0" eb="2">
      <t>ギョウスウ</t>
    </rPh>
    <rPh sb="16" eb="18">
      <t>サクセイ</t>
    </rPh>
    <phoneticPr fontId="1"/>
  </si>
  <si>
    <t>寄付が期待できる会員数が、１７７の場合、１７７÷４＝４４．２５なので、４５行１列のシートにする</t>
    <rPh sb="0" eb="2">
      <t>キフ</t>
    </rPh>
    <rPh sb="3" eb="5">
      <t>キタイ</t>
    </rPh>
    <rPh sb="8" eb="10">
      <t>カイイン</t>
    </rPh>
    <rPh sb="10" eb="11">
      <t>スウ</t>
    </rPh>
    <rPh sb="17" eb="19">
      <t>バアイ</t>
    </rPh>
    <rPh sb="37" eb="38">
      <t>ギョウ</t>
    </rPh>
    <rPh sb="39" eb="40">
      <t>レツ</t>
    </rPh>
    <phoneticPr fontId="1"/>
  </si>
  <si>
    <t>左上から１区１班、１区２班・・・と割り当て４４世帯まできたら、次の列に・・・</t>
    <rPh sb="0" eb="1">
      <t>ヒダリ</t>
    </rPh>
    <rPh sb="1" eb="2">
      <t>ウエ</t>
    </rPh>
    <rPh sb="5" eb="6">
      <t>ク</t>
    </rPh>
    <rPh sb="7" eb="8">
      <t>ハン</t>
    </rPh>
    <rPh sb="10" eb="11">
      <t>ク</t>
    </rPh>
    <rPh sb="12" eb="13">
      <t>ハン</t>
    </rPh>
    <rPh sb="17" eb="18">
      <t>ワ</t>
    </rPh>
    <rPh sb="19" eb="20">
      <t>ア</t>
    </rPh>
    <rPh sb="23" eb="25">
      <t>セタイ</t>
    </rPh>
    <rPh sb="31" eb="32">
      <t>ツギ</t>
    </rPh>
    <rPh sb="33" eb="34">
      <t>レツ</t>
    </rPh>
    <phoneticPr fontId="1"/>
  </si>
  <si>
    <t>１７７世帯を埋めていく</t>
    <rPh sb="3" eb="5">
      <t>セタイ</t>
    </rPh>
    <rPh sb="6" eb="7">
      <t>ウ</t>
    </rPh>
    <phoneticPr fontId="1"/>
  </si>
  <si>
    <t>対象外</t>
    <rPh sb="0" eb="3">
      <t>タイショウガイ</t>
    </rPh>
    <phoneticPr fontId="1"/>
  </si>
  <si>
    <t>R７夏季祭礼　会員寄付</t>
    <rPh sb="2" eb="4">
      <t>カキ</t>
    </rPh>
    <rPh sb="4" eb="6">
      <t>サイレイ</t>
    </rPh>
    <rPh sb="7" eb="9">
      <t>カイイン</t>
    </rPh>
    <rPh sb="9" eb="11">
      <t>キフ</t>
    </rPh>
    <phoneticPr fontId="1"/>
  </si>
  <si>
    <t>喪中</t>
    <rPh sb="0" eb="2">
      <t>モチュウ</t>
    </rPh>
    <phoneticPr fontId="1"/>
  </si>
  <si>
    <t>次回から祭礼は辞退</t>
    <rPh sb="0" eb="2">
      <t>ジカイ</t>
    </rPh>
    <rPh sb="4" eb="6">
      <t>サイレイ</t>
    </rPh>
    <rPh sb="7" eb="9">
      <t>ジタイ</t>
    </rPh>
    <phoneticPr fontId="1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</si>
  <si>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林信行</t>
    </r>
    <rPh sb="0" eb="3">
      <t>ヒョウギイン</t>
    </rPh>
    <phoneticPr fontId="1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</si>
  <si>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齋藤勇</t>
    </r>
    <rPh sb="0" eb="3">
      <t>ヒョウギイン</t>
    </rPh>
    <phoneticPr fontId="1"/>
  </si>
  <si>
    <t>戸村則登</t>
    <phoneticPr fontId="1"/>
  </si>
  <si>
    <t>菊池崇広</t>
    <phoneticPr fontId="1"/>
  </si>
  <si>
    <t>冨松良紀</t>
    <phoneticPr fontId="1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</si>
  <si>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山合行之</t>
    </r>
    <rPh sb="0" eb="3">
      <t>ヒョウギイン</t>
    </rPh>
    <phoneticPr fontId="1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</si>
  <si>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堀井広樹</t>
    </r>
    <rPh sb="0" eb="3">
      <t>ヒョウギイン</t>
    </rPh>
    <phoneticPr fontId="1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</si>
  <si>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鈴木洋一</t>
    </r>
    <rPh sb="0" eb="3">
      <t>ヒョウギイン</t>
    </rPh>
    <phoneticPr fontId="1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</si>
  <si>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秋山芳美</t>
    </r>
    <rPh sb="0" eb="3">
      <t>ヒョウギイン</t>
    </rPh>
    <phoneticPr fontId="1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</si>
  <si>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佐久間明</t>
    </r>
    <rPh sb="0" eb="3">
      <t>ヒョウギイン</t>
    </rPh>
    <phoneticPr fontId="1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</si>
  <si>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溝口美代子</t>
    </r>
    <rPh sb="0" eb="3">
      <t>ヒョウギイン</t>
    </rPh>
    <rPh sb="5" eb="7">
      <t>ミゾグチ</t>
    </rPh>
    <rPh sb="7" eb="10">
      <t>ミヨコ</t>
    </rPh>
    <phoneticPr fontId="1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</si>
  <si>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金子勲</t>
    </r>
    <rPh sb="0" eb="3">
      <t>ヒョウギイン</t>
    </rPh>
    <phoneticPr fontId="1"/>
  </si>
  <si>
    <t>松本弘子</t>
    <phoneticPr fontId="2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</si>
  <si>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須田公子</t>
    </r>
    <rPh sb="0" eb="3">
      <t>ヒョウギイン</t>
    </rPh>
    <phoneticPr fontId="1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</si>
  <si>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荒井照男</t>
    </r>
    <rPh sb="0" eb="3">
      <t>ヒョウギイン</t>
    </rPh>
    <phoneticPr fontId="1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</si>
  <si>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森良枝</t>
    </r>
    <rPh sb="0" eb="3">
      <t>ヒョウギイン</t>
    </rPh>
    <phoneticPr fontId="1"/>
  </si>
  <si>
    <t>古川孝一</t>
    <phoneticPr fontId="2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</si>
  <si>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藤田将作</t>
    </r>
    <rPh sb="0" eb="3">
      <t>ヒョウギイン</t>
    </rPh>
    <rPh sb="5" eb="7">
      <t>フジタ</t>
    </rPh>
    <rPh sb="7" eb="8">
      <t>マサル</t>
    </rPh>
    <rPh sb="8" eb="9">
      <t>サク</t>
    </rPh>
    <phoneticPr fontId="1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</si>
  <si>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小松誠</t>
    </r>
    <rPh sb="0" eb="3">
      <t>ヒョウギイン</t>
    </rPh>
    <rPh sb="5" eb="7">
      <t>コマツ</t>
    </rPh>
    <rPh sb="7" eb="8">
      <t>マコト</t>
    </rPh>
    <phoneticPr fontId="1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</si>
  <si>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網倉潤子</t>
    </r>
    <rPh sb="0" eb="3">
      <t>ヒョウギイン</t>
    </rPh>
    <phoneticPr fontId="1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</si>
  <si>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濱名誠</t>
    </r>
    <rPh sb="0" eb="3">
      <t>ヒョウギイン</t>
    </rPh>
    <phoneticPr fontId="1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</si>
  <si>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岡本三七子</t>
    </r>
    <rPh sb="0" eb="3">
      <t>ヒョウギイン</t>
    </rPh>
    <phoneticPr fontId="1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</si>
  <si>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小林弘子</t>
    </r>
    <rPh sb="0" eb="3">
      <t>ヒョウギイン</t>
    </rPh>
    <phoneticPr fontId="1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</si>
  <si>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冨山厚</t>
    </r>
    <rPh sb="0" eb="3">
      <t>ヒョウギイン</t>
    </rPh>
    <phoneticPr fontId="1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</si>
  <si>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佐藤和朗</t>
    </r>
    <rPh sb="0" eb="3">
      <t>ヒョウギイン</t>
    </rPh>
    <phoneticPr fontId="1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</si>
  <si>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堀江善幸</t>
    </r>
    <rPh sb="0" eb="3">
      <t>ヒョウギイン</t>
    </rPh>
    <phoneticPr fontId="1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</si>
  <si>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藤巻明子</t>
    </r>
    <rPh sb="0" eb="3">
      <t>ヒョウギイン</t>
    </rPh>
    <phoneticPr fontId="1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</si>
  <si>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伊藤一樹</t>
    </r>
    <rPh sb="0" eb="3">
      <t>ヒョウギイン</t>
    </rPh>
    <phoneticPr fontId="1"/>
  </si>
  <si>
    <r>
      <rPr>
        <b/>
        <sz val="24"/>
        <color theme="1"/>
        <rFont val="ＭＳ Ｐゴシック"/>
        <family val="3"/>
        <charset val="128"/>
        <scheme val="minor"/>
      </rPr>
      <t>評議員：　</t>
    </r>
    <r>
      <rPr>
        <b/>
        <sz val="36"/>
        <color theme="1"/>
        <rFont val="ＭＳ Ｐゴシック"/>
        <family val="3"/>
        <charset val="128"/>
        <scheme val="minor"/>
      </rPr>
      <t>中原真一</t>
    </r>
    <rPh sb="0" eb="3">
      <t>ヒョウギイン</t>
    </rPh>
    <phoneticPr fontId="1"/>
  </si>
  <si>
    <t>杉澤知美</t>
    <phoneticPr fontId="2"/>
  </si>
  <si>
    <t>澤登武文</t>
    <rPh sb="0" eb="1">
      <t>サワ</t>
    </rPh>
    <rPh sb="1" eb="2">
      <t>ト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</si>
</sst>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[Red]\(#,##0\)"/>
    <numFmt numFmtId="177" formatCode="m&quot;月&quot;d&quot;日&quot;;@"/>
    <numFmt numFmtId="178" formatCode="#,##0_ "/>
  </numFmts>
  <fonts count="3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 (本文)"/>
      <family val="3"/>
      <charset val="128"/>
    </font>
    <font>
      <sz val="16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28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22"/>
      <name val="ＭＳ Ｐゴシック"/>
      <family val="3"/>
      <charset val="128"/>
    </font>
    <font>
      <sz val="22"/>
      <name val="ＭＳ Ｐゴシック"/>
      <family val="3"/>
      <charset val="128"/>
      <scheme val="minor"/>
    </font>
    <font>
      <sz val="22"/>
      <color theme="1"/>
      <name val="ＭＳ Ｐゴシック"/>
      <family val="2"/>
      <charset val="128"/>
      <scheme val="minor"/>
    </font>
    <font>
      <sz val="22"/>
      <name val="ＭＳ Ｐゴシック (本文)"/>
      <family val="3"/>
      <charset val="128"/>
    </font>
    <font>
      <sz val="11"/>
      <color theme="1"/>
      <name val="BIZ UDゴシック"/>
      <family val="3"/>
      <charset val="128"/>
    </font>
    <font>
      <sz val="11"/>
      <color rgb="FFFF0000"/>
      <name val="BIZ UDゴシック"/>
      <family val="3"/>
      <charset val="128"/>
    </font>
    <font>
      <sz val="11"/>
      <name val="BIZ UDゴシック"/>
      <family val="3"/>
      <charset val="128"/>
    </font>
    <font>
      <sz val="48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8"/>
      <color theme="1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0070C0"/>
      <name val="ＭＳ Ｐゴシック"/>
      <family val="3"/>
      <charset val="128"/>
      <scheme val="minor"/>
    </font>
    <font>
      <sz val="11"/>
      <color rgb="FFEE0000"/>
      <name val="BIZ UDゴシック"/>
      <family val="3"/>
      <charset val="128"/>
    </font>
    <font>
      <b/>
      <sz val="11"/>
      <color theme="1"/>
      <name val="BIZ UDゴシック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9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6" borderId="0" xfId="0" applyFill="1">
      <alignment vertical="center"/>
    </xf>
    <xf numFmtId="0" fontId="10" fillId="0" borderId="1" xfId="0" applyFont="1" applyBorder="1">
      <alignment vertical="center"/>
    </xf>
    <xf numFmtId="176" fontId="4" fillId="0" borderId="1" xfId="0" quotePrefix="1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4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15" fillId="0" borderId="1" xfId="0" applyFont="1" applyBorder="1" applyAlignment="1">
      <alignment horizontal="distributed" vertical="center"/>
    </xf>
    <xf numFmtId="0" fontId="15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distributed" vertical="center"/>
    </xf>
    <xf numFmtId="0" fontId="15" fillId="0" borderId="0" xfId="0" applyFont="1">
      <alignment vertical="center"/>
    </xf>
    <xf numFmtId="0" fontId="17" fillId="0" borderId="1" xfId="0" applyFont="1" applyBorder="1" applyAlignment="1">
      <alignment horizontal="distributed" vertical="center"/>
    </xf>
    <xf numFmtId="0" fontId="17" fillId="0" borderId="1" xfId="0" applyFont="1" applyBorder="1" applyAlignment="1">
      <alignment horizontal="center" vertical="center"/>
    </xf>
    <xf numFmtId="0" fontId="17" fillId="0" borderId="4" xfId="0" applyFont="1" applyBorder="1" applyAlignment="1">
      <alignment horizontal="distributed" vertical="center"/>
    </xf>
    <xf numFmtId="0" fontId="15" fillId="0" borderId="5" xfId="0" applyFont="1" applyBorder="1" applyAlignment="1">
      <alignment horizontal="distributed" vertical="center"/>
    </xf>
    <xf numFmtId="0" fontId="17" fillId="0" borderId="5" xfId="0" applyFont="1" applyBorder="1" applyAlignment="1">
      <alignment horizontal="distributed" vertical="center"/>
    </xf>
    <xf numFmtId="0" fontId="18" fillId="0" borderId="1" xfId="0" applyFont="1" applyBorder="1" applyAlignment="1">
      <alignment horizontal="distributed" vertical="center"/>
    </xf>
    <xf numFmtId="0" fontId="18" fillId="0" borderId="1" xfId="0" applyFont="1" applyBorder="1" applyAlignment="1">
      <alignment horizontal="center" vertical="center"/>
    </xf>
    <xf numFmtId="0" fontId="18" fillId="0" borderId="4" xfId="0" applyFont="1" applyBorder="1" applyAlignment="1">
      <alignment horizontal="distributed" vertical="center"/>
    </xf>
    <xf numFmtId="0" fontId="19" fillId="0" borderId="0" xfId="0" applyFont="1">
      <alignment vertical="center"/>
    </xf>
    <xf numFmtId="0" fontId="17" fillId="0" borderId="4" xfId="0" applyFont="1" applyBorder="1" applyAlignment="1">
      <alignment horizontal="distributed" vertical="center" wrapText="1"/>
    </xf>
    <xf numFmtId="0" fontId="20" fillId="0" borderId="4" xfId="0" applyFont="1" applyBorder="1" applyAlignment="1">
      <alignment horizontal="distributed" vertical="center"/>
    </xf>
    <xf numFmtId="0" fontId="1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0" fontId="21" fillId="4" borderId="1" xfId="0" applyFont="1" applyFill="1" applyBorder="1">
      <alignment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distributed" vertical="center"/>
    </xf>
    <xf numFmtId="56" fontId="21" fillId="0" borderId="1" xfId="0" quotePrefix="1" applyNumberFormat="1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1" fillId="0" borderId="1" xfId="0" quotePrefix="1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distributed" vertic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>
      <alignment vertical="center"/>
    </xf>
    <xf numFmtId="0" fontId="23" fillId="4" borderId="1" xfId="0" applyFont="1" applyFill="1" applyBorder="1">
      <alignment vertical="center"/>
    </xf>
    <xf numFmtId="0" fontId="21" fillId="0" borderId="4" xfId="0" applyFont="1" applyBorder="1" applyAlignment="1">
      <alignment horizontal="distributed" vertical="center"/>
    </xf>
    <xf numFmtId="0" fontId="23" fillId="0" borderId="1" xfId="0" applyFont="1" applyBorder="1" applyAlignment="1">
      <alignment horizontal="distributed" vertical="center" wrapText="1"/>
    </xf>
    <xf numFmtId="0" fontId="23" fillId="0" borderId="1" xfId="0" applyFont="1" applyBorder="1" applyAlignment="1">
      <alignment horizontal="left" vertical="center" wrapText="1"/>
    </xf>
    <xf numFmtId="0" fontId="21" fillId="0" borderId="0" xfId="0" applyFont="1">
      <alignment vertical="center"/>
    </xf>
    <xf numFmtId="0" fontId="21" fillId="3" borderId="1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distributed" vertical="center"/>
    </xf>
    <xf numFmtId="0" fontId="21" fillId="8" borderId="1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3" fillId="5" borderId="1" xfId="0" applyFont="1" applyFill="1" applyBorder="1" applyAlignment="1">
      <alignment horizontal="left" vertical="center"/>
    </xf>
    <xf numFmtId="17" fontId="21" fillId="0" borderId="1" xfId="0" quotePrefix="1" applyNumberFormat="1" applyFont="1" applyBorder="1" applyAlignment="1">
      <alignment horizontal="left" vertical="center"/>
    </xf>
    <xf numFmtId="0" fontId="23" fillId="0" borderId="1" xfId="0" quotePrefix="1" applyFont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23" fillId="0" borderId="0" xfId="0" applyFont="1">
      <alignment vertical="center"/>
    </xf>
    <xf numFmtId="176" fontId="4" fillId="9" borderId="1" xfId="0" quotePrefix="1" applyNumberFormat="1" applyFont="1" applyFill="1" applyBorder="1" applyAlignment="1">
      <alignment horizontal="center" vertical="center"/>
    </xf>
    <xf numFmtId="176" fontId="4" fillId="6" borderId="1" xfId="0" quotePrefix="1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distributed" vertical="center"/>
    </xf>
    <xf numFmtId="0" fontId="17" fillId="6" borderId="1" xfId="0" applyFont="1" applyFill="1" applyBorder="1" applyAlignment="1">
      <alignment horizontal="distributed" vertical="center"/>
    </xf>
    <xf numFmtId="0" fontId="17" fillId="6" borderId="3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distributed" vertical="center"/>
    </xf>
    <xf numFmtId="0" fontId="19" fillId="0" borderId="0" xfId="0" applyFont="1" applyAlignment="1">
      <alignment horizontal="center" vertical="center"/>
    </xf>
    <xf numFmtId="0" fontId="8" fillId="0" borderId="2" xfId="0" applyFont="1" applyBorder="1">
      <alignment vertical="center"/>
    </xf>
    <xf numFmtId="177" fontId="4" fillId="0" borderId="1" xfId="0" applyNumberFormat="1" applyFon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10" borderId="1" xfId="0" applyFont="1" applyFill="1" applyBorder="1">
      <alignment vertical="center"/>
    </xf>
    <xf numFmtId="0" fontId="23" fillId="6" borderId="1" xfId="0" applyFont="1" applyFill="1" applyBorder="1" applyAlignment="1">
      <alignment horizontal="left" vertical="center"/>
    </xf>
    <xf numFmtId="0" fontId="21" fillId="11" borderId="1" xfId="0" applyFont="1" applyFill="1" applyBorder="1">
      <alignment vertical="center"/>
    </xf>
    <xf numFmtId="0" fontId="30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distributed" vertical="center"/>
    </xf>
    <xf numFmtId="0" fontId="30" fillId="3" borderId="1" xfId="0" quotePrefix="1" applyFont="1" applyFill="1" applyBorder="1" applyAlignment="1">
      <alignment horizontal="left" vertical="center"/>
    </xf>
    <xf numFmtId="0" fontId="30" fillId="3" borderId="1" xfId="0" applyFont="1" applyFill="1" applyBorder="1" applyAlignment="1">
      <alignment horizontal="left" vertical="center"/>
    </xf>
    <xf numFmtId="0" fontId="21" fillId="12" borderId="1" xfId="0" applyFont="1" applyFill="1" applyBorder="1">
      <alignment vertical="center"/>
    </xf>
    <xf numFmtId="0" fontId="21" fillId="13" borderId="1" xfId="0" applyFont="1" applyFill="1" applyBorder="1">
      <alignment vertical="center"/>
    </xf>
    <xf numFmtId="0" fontId="23" fillId="13" borderId="1" xfId="0" applyFont="1" applyFill="1" applyBorder="1">
      <alignment vertical="center"/>
    </xf>
    <xf numFmtId="0" fontId="23" fillId="2" borderId="1" xfId="0" applyFont="1" applyFill="1" applyBorder="1">
      <alignment vertical="center"/>
    </xf>
    <xf numFmtId="0" fontId="23" fillId="10" borderId="1" xfId="0" applyFont="1" applyFill="1" applyBorder="1">
      <alignment vertical="center"/>
    </xf>
    <xf numFmtId="0" fontId="21" fillId="8" borderId="1" xfId="0" applyFont="1" applyFill="1" applyBorder="1">
      <alignment vertical="center"/>
    </xf>
    <xf numFmtId="0" fontId="23" fillId="8" borderId="1" xfId="0" applyFont="1" applyFill="1" applyBorder="1">
      <alignment vertical="center"/>
    </xf>
    <xf numFmtId="0" fontId="21" fillId="6" borderId="1" xfId="0" applyFont="1" applyFill="1" applyBorder="1" applyAlignment="1">
      <alignment horizontal="left" vertical="center"/>
    </xf>
    <xf numFmtId="0" fontId="21" fillId="2" borderId="1" xfId="0" applyFont="1" applyFill="1" applyBorder="1">
      <alignment vertical="center"/>
    </xf>
    <xf numFmtId="0" fontId="21" fillId="14" borderId="1" xfId="0" applyFont="1" applyFill="1" applyBorder="1">
      <alignment vertical="center"/>
    </xf>
    <xf numFmtId="0" fontId="23" fillId="3" borderId="1" xfId="0" applyFont="1" applyFill="1" applyBorder="1" applyAlignment="1">
      <alignment horizontal="distributed" vertical="center"/>
    </xf>
    <xf numFmtId="0" fontId="5" fillId="0" borderId="0" xfId="0" applyFont="1">
      <alignment vertical="center"/>
    </xf>
    <xf numFmtId="0" fontId="21" fillId="6" borderId="1" xfId="0" applyFont="1" applyFill="1" applyBorder="1" applyAlignment="1">
      <alignment horizontal="distributed" vertical="center"/>
    </xf>
    <xf numFmtId="0" fontId="4" fillId="0" borderId="0" xfId="0" applyFont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4" fillId="0" borderId="1" xfId="0" applyFont="1" applyBorder="1">
      <alignment vertical="center"/>
    </xf>
    <xf numFmtId="0" fontId="4" fillId="7" borderId="1" xfId="0" applyFont="1" applyFill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1" fillId="0" borderId="1" xfId="0" applyFont="1" applyFill="1" applyBorder="1">
      <alignment vertical="center"/>
    </xf>
    <xf numFmtId="0" fontId="23" fillId="0" borderId="1" xfId="0" applyFont="1" applyFill="1" applyBorder="1">
      <alignment vertical="center"/>
    </xf>
    <xf numFmtId="0" fontId="4" fillId="0" borderId="1" xfId="0" applyFont="1" applyFill="1" applyBorder="1" applyAlignment="1">
      <alignment horizontal="left" vertical="center"/>
    </xf>
    <xf numFmtId="56" fontId="4" fillId="0" borderId="1" xfId="0" applyNumberFormat="1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9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23" fillId="0" borderId="1" xfId="0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4" fillId="3" borderId="1" xfId="0" quotePrefix="1" applyNumberFormat="1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distributed" vertical="center"/>
    </xf>
    <xf numFmtId="0" fontId="15" fillId="0" borderId="1" xfId="0" applyFont="1" applyFill="1" applyBorder="1" applyAlignment="1">
      <alignment horizontal="distributed" vertical="center"/>
    </xf>
    <xf numFmtId="0" fontId="15" fillId="0" borderId="3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distributed" vertical="center" wrapText="1"/>
    </xf>
    <xf numFmtId="0" fontId="15" fillId="0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3</xdr:row>
      <xdr:rowOff>85726</xdr:rowOff>
    </xdr:from>
    <xdr:to>
      <xdr:col>5</xdr:col>
      <xdr:colOff>361950</xdr:colOff>
      <xdr:row>12</xdr:row>
      <xdr:rowOff>85726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18AD786-F8AA-AD95-A4CD-E44B6773677E}"/>
            </a:ext>
          </a:extLst>
        </xdr:cNvPr>
        <xdr:cNvSpPr/>
      </xdr:nvSpPr>
      <xdr:spPr>
        <a:xfrm>
          <a:off x="971550" y="600076"/>
          <a:ext cx="2819400" cy="15430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　シート：⑩寄付者一覧 </a:t>
          </a:r>
          <a:r>
            <a:rPr kumimoji="1" lang="en-US" altLang="ja-JP" sz="1100"/>
            <a:t>(</a:t>
          </a:r>
          <a:r>
            <a:rPr kumimoji="1" lang="ja-JP" altLang="en-US" sz="1100"/>
            <a:t>班別）に対して、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G</a:t>
          </a:r>
          <a:r>
            <a:rPr kumimoji="1" lang="ja-JP" altLang="en-US" sz="1100"/>
            <a:t>列「寄付金額」に対して金額別にフィルタを</a:t>
          </a:r>
          <a:endParaRPr kumimoji="1" lang="en-US" altLang="ja-JP" sz="1100"/>
        </a:p>
        <a:p>
          <a:pPr algn="l"/>
          <a:r>
            <a:rPr kumimoji="1" lang="ja-JP" altLang="en-US" sz="1100"/>
            <a:t>かけて抽出します。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その際、１行目のセル結合を一旦解除する必要があります。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</xdr:txBody>
    </xdr:sp>
    <xdr:clientData/>
  </xdr:twoCellAnchor>
  <xdr:twoCellAnchor editAs="oneCell">
    <xdr:from>
      <xdr:col>2</xdr:col>
      <xdr:colOff>0</xdr:colOff>
      <xdr:row>34</xdr:row>
      <xdr:rowOff>0</xdr:rowOff>
    </xdr:from>
    <xdr:to>
      <xdr:col>5</xdr:col>
      <xdr:colOff>676657</xdr:colOff>
      <xdr:row>60</xdr:row>
      <xdr:rowOff>76833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9400B01-04AB-E4D0-21AF-3B97A5207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5829300"/>
          <a:ext cx="2734057" cy="4534533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61</xdr:row>
      <xdr:rowOff>66675</xdr:rowOff>
    </xdr:from>
    <xdr:to>
      <xdr:col>11</xdr:col>
      <xdr:colOff>77132</xdr:colOff>
      <xdr:row>74</xdr:row>
      <xdr:rowOff>57460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4F13099-8832-5495-2A82-57AACA6F7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2975" y="10525125"/>
          <a:ext cx="6677957" cy="221963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69B88-B2F3-4F37-AE19-DDD1E41E19B9}">
  <dimension ref="A1:A12"/>
  <sheetViews>
    <sheetView workbookViewId="0">
      <selection activeCell="A15" sqref="A15"/>
    </sheetView>
  </sheetViews>
  <sheetFormatPr defaultRowHeight="13.5"/>
  <cols>
    <col min="1" max="1" width="82.75" customWidth="1"/>
  </cols>
  <sheetData>
    <row r="1" spans="1:1">
      <c r="A1" t="s">
        <v>442</v>
      </c>
    </row>
    <row r="3" spans="1:1">
      <c r="A3" s="105" t="s">
        <v>574</v>
      </c>
    </row>
    <row r="6" spans="1:1">
      <c r="A6" t="s">
        <v>575</v>
      </c>
    </row>
    <row r="8" spans="1:1">
      <c r="A8" s="105" t="s">
        <v>576</v>
      </c>
    </row>
    <row r="9" spans="1:1">
      <c r="A9" s="105" t="s">
        <v>577</v>
      </c>
    </row>
    <row r="10" spans="1:1">
      <c r="A10" s="105" t="s">
        <v>578</v>
      </c>
    </row>
    <row r="11" spans="1:1">
      <c r="A11" s="105" t="s">
        <v>579</v>
      </c>
    </row>
    <row r="12" spans="1:1">
      <c r="A12" s="105" t="s">
        <v>580</v>
      </c>
    </row>
  </sheetData>
  <phoneticPr fontId="1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F9F5-095A-49D3-8B7C-D23A0F43FC0B}">
  <sheetPr>
    <pageSetUpPr fitToPage="1"/>
  </sheetPr>
  <dimension ref="A1:J186"/>
  <sheetViews>
    <sheetView view="pageBreakPreview" zoomScale="85" zoomScaleNormal="120" zoomScaleSheetLayoutView="85" workbookViewId="0">
      <pane xSplit="3" ySplit="2" topLeftCell="D58" activePane="bottomRight" state="frozen"/>
      <selection pane="topRight" activeCell="D1" sqref="D1"/>
      <selection pane="bottomLeft" activeCell="A3" sqref="A3"/>
      <selection pane="bottomRight" activeCell="F73" sqref="F73"/>
    </sheetView>
  </sheetViews>
  <sheetFormatPr defaultColWidth="8.75" defaultRowHeight="13.5"/>
  <cols>
    <col min="1" max="1" width="4.625" customWidth="1"/>
    <col min="2" max="2" width="4.125" customWidth="1"/>
    <col min="3" max="3" width="4.625" customWidth="1"/>
    <col min="4" max="4" width="6.625" customWidth="1"/>
    <col min="5" max="5" width="7.5" bestFit="1" customWidth="1"/>
    <col min="6" max="6" width="23.875" style="3" bestFit="1" customWidth="1"/>
    <col min="7" max="7" width="13.75" style="3" customWidth="1"/>
    <col min="8" max="8" width="15" style="3" bestFit="1" customWidth="1"/>
    <col min="9" max="9" width="53.875" bestFit="1" customWidth="1"/>
  </cols>
  <sheetData>
    <row r="1" spans="1:10" ht="40.5" customHeight="1">
      <c r="A1" s="108" t="s">
        <v>512</v>
      </c>
      <c r="B1" s="109"/>
      <c r="C1" s="109"/>
      <c r="D1" s="109"/>
      <c r="E1" s="109"/>
      <c r="F1" s="109"/>
      <c r="G1" s="109"/>
      <c r="H1" s="109"/>
      <c r="I1" s="109"/>
      <c r="J1" s="56"/>
    </row>
    <row r="2" spans="1:10" s="2" customFormat="1" ht="21" customHeight="1">
      <c r="A2" s="42" t="s">
        <v>187</v>
      </c>
      <c r="B2" s="42" t="s">
        <v>188</v>
      </c>
      <c r="C2" s="42" t="s">
        <v>185</v>
      </c>
      <c r="D2" s="42" t="s">
        <v>370</v>
      </c>
      <c r="E2" s="42" t="s">
        <v>380</v>
      </c>
      <c r="F2" s="42" t="s">
        <v>173</v>
      </c>
      <c r="G2" s="42" t="s">
        <v>174</v>
      </c>
      <c r="H2" s="42" t="s">
        <v>278</v>
      </c>
      <c r="I2" s="42" t="s">
        <v>186</v>
      </c>
      <c r="J2" s="81"/>
    </row>
    <row r="3" spans="1:10" s="1" customFormat="1" ht="15" customHeight="1">
      <c r="A3" s="40">
        <f>ROW()-2</f>
        <v>1</v>
      </c>
      <c r="B3" s="82">
        <v>1</v>
      </c>
      <c r="C3" s="82">
        <v>1</v>
      </c>
      <c r="D3" s="42">
        <f>IF(AND(B2=B3,C2=C3),D2+1,1)</f>
        <v>1</v>
      </c>
      <c r="E3" s="42"/>
      <c r="F3" s="43" t="s">
        <v>175</v>
      </c>
      <c r="G3" s="44" t="s">
        <v>0</v>
      </c>
      <c r="H3" s="45" t="s">
        <v>21</v>
      </c>
      <c r="I3" s="45"/>
      <c r="J3" s="56"/>
    </row>
    <row r="4" spans="1:10" s="1" customFormat="1" ht="15" customHeight="1">
      <c r="A4" s="40">
        <f t="shared" ref="A4:A67" si="0">ROW()-2</f>
        <v>2</v>
      </c>
      <c r="B4" s="82">
        <v>1</v>
      </c>
      <c r="C4" s="82">
        <v>1</v>
      </c>
      <c r="D4" s="42">
        <f>IF(AND(B3=B4,C3=C4),D3+1,1)</f>
        <v>2</v>
      </c>
      <c r="E4" s="42"/>
      <c r="F4" s="43" t="s">
        <v>376</v>
      </c>
      <c r="G4" s="46" t="s">
        <v>0</v>
      </c>
      <c r="H4" s="45" t="s">
        <v>22</v>
      </c>
      <c r="I4" s="45"/>
      <c r="J4" s="56"/>
    </row>
    <row r="5" spans="1:10" s="1" customFormat="1" ht="15" customHeight="1">
      <c r="A5" s="40">
        <f t="shared" si="0"/>
        <v>3</v>
      </c>
      <c r="B5" s="82">
        <v>1</v>
      </c>
      <c r="C5" s="82">
        <v>1</v>
      </c>
      <c r="D5" s="42">
        <f t="shared" ref="D5:D68" si="1">IF(AND(B4=B5,C4=C5),D4+1,1)</f>
        <v>3</v>
      </c>
      <c r="E5" s="47"/>
      <c r="F5" s="43" t="s">
        <v>176</v>
      </c>
      <c r="G5" s="46" t="s">
        <v>0</v>
      </c>
      <c r="H5" s="45" t="s">
        <v>23</v>
      </c>
      <c r="I5" s="45"/>
      <c r="J5" s="56"/>
    </row>
    <row r="6" spans="1:10" s="1" customFormat="1" ht="15" customHeight="1">
      <c r="A6" s="40">
        <f t="shared" si="0"/>
        <v>4</v>
      </c>
      <c r="B6" s="82">
        <v>1</v>
      </c>
      <c r="C6" s="82">
        <v>1</v>
      </c>
      <c r="D6" s="42">
        <f t="shared" si="1"/>
        <v>4</v>
      </c>
      <c r="E6" s="42"/>
      <c r="F6" s="43" t="s">
        <v>177</v>
      </c>
      <c r="G6" s="46" t="s">
        <v>0</v>
      </c>
      <c r="H6" s="45" t="s">
        <v>24</v>
      </c>
      <c r="I6" s="45" t="s">
        <v>25</v>
      </c>
      <c r="J6" s="56"/>
    </row>
    <row r="7" spans="1:10" s="1" customFormat="1" ht="15" customHeight="1">
      <c r="A7" s="40">
        <f t="shared" si="0"/>
        <v>5</v>
      </c>
      <c r="B7" s="82">
        <v>1</v>
      </c>
      <c r="C7" s="82">
        <v>1</v>
      </c>
      <c r="D7" s="42">
        <f t="shared" si="1"/>
        <v>5</v>
      </c>
      <c r="E7" s="47"/>
      <c r="F7" s="48" t="s">
        <v>178</v>
      </c>
      <c r="G7" s="46" t="s">
        <v>0</v>
      </c>
      <c r="H7" s="49" t="s">
        <v>26</v>
      </c>
      <c r="I7" s="49"/>
      <c r="J7" s="56"/>
    </row>
    <row r="8" spans="1:10" s="1" customFormat="1" ht="15" customHeight="1">
      <c r="A8" s="40">
        <f t="shared" si="0"/>
        <v>6</v>
      </c>
      <c r="B8" s="82">
        <v>1</v>
      </c>
      <c r="C8" s="82">
        <v>1</v>
      </c>
      <c r="D8" s="42">
        <f t="shared" si="1"/>
        <v>6</v>
      </c>
      <c r="E8" s="42"/>
      <c r="F8" s="48" t="s">
        <v>332</v>
      </c>
      <c r="G8" s="46" t="s">
        <v>0</v>
      </c>
      <c r="H8" s="83"/>
      <c r="I8" s="45" t="s">
        <v>331</v>
      </c>
      <c r="J8" s="56"/>
    </row>
    <row r="9" spans="1:10" s="1" customFormat="1" ht="15" customHeight="1">
      <c r="A9" s="40">
        <f t="shared" si="0"/>
        <v>7</v>
      </c>
      <c r="B9" s="82">
        <v>1</v>
      </c>
      <c r="C9" s="82">
        <v>1</v>
      </c>
      <c r="D9" s="42">
        <f t="shared" si="1"/>
        <v>7</v>
      </c>
      <c r="E9" s="50"/>
      <c r="F9" s="48" t="s">
        <v>179</v>
      </c>
      <c r="G9" s="46" t="s">
        <v>1</v>
      </c>
      <c r="H9" s="49" t="s">
        <v>27</v>
      </c>
      <c r="I9" s="45"/>
      <c r="J9" s="56"/>
    </row>
    <row r="10" spans="1:10" s="1" customFormat="1" ht="15" customHeight="1">
      <c r="A10" s="40">
        <f t="shared" si="0"/>
        <v>8</v>
      </c>
      <c r="B10" s="82">
        <v>1</v>
      </c>
      <c r="C10" s="82">
        <v>1</v>
      </c>
      <c r="D10" s="42">
        <f t="shared" si="1"/>
        <v>8</v>
      </c>
      <c r="E10" s="42"/>
      <c r="F10" s="48" t="s">
        <v>180</v>
      </c>
      <c r="G10" s="46" t="s">
        <v>1</v>
      </c>
      <c r="H10" s="49" t="s">
        <v>401</v>
      </c>
      <c r="I10" s="45" t="s">
        <v>392</v>
      </c>
      <c r="J10" s="56"/>
    </row>
    <row r="11" spans="1:10" s="1" customFormat="1" ht="15" customHeight="1">
      <c r="A11" s="40">
        <f t="shared" si="0"/>
        <v>9</v>
      </c>
      <c r="B11" s="82">
        <v>1</v>
      </c>
      <c r="C11" s="82">
        <v>1</v>
      </c>
      <c r="D11" s="42">
        <f t="shared" si="1"/>
        <v>9</v>
      </c>
      <c r="E11" s="50" t="s">
        <v>381</v>
      </c>
      <c r="F11" s="48" t="s">
        <v>329</v>
      </c>
      <c r="G11" s="46" t="s">
        <v>1</v>
      </c>
      <c r="H11" s="49" t="s">
        <v>330</v>
      </c>
      <c r="I11" s="45" t="s">
        <v>513</v>
      </c>
      <c r="J11" s="56"/>
    </row>
    <row r="12" spans="1:10" s="1" customFormat="1" ht="15" customHeight="1">
      <c r="A12" s="40">
        <f t="shared" si="0"/>
        <v>10</v>
      </c>
      <c r="B12" s="84">
        <v>1</v>
      </c>
      <c r="C12" s="84">
        <v>2</v>
      </c>
      <c r="D12" s="42">
        <f t="shared" si="1"/>
        <v>1</v>
      </c>
      <c r="E12" s="42"/>
      <c r="F12" s="43" t="s">
        <v>181</v>
      </c>
      <c r="G12" s="46" t="s">
        <v>28</v>
      </c>
      <c r="H12" s="45" t="s">
        <v>29</v>
      </c>
      <c r="I12" s="45"/>
      <c r="J12" s="56"/>
    </row>
    <row r="13" spans="1:10" s="1" customFormat="1" ht="15" customHeight="1">
      <c r="A13" s="40">
        <f t="shared" si="0"/>
        <v>11</v>
      </c>
      <c r="B13" s="84">
        <v>1</v>
      </c>
      <c r="C13" s="84">
        <v>2</v>
      </c>
      <c r="D13" s="42">
        <f t="shared" si="1"/>
        <v>2</v>
      </c>
      <c r="E13" s="47"/>
      <c r="F13" s="43" t="s">
        <v>443</v>
      </c>
      <c r="G13" s="46" t="s">
        <v>30</v>
      </c>
      <c r="H13" s="45" t="s">
        <v>444</v>
      </c>
      <c r="I13" s="45" t="s">
        <v>445</v>
      </c>
      <c r="J13" s="56"/>
    </row>
    <row r="14" spans="1:10" s="1" customFormat="1" ht="15" customHeight="1">
      <c r="A14" s="40">
        <f t="shared" si="0"/>
        <v>12</v>
      </c>
      <c r="B14" s="84">
        <v>1</v>
      </c>
      <c r="C14" s="84">
        <v>2</v>
      </c>
      <c r="D14" s="42">
        <f t="shared" si="1"/>
        <v>3</v>
      </c>
      <c r="E14" s="50"/>
      <c r="F14" s="43" t="s">
        <v>182</v>
      </c>
      <c r="G14" s="46" t="s">
        <v>28</v>
      </c>
      <c r="H14" s="45" t="s">
        <v>31</v>
      </c>
      <c r="I14" s="45"/>
      <c r="J14" s="56"/>
    </row>
    <row r="15" spans="1:10" s="1" customFormat="1" ht="15" customHeight="1">
      <c r="A15" s="40">
        <f t="shared" si="0"/>
        <v>13</v>
      </c>
      <c r="B15" s="84">
        <v>1</v>
      </c>
      <c r="C15" s="84">
        <v>2</v>
      </c>
      <c r="D15" s="42">
        <f t="shared" si="1"/>
        <v>4</v>
      </c>
      <c r="E15" s="50" t="s">
        <v>381</v>
      </c>
      <c r="F15" s="43" t="s">
        <v>183</v>
      </c>
      <c r="G15" s="46" t="s">
        <v>30</v>
      </c>
      <c r="H15" s="45" t="s">
        <v>32</v>
      </c>
      <c r="I15" s="45"/>
      <c r="J15" s="56"/>
    </row>
    <row r="16" spans="1:10" s="1" customFormat="1" ht="15" customHeight="1">
      <c r="A16" s="40">
        <f t="shared" si="0"/>
        <v>14</v>
      </c>
      <c r="B16" s="84">
        <v>1</v>
      </c>
      <c r="C16" s="84">
        <v>2</v>
      </c>
      <c r="D16" s="42">
        <f t="shared" si="1"/>
        <v>5</v>
      </c>
      <c r="E16" s="42"/>
      <c r="F16" s="43" t="s">
        <v>184</v>
      </c>
      <c r="G16" s="46" t="s">
        <v>30</v>
      </c>
      <c r="H16" s="45" t="s">
        <v>33</v>
      </c>
      <c r="I16" s="45"/>
      <c r="J16" s="56"/>
    </row>
    <row r="17" spans="1:10" s="1" customFormat="1" ht="15" customHeight="1">
      <c r="A17" s="40">
        <f t="shared" si="0"/>
        <v>15</v>
      </c>
      <c r="B17" s="84">
        <v>1</v>
      </c>
      <c r="C17" s="84">
        <v>2</v>
      </c>
      <c r="D17" s="42">
        <f t="shared" si="1"/>
        <v>6</v>
      </c>
      <c r="E17" s="42"/>
      <c r="F17" s="43" t="s">
        <v>322</v>
      </c>
      <c r="G17" s="46" t="s">
        <v>30</v>
      </c>
      <c r="H17" s="45" t="s">
        <v>34</v>
      </c>
      <c r="I17" s="45"/>
      <c r="J17" s="56"/>
    </row>
    <row r="18" spans="1:10" s="1" customFormat="1" ht="15" customHeight="1">
      <c r="A18" s="40">
        <f t="shared" si="0"/>
        <v>16</v>
      </c>
      <c r="B18" s="84">
        <v>1</v>
      </c>
      <c r="C18" s="84">
        <v>2</v>
      </c>
      <c r="D18" s="42">
        <f t="shared" si="1"/>
        <v>7</v>
      </c>
      <c r="E18" s="42"/>
      <c r="F18" s="43" t="s">
        <v>327</v>
      </c>
      <c r="G18" s="46" t="s">
        <v>28</v>
      </c>
      <c r="H18" s="45" t="s">
        <v>328</v>
      </c>
      <c r="I18" s="45" t="s">
        <v>331</v>
      </c>
      <c r="J18" s="56"/>
    </row>
    <row r="19" spans="1:10" s="1" customFormat="1" ht="15" customHeight="1">
      <c r="A19" s="40">
        <f t="shared" si="0"/>
        <v>17</v>
      </c>
      <c r="B19" s="84">
        <v>1</v>
      </c>
      <c r="C19" s="84">
        <v>2</v>
      </c>
      <c r="D19" s="85">
        <f t="shared" si="1"/>
        <v>8</v>
      </c>
      <c r="E19" s="85"/>
      <c r="F19" s="86" t="s">
        <v>514</v>
      </c>
      <c r="G19" s="87" t="s">
        <v>515</v>
      </c>
      <c r="H19" s="87" t="s">
        <v>516</v>
      </c>
      <c r="I19" s="88" t="s">
        <v>517</v>
      </c>
      <c r="J19" s="56"/>
    </row>
    <row r="20" spans="1:10" s="1" customFormat="1" ht="15" customHeight="1">
      <c r="A20" s="40">
        <f t="shared" si="0"/>
        <v>18</v>
      </c>
      <c r="B20" s="89">
        <v>1</v>
      </c>
      <c r="C20" s="89">
        <v>3</v>
      </c>
      <c r="D20" s="42">
        <f>IF(AND(B18=B20,C18=C20),D18+1,1)</f>
        <v>1</v>
      </c>
      <c r="E20" s="50" t="s">
        <v>381</v>
      </c>
      <c r="F20" s="43" t="s">
        <v>190</v>
      </c>
      <c r="G20" s="46" t="s">
        <v>28</v>
      </c>
      <c r="H20" s="45" t="s">
        <v>35</v>
      </c>
      <c r="I20" s="45"/>
      <c r="J20" s="56"/>
    </row>
    <row r="21" spans="1:10" s="1" customFormat="1" ht="15" customHeight="1">
      <c r="A21" s="40">
        <f t="shared" si="0"/>
        <v>19</v>
      </c>
      <c r="B21" s="89">
        <v>1</v>
      </c>
      <c r="C21" s="89">
        <v>3</v>
      </c>
      <c r="D21" s="42">
        <f t="shared" si="1"/>
        <v>2</v>
      </c>
      <c r="E21" s="47"/>
      <c r="F21" s="43" t="s">
        <v>341</v>
      </c>
      <c r="G21" s="46" t="s">
        <v>36</v>
      </c>
      <c r="H21" s="45" t="s">
        <v>37</v>
      </c>
      <c r="I21" s="49" t="s">
        <v>428</v>
      </c>
      <c r="J21" s="56"/>
    </row>
    <row r="22" spans="1:10" s="1" customFormat="1" ht="15" customHeight="1">
      <c r="A22" s="40">
        <f t="shared" si="0"/>
        <v>20</v>
      </c>
      <c r="B22" s="89">
        <v>1</v>
      </c>
      <c r="C22" s="89">
        <v>3</v>
      </c>
      <c r="D22" s="42">
        <f t="shared" si="1"/>
        <v>3</v>
      </c>
      <c r="E22" s="47"/>
      <c r="F22" s="43" t="s">
        <v>283</v>
      </c>
      <c r="G22" s="46" t="s">
        <v>36</v>
      </c>
      <c r="H22" s="45" t="s">
        <v>402</v>
      </c>
      <c r="I22" s="45"/>
      <c r="J22" s="56"/>
    </row>
    <row r="23" spans="1:10" s="1" customFormat="1" ht="15" customHeight="1">
      <c r="A23" s="40">
        <f t="shared" si="0"/>
        <v>21</v>
      </c>
      <c r="B23" s="89">
        <v>1</v>
      </c>
      <c r="C23" s="89">
        <v>3</v>
      </c>
      <c r="D23" s="42">
        <f t="shared" si="1"/>
        <v>4</v>
      </c>
      <c r="E23" s="42"/>
      <c r="F23" s="43" t="s">
        <v>191</v>
      </c>
      <c r="G23" s="46" t="s">
        <v>36</v>
      </c>
      <c r="H23" s="45" t="s">
        <v>38</v>
      </c>
      <c r="I23" s="49"/>
      <c r="J23" s="56"/>
    </row>
    <row r="24" spans="1:10" s="1" customFormat="1" ht="15" customHeight="1">
      <c r="A24" s="40">
        <f t="shared" si="0"/>
        <v>22</v>
      </c>
      <c r="B24" s="89">
        <v>1</v>
      </c>
      <c r="C24" s="89">
        <v>3</v>
      </c>
      <c r="D24" s="42">
        <f t="shared" si="1"/>
        <v>5</v>
      </c>
      <c r="E24" s="42"/>
      <c r="F24" s="43" t="s">
        <v>192</v>
      </c>
      <c r="G24" s="46" t="s">
        <v>36</v>
      </c>
      <c r="H24" s="45" t="s">
        <v>39</v>
      </c>
      <c r="I24" s="49" t="s">
        <v>2</v>
      </c>
      <c r="J24" s="56"/>
    </row>
    <row r="25" spans="1:10" s="1" customFormat="1" ht="15" customHeight="1">
      <c r="A25" s="40">
        <f t="shared" si="0"/>
        <v>23</v>
      </c>
      <c r="B25" s="89">
        <v>1</v>
      </c>
      <c r="C25" s="89">
        <v>3</v>
      </c>
      <c r="D25" s="42">
        <f t="shared" si="1"/>
        <v>6</v>
      </c>
      <c r="E25" s="50"/>
      <c r="F25" s="43" t="s">
        <v>371</v>
      </c>
      <c r="G25" s="46" t="s">
        <v>36</v>
      </c>
      <c r="H25" s="45" t="s">
        <v>40</v>
      </c>
      <c r="I25" s="45"/>
      <c r="J25" s="56"/>
    </row>
    <row r="26" spans="1:10" s="1" customFormat="1" ht="15" customHeight="1">
      <c r="A26" s="40">
        <f t="shared" si="0"/>
        <v>24</v>
      </c>
      <c r="B26" s="89">
        <v>1</v>
      </c>
      <c r="C26" s="89">
        <v>3</v>
      </c>
      <c r="D26" s="42">
        <f t="shared" si="1"/>
        <v>7</v>
      </c>
      <c r="E26" s="42"/>
      <c r="F26" s="43" t="s">
        <v>193</v>
      </c>
      <c r="G26" s="46" t="s">
        <v>36</v>
      </c>
      <c r="H26" s="45" t="s">
        <v>41</v>
      </c>
      <c r="I26" s="49" t="s">
        <v>3</v>
      </c>
      <c r="J26" s="56"/>
    </row>
    <row r="27" spans="1:10" s="1" customFormat="1" ht="15" customHeight="1">
      <c r="A27" s="40">
        <f t="shared" si="0"/>
        <v>25</v>
      </c>
      <c r="B27" s="89">
        <v>1</v>
      </c>
      <c r="C27" s="89">
        <v>3</v>
      </c>
      <c r="D27" s="42">
        <f t="shared" si="1"/>
        <v>8</v>
      </c>
      <c r="E27" s="42"/>
      <c r="F27" s="43" t="s">
        <v>518</v>
      </c>
      <c r="G27" s="46" t="s">
        <v>36</v>
      </c>
      <c r="H27" s="45" t="s">
        <v>42</v>
      </c>
      <c r="I27" s="45"/>
      <c r="J27" s="56"/>
    </row>
    <row r="28" spans="1:10" s="1" customFormat="1" ht="15" customHeight="1">
      <c r="A28" s="40">
        <f t="shared" si="0"/>
        <v>26</v>
      </c>
      <c r="B28" s="90">
        <v>1</v>
      </c>
      <c r="C28" s="90">
        <v>4</v>
      </c>
      <c r="D28" s="42">
        <f t="shared" si="1"/>
        <v>1</v>
      </c>
      <c r="E28" s="42"/>
      <c r="F28" s="43" t="s">
        <v>519</v>
      </c>
      <c r="G28" s="45" t="s">
        <v>43</v>
      </c>
      <c r="H28" s="45" t="s">
        <v>44</v>
      </c>
      <c r="I28" s="45" t="s">
        <v>431</v>
      </c>
      <c r="J28" s="56"/>
    </row>
    <row r="29" spans="1:10" s="1" customFormat="1" ht="15" customHeight="1">
      <c r="A29" s="40">
        <f t="shared" si="0"/>
        <v>27</v>
      </c>
      <c r="B29" s="90">
        <v>1</v>
      </c>
      <c r="C29" s="90">
        <v>4</v>
      </c>
      <c r="D29" s="42">
        <f t="shared" si="1"/>
        <v>2</v>
      </c>
      <c r="E29" s="50" t="s">
        <v>381</v>
      </c>
      <c r="F29" s="43" t="s">
        <v>194</v>
      </c>
      <c r="G29" s="45" t="s">
        <v>46</v>
      </c>
      <c r="H29" s="45" t="s">
        <v>45</v>
      </c>
      <c r="I29" s="45"/>
      <c r="J29" s="56"/>
    </row>
    <row r="30" spans="1:10" s="1" customFormat="1" ht="15" customHeight="1">
      <c r="A30" s="40">
        <f t="shared" si="0"/>
        <v>28</v>
      </c>
      <c r="B30" s="90">
        <v>1</v>
      </c>
      <c r="C30" s="90">
        <v>4</v>
      </c>
      <c r="D30" s="42">
        <f t="shared" si="1"/>
        <v>3</v>
      </c>
      <c r="E30" s="42"/>
      <c r="F30" s="43" t="s">
        <v>195</v>
      </c>
      <c r="G30" s="45" t="s">
        <v>46</v>
      </c>
      <c r="H30" s="45" t="s">
        <v>47</v>
      </c>
      <c r="I30" s="45"/>
      <c r="J30" s="56"/>
    </row>
    <row r="31" spans="1:10" s="1" customFormat="1" ht="15" customHeight="1">
      <c r="A31" s="40">
        <f t="shared" si="0"/>
        <v>29</v>
      </c>
      <c r="B31" s="90">
        <v>1</v>
      </c>
      <c r="C31" s="90">
        <v>4</v>
      </c>
      <c r="D31" s="42">
        <f t="shared" si="1"/>
        <v>4</v>
      </c>
      <c r="E31" s="47"/>
      <c r="F31" s="43" t="s">
        <v>196</v>
      </c>
      <c r="G31" s="45" t="s">
        <v>46</v>
      </c>
      <c r="H31" s="45" t="s">
        <v>48</v>
      </c>
      <c r="I31" s="45" t="s">
        <v>49</v>
      </c>
      <c r="J31" s="56"/>
    </row>
    <row r="32" spans="1:10" s="1" customFormat="1" ht="15" customHeight="1">
      <c r="A32" s="40">
        <f t="shared" si="0"/>
        <v>30</v>
      </c>
      <c r="B32" s="90">
        <v>1</v>
      </c>
      <c r="C32" s="90">
        <v>4</v>
      </c>
      <c r="D32" s="42">
        <f t="shared" si="1"/>
        <v>5</v>
      </c>
      <c r="E32" s="47"/>
      <c r="F32" s="43" t="s">
        <v>197</v>
      </c>
      <c r="G32" s="45" t="s">
        <v>46</v>
      </c>
      <c r="H32" s="45" t="s">
        <v>50</v>
      </c>
      <c r="I32" s="45"/>
      <c r="J32" s="56"/>
    </row>
    <row r="33" spans="1:10" s="1" customFormat="1" ht="15" customHeight="1">
      <c r="A33" s="40">
        <f t="shared" si="0"/>
        <v>31</v>
      </c>
      <c r="B33" s="91">
        <v>1</v>
      </c>
      <c r="C33" s="91">
        <v>4</v>
      </c>
      <c r="D33" s="42">
        <f t="shared" si="1"/>
        <v>6</v>
      </c>
      <c r="E33" s="50"/>
      <c r="F33" s="48" t="s">
        <v>358</v>
      </c>
      <c r="G33" s="49" t="s">
        <v>43</v>
      </c>
      <c r="H33" s="49" t="s">
        <v>360</v>
      </c>
      <c r="I33" s="49" t="s">
        <v>520</v>
      </c>
      <c r="J33" s="56"/>
    </row>
    <row r="34" spans="1:10" s="1" customFormat="1" ht="15" customHeight="1">
      <c r="A34" s="40">
        <f t="shared" si="0"/>
        <v>32</v>
      </c>
      <c r="B34" s="92">
        <v>1</v>
      </c>
      <c r="C34" s="92">
        <v>5</v>
      </c>
      <c r="D34" s="42">
        <f t="shared" si="1"/>
        <v>1</v>
      </c>
      <c r="E34" s="50" t="s">
        <v>381</v>
      </c>
      <c r="F34" s="48" t="s">
        <v>339</v>
      </c>
      <c r="G34" s="49" t="s">
        <v>189</v>
      </c>
      <c r="H34" s="49" t="s">
        <v>403</v>
      </c>
      <c r="I34" s="49" t="s">
        <v>521</v>
      </c>
      <c r="J34" s="56"/>
    </row>
    <row r="35" spans="1:10" s="1" customFormat="1" ht="15" customHeight="1">
      <c r="A35" s="40">
        <f t="shared" si="0"/>
        <v>33</v>
      </c>
      <c r="B35" s="92">
        <v>1</v>
      </c>
      <c r="C35" s="92">
        <v>5</v>
      </c>
      <c r="D35" s="42">
        <f t="shared" si="1"/>
        <v>2</v>
      </c>
      <c r="E35" s="47"/>
      <c r="F35" s="48" t="s">
        <v>198</v>
      </c>
      <c r="G35" s="49" t="s">
        <v>189</v>
      </c>
      <c r="H35" s="49" t="s">
        <v>51</v>
      </c>
      <c r="I35" s="49" t="s">
        <v>4</v>
      </c>
      <c r="J35" s="56"/>
    </row>
    <row r="36" spans="1:10" s="1" customFormat="1" ht="15" customHeight="1">
      <c r="A36" s="40">
        <f t="shared" si="0"/>
        <v>34</v>
      </c>
      <c r="B36" s="92">
        <v>1</v>
      </c>
      <c r="C36" s="92">
        <v>5</v>
      </c>
      <c r="D36" s="42">
        <f t="shared" si="1"/>
        <v>3</v>
      </c>
      <c r="E36" s="50"/>
      <c r="F36" s="48" t="s">
        <v>199</v>
      </c>
      <c r="G36" s="49" t="s">
        <v>189</v>
      </c>
      <c r="H36" s="49" t="s">
        <v>52</v>
      </c>
      <c r="I36" s="49" t="s">
        <v>8</v>
      </c>
      <c r="J36" s="56"/>
    </row>
    <row r="37" spans="1:10" s="1" customFormat="1" ht="15" customHeight="1">
      <c r="A37" s="40">
        <f t="shared" si="0"/>
        <v>35</v>
      </c>
      <c r="B37" s="93">
        <v>1</v>
      </c>
      <c r="C37" s="93">
        <v>6</v>
      </c>
      <c r="D37" s="42">
        <f t="shared" si="1"/>
        <v>1</v>
      </c>
      <c r="E37" s="47"/>
      <c r="F37" s="48" t="s">
        <v>200</v>
      </c>
      <c r="G37" s="49" t="s">
        <v>53</v>
      </c>
      <c r="H37" s="49" t="s">
        <v>54</v>
      </c>
      <c r="I37" s="49"/>
      <c r="J37" s="56"/>
    </row>
    <row r="38" spans="1:10" s="1" customFormat="1" ht="15" customHeight="1">
      <c r="A38" s="40">
        <f t="shared" si="0"/>
        <v>36</v>
      </c>
      <c r="B38" s="93">
        <v>1</v>
      </c>
      <c r="C38" s="93">
        <v>6</v>
      </c>
      <c r="D38" s="42">
        <f t="shared" si="1"/>
        <v>2</v>
      </c>
      <c r="E38" s="50"/>
      <c r="F38" s="48" t="s">
        <v>201</v>
      </c>
      <c r="G38" s="49" t="s">
        <v>55</v>
      </c>
      <c r="H38" s="49" t="s">
        <v>56</v>
      </c>
      <c r="I38" s="49"/>
      <c r="J38" s="56"/>
    </row>
    <row r="39" spans="1:10" s="1" customFormat="1" ht="15" customHeight="1">
      <c r="A39" s="40">
        <f t="shared" si="0"/>
        <v>37</v>
      </c>
      <c r="B39" s="93">
        <v>1</v>
      </c>
      <c r="C39" s="93">
        <v>6</v>
      </c>
      <c r="D39" s="42">
        <f t="shared" si="1"/>
        <v>3</v>
      </c>
      <c r="E39" s="42"/>
      <c r="F39" s="48" t="s">
        <v>202</v>
      </c>
      <c r="G39" s="49" t="s">
        <v>55</v>
      </c>
      <c r="H39" s="49" t="s">
        <v>57</v>
      </c>
      <c r="I39" s="49"/>
      <c r="J39" s="56"/>
    </row>
    <row r="40" spans="1:10" s="1" customFormat="1" ht="15" customHeight="1">
      <c r="A40" s="40">
        <f t="shared" si="0"/>
        <v>38</v>
      </c>
      <c r="B40" s="93">
        <v>1</v>
      </c>
      <c r="C40" s="93">
        <v>6</v>
      </c>
      <c r="D40" s="42">
        <f t="shared" si="1"/>
        <v>4</v>
      </c>
      <c r="E40" s="47"/>
      <c r="F40" s="48" t="s">
        <v>350</v>
      </c>
      <c r="G40" s="49" t="s">
        <v>351</v>
      </c>
      <c r="H40" s="49" t="s">
        <v>352</v>
      </c>
      <c r="I40" s="49" t="s">
        <v>353</v>
      </c>
      <c r="J40" s="56"/>
    </row>
    <row r="41" spans="1:10" s="1" customFormat="1" ht="15" customHeight="1">
      <c r="A41" s="40">
        <f t="shared" si="0"/>
        <v>39</v>
      </c>
      <c r="B41" s="93">
        <v>1</v>
      </c>
      <c r="C41" s="93">
        <v>6</v>
      </c>
      <c r="D41" s="42">
        <f t="shared" si="1"/>
        <v>5</v>
      </c>
      <c r="E41" s="50" t="s">
        <v>381</v>
      </c>
      <c r="F41" s="48" t="s">
        <v>359</v>
      </c>
      <c r="G41" s="49" t="s">
        <v>362</v>
      </c>
      <c r="H41" s="49" t="s">
        <v>363</v>
      </c>
      <c r="I41" s="49" t="s">
        <v>361</v>
      </c>
      <c r="J41" s="56"/>
    </row>
    <row r="42" spans="1:10" s="1" customFormat="1" ht="15" customHeight="1">
      <c r="A42" s="40">
        <f t="shared" si="0"/>
        <v>40</v>
      </c>
      <c r="B42" s="93">
        <v>1</v>
      </c>
      <c r="C42" s="93">
        <v>6</v>
      </c>
      <c r="D42" s="42">
        <f t="shared" si="1"/>
        <v>6</v>
      </c>
      <c r="E42" s="42"/>
      <c r="F42" s="48" t="s">
        <v>522</v>
      </c>
      <c r="G42" s="83" t="s">
        <v>523</v>
      </c>
      <c r="H42" s="83" t="s">
        <v>524</v>
      </c>
      <c r="I42" s="49" t="s">
        <v>525</v>
      </c>
      <c r="J42" s="56"/>
    </row>
    <row r="43" spans="1:10" s="1" customFormat="1" ht="15" customHeight="1">
      <c r="A43" s="40">
        <f t="shared" si="0"/>
        <v>41</v>
      </c>
      <c r="B43" s="93">
        <v>1</v>
      </c>
      <c r="C43" s="93">
        <v>6</v>
      </c>
      <c r="D43" s="50">
        <f t="shared" si="1"/>
        <v>7</v>
      </c>
      <c r="E43" s="50"/>
      <c r="F43" s="48" t="s">
        <v>526</v>
      </c>
      <c r="G43" s="49" t="s">
        <v>527</v>
      </c>
      <c r="H43" s="49" t="s">
        <v>528</v>
      </c>
      <c r="I43" s="49" t="s">
        <v>529</v>
      </c>
      <c r="J43" s="56"/>
    </row>
    <row r="44" spans="1:10" s="1" customFormat="1" ht="15" customHeight="1">
      <c r="A44" s="40">
        <f t="shared" si="0"/>
        <v>42</v>
      </c>
      <c r="B44" s="90">
        <v>1</v>
      </c>
      <c r="C44" s="90">
        <v>7</v>
      </c>
      <c r="D44" s="42">
        <f>IF(AND(B41=B44,C41=C44),D41+1,1)</f>
        <v>1</v>
      </c>
      <c r="E44" s="50" t="s">
        <v>381</v>
      </c>
      <c r="F44" s="43" t="s">
        <v>203</v>
      </c>
      <c r="G44" s="45" t="s">
        <v>55</v>
      </c>
      <c r="H44" s="45" t="s">
        <v>58</v>
      </c>
      <c r="I44" s="49"/>
      <c r="J44" s="56"/>
    </row>
    <row r="45" spans="1:10" s="1" customFormat="1" ht="15" customHeight="1">
      <c r="A45" s="40">
        <f t="shared" si="0"/>
        <v>43</v>
      </c>
      <c r="B45" s="90">
        <v>1</v>
      </c>
      <c r="C45" s="90">
        <v>7</v>
      </c>
      <c r="D45" s="42">
        <f t="shared" si="1"/>
        <v>2</v>
      </c>
      <c r="E45" s="47"/>
      <c r="F45" s="43" t="s">
        <v>204</v>
      </c>
      <c r="G45" s="45" t="s">
        <v>55</v>
      </c>
      <c r="H45" s="45" t="s">
        <v>59</v>
      </c>
      <c r="I45" s="49"/>
      <c r="J45" s="56"/>
    </row>
    <row r="46" spans="1:10" s="1" customFormat="1" ht="15" customHeight="1">
      <c r="A46" s="40">
        <f t="shared" si="0"/>
        <v>44</v>
      </c>
      <c r="B46" s="90">
        <v>1</v>
      </c>
      <c r="C46" s="90">
        <v>7</v>
      </c>
      <c r="D46" s="42">
        <f t="shared" si="1"/>
        <v>3</v>
      </c>
      <c r="E46" s="47"/>
      <c r="F46" s="43" t="s">
        <v>388</v>
      </c>
      <c r="G46" s="45" t="s">
        <v>530</v>
      </c>
      <c r="H46" s="45" t="s">
        <v>60</v>
      </c>
      <c r="I46" s="49"/>
      <c r="J46" s="56"/>
    </row>
    <row r="47" spans="1:10" s="1" customFormat="1" ht="15" customHeight="1">
      <c r="A47" s="40">
        <f t="shared" si="0"/>
        <v>45</v>
      </c>
      <c r="B47" s="90">
        <v>1</v>
      </c>
      <c r="C47" s="90">
        <v>7</v>
      </c>
      <c r="D47" s="42">
        <f t="shared" si="1"/>
        <v>4</v>
      </c>
      <c r="E47" s="42"/>
      <c r="F47" s="43" t="s">
        <v>205</v>
      </c>
      <c r="G47" s="45" t="s">
        <v>530</v>
      </c>
      <c r="H47" s="45" t="s">
        <v>61</v>
      </c>
      <c r="I47" s="49"/>
      <c r="J47" s="56"/>
    </row>
    <row r="48" spans="1:10" s="1" customFormat="1" ht="15" customHeight="1">
      <c r="A48" s="40">
        <f t="shared" si="0"/>
        <v>46</v>
      </c>
      <c r="B48" s="90">
        <v>1</v>
      </c>
      <c r="C48" s="90">
        <v>7</v>
      </c>
      <c r="D48" s="42">
        <f t="shared" si="1"/>
        <v>5</v>
      </c>
      <c r="E48" s="50"/>
      <c r="F48" s="43" t="s">
        <v>398</v>
      </c>
      <c r="G48" s="45" t="s">
        <v>55</v>
      </c>
      <c r="H48" s="45" t="s">
        <v>399</v>
      </c>
      <c r="I48" s="49" t="s">
        <v>531</v>
      </c>
      <c r="J48" s="56"/>
    </row>
    <row r="49" spans="1:10" s="1" customFormat="1" ht="15" customHeight="1">
      <c r="A49" s="40">
        <f t="shared" si="0"/>
        <v>47</v>
      </c>
      <c r="B49" s="89">
        <v>1</v>
      </c>
      <c r="C49" s="89">
        <v>8</v>
      </c>
      <c r="D49" s="42">
        <f t="shared" si="1"/>
        <v>1</v>
      </c>
      <c r="E49" s="42"/>
      <c r="F49" s="43" t="s">
        <v>206</v>
      </c>
      <c r="G49" s="45" t="s">
        <v>62</v>
      </c>
      <c r="H49" s="45" t="s">
        <v>63</v>
      </c>
      <c r="I49" s="49" t="s">
        <v>393</v>
      </c>
      <c r="J49" s="56"/>
    </row>
    <row r="50" spans="1:10" s="1" customFormat="1" ht="15" customHeight="1">
      <c r="A50" s="40">
        <f t="shared" si="0"/>
        <v>48</v>
      </c>
      <c r="B50" s="89">
        <v>1</v>
      </c>
      <c r="C50" s="89">
        <v>8</v>
      </c>
      <c r="D50" s="42">
        <f t="shared" si="1"/>
        <v>2</v>
      </c>
      <c r="E50" s="47"/>
      <c r="F50" s="43" t="s">
        <v>337</v>
      </c>
      <c r="G50" s="45" t="s">
        <v>62</v>
      </c>
      <c r="H50" s="45" t="s">
        <v>338</v>
      </c>
      <c r="I50" s="45" t="s">
        <v>331</v>
      </c>
      <c r="J50" s="56"/>
    </row>
    <row r="51" spans="1:10" s="1" customFormat="1" ht="15" customHeight="1">
      <c r="A51" s="40">
        <f t="shared" si="0"/>
        <v>49</v>
      </c>
      <c r="B51" s="89">
        <v>1</v>
      </c>
      <c r="C51" s="89">
        <v>8</v>
      </c>
      <c r="D51" s="42">
        <f t="shared" si="1"/>
        <v>3</v>
      </c>
      <c r="E51" s="50" t="s">
        <v>381</v>
      </c>
      <c r="F51" s="43" t="s">
        <v>207</v>
      </c>
      <c r="G51" s="45" t="s">
        <v>53</v>
      </c>
      <c r="H51" s="45" t="s">
        <v>64</v>
      </c>
      <c r="I51" s="49"/>
      <c r="J51" s="56"/>
    </row>
    <row r="52" spans="1:10" s="1" customFormat="1" ht="15" customHeight="1">
      <c r="A52" s="40">
        <f t="shared" si="0"/>
        <v>50</v>
      </c>
      <c r="B52" s="89">
        <v>1</v>
      </c>
      <c r="C52" s="89">
        <v>8</v>
      </c>
      <c r="D52" s="42">
        <f t="shared" si="1"/>
        <v>4</v>
      </c>
      <c r="E52" s="42"/>
      <c r="F52" s="43" t="s">
        <v>208</v>
      </c>
      <c r="G52" s="45" t="s">
        <v>65</v>
      </c>
      <c r="H52" s="45" t="s">
        <v>66</v>
      </c>
      <c r="I52" s="49"/>
      <c r="J52" s="56"/>
    </row>
    <row r="53" spans="1:10" s="1" customFormat="1" ht="15" customHeight="1">
      <c r="A53" s="40">
        <f t="shared" si="0"/>
        <v>51</v>
      </c>
      <c r="B53" s="89">
        <v>1</v>
      </c>
      <c r="C53" s="89">
        <v>8</v>
      </c>
      <c r="D53" s="42">
        <f t="shared" si="1"/>
        <v>5</v>
      </c>
      <c r="E53" s="42"/>
      <c r="F53" s="53" t="s">
        <v>446</v>
      </c>
      <c r="G53" s="45" t="s">
        <v>67</v>
      </c>
      <c r="H53" s="45" t="s">
        <v>447</v>
      </c>
      <c r="I53" s="45"/>
      <c r="J53" s="45"/>
    </row>
    <row r="54" spans="1:10" s="1" customFormat="1" ht="15" customHeight="1">
      <c r="A54" s="40">
        <f t="shared" si="0"/>
        <v>52</v>
      </c>
      <c r="B54" s="89">
        <v>1</v>
      </c>
      <c r="C54" s="89">
        <v>8</v>
      </c>
      <c r="D54" s="42">
        <f t="shared" si="1"/>
        <v>6</v>
      </c>
      <c r="E54" s="47"/>
      <c r="F54" s="43" t="s">
        <v>342</v>
      </c>
      <c r="G54" s="45" t="s">
        <v>62</v>
      </c>
      <c r="H54" s="45" t="s">
        <v>69</v>
      </c>
      <c r="I54" s="49" t="s">
        <v>448</v>
      </c>
      <c r="J54" s="56"/>
    </row>
    <row r="55" spans="1:10" s="1" customFormat="1" ht="15" customHeight="1">
      <c r="A55" s="40">
        <f t="shared" si="0"/>
        <v>53</v>
      </c>
      <c r="B55" s="89">
        <v>1</v>
      </c>
      <c r="C55" s="89">
        <v>8</v>
      </c>
      <c r="D55" s="42">
        <f t="shared" si="1"/>
        <v>7</v>
      </c>
      <c r="E55" s="50"/>
      <c r="F55" s="43" t="s">
        <v>314</v>
      </c>
      <c r="G55" s="45" t="s">
        <v>65</v>
      </c>
      <c r="H55" s="45" t="s">
        <v>315</v>
      </c>
      <c r="I55" s="49" t="s">
        <v>449</v>
      </c>
      <c r="J55" s="56"/>
    </row>
    <row r="56" spans="1:10" s="1" customFormat="1" ht="15" customHeight="1">
      <c r="A56" s="40">
        <f t="shared" si="0"/>
        <v>54</v>
      </c>
      <c r="B56" s="94">
        <v>1</v>
      </c>
      <c r="C56" s="94">
        <v>9</v>
      </c>
      <c r="D56" s="42">
        <f t="shared" si="1"/>
        <v>1</v>
      </c>
      <c r="E56" s="50" t="s">
        <v>381</v>
      </c>
      <c r="F56" s="43" t="s">
        <v>209</v>
      </c>
      <c r="G56" s="45" t="s">
        <v>65</v>
      </c>
      <c r="H56" s="45" t="s">
        <v>70</v>
      </c>
      <c r="I56" s="49" t="s">
        <v>532</v>
      </c>
      <c r="J56" s="56"/>
    </row>
    <row r="57" spans="1:10" s="1" customFormat="1" ht="15" customHeight="1">
      <c r="A57" s="40">
        <f t="shared" si="0"/>
        <v>55</v>
      </c>
      <c r="B57" s="94">
        <v>1</v>
      </c>
      <c r="C57" s="94">
        <v>9</v>
      </c>
      <c r="D57" s="42">
        <f t="shared" si="1"/>
        <v>2</v>
      </c>
      <c r="E57" s="50"/>
      <c r="F57" s="54" t="s">
        <v>391</v>
      </c>
      <c r="G57" s="45" t="s">
        <v>65</v>
      </c>
      <c r="H57" s="45" t="s">
        <v>71</v>
      </c>
      <c r="I57" s="55" t="s">
        <v>533</v>
      </c>
      <c r="J57" s="56"/>
    </row>
    <row r="58" spans="1:10" s="11" customFormat="1" ht="15" customHeight="1">
      <c r="A58" s="40">
        <f t="shared" si="0"/>
        <v>56</v>
      </c>
      <c r="B58" s="95">
        <v>1</v>
      </c>
      <c r="C58" s="95">
        <v>9</v>
      </c>
      <c r="D58" s="42">
        <f t="shared" si="1"/>
        <v>3</v>
      </c>
      <c r="E58" s="47"/>
      <c r="F58" s="48" t="s">
        <v>389</v>
      </c>
      <c r="G58" s="49" t="s">
        <v>65</v>
      </c>
      <c r="H58" s="45" t="s">
        <v>450</v>
      </c>
      <c r="I58" s="49" t="s">
        <v>420</v>
      </c>
      <c r="J58" s="66"/>
    </row>
    <row r="59" spans="1:10" s="1" customFormat="1" ht="15" customHeight="1">
      <c r="A59" s="40">
        <f t="shared" si="0"/>
        <v>57</v>
      </c>
      <c r="B59" s="94">
        <v>1</v>
      </c>
      <c r="C59" s="94">
        <v>9</v>
      </c>
      <c r="D59" s="42">
        <f t="shared" si="1"/>
        <v>4</v>
      </c>
      <c r="E59" s="42"/>
      <c r="F59" s="43" t="s">
        <v>210</v>
      </c>
      <c r="G59" s="45" t="s">
        <v>72</v>
      </c>
      <c r="H59" s="45" t="s">
        <v>73</v>
      </c>
      <c r="I59" s="49" t="s">
        <v>74</v>
      </c>
      <c r="J59" s="56"/>
    </row>
    <row r="60" spans="1:10" s="1" customFormat="1" ht="15" customHeight="1">
      <c r="A60" s="40">
        <f t="shared" si="0"/>
        <v>58</v>
      </c>
      <c r="B60" s="94">
        <v>1</v>
      </c>
      <c r="C60" s="94">
        <v>9</v>
      </c>
      <c r="D60" s="42">
        <f t="shared" si="1"/>
        <v>5</v>
      </c>
      <c r="E60" s="56"/>
      <c r="F60" s="43" t="s">
        <v>211</v>
      </c>
      <c r="G60" s="45" t="s">
        <v>72</v>
      </c>
      <c r="H60" s="45" t="s">
        <v>75</v>
      </c>
      <c r="I60" s="49"/>
      <c r="J60" s="56"/>
    </row>
    <row r="61" spans="1:10" s="1" customFormat="1" ht="15" customHeight="1">
      <c r="A61" s="40">
        <f t="shared" si="0"/>
        <v>59</v>
      </c>
      <c r="B61" s="94">
        <v>1</v>
      </c>
      <c r="C61" s="94">
        <v>9</v>
      </c>
      <c r="D61" s="42">
        <f t="shared" si="1"/>
        <v>6</v>
      </c>
      <c r="E61" s="42"/>
      <c r="F61" s="43" t="s">
        <v>212</v>
      </c>
      <c r="G61" s="45" t="s">
        <v>72</v>
      </c>
      <c r="H61" s="45" t="s">
        <v>76</v>
      </c>
      <c r="I61" s="49"/>
      <c r="J61" s="56"/>
    </row>
    <row r="62" spans="1:10" s="1" customFormat="1" ht="15" customHeight="1">
      <c r="A62" s="40">
        <f t="shared" si="0"/>
        <v>60</v>
      </c>
      <c r="B62" s="94">
        <v>1</v>
      </c>
      <c r="C62" s="94">
        <v>9</v>
      </c>
      <c r="D62" s="42">
        <f t="shared" si="1"/>
        <v>7</v>
      </c>
      <c r="E62" s="42"/>
      <c r="F62" s="43" t="s">
        <v>394</v>
      </c>
      <c r="G62" s="45" t="s">
        <v>67</v>
      </c>
      <c r="H62" s="45" t="s">
        <v>354</v>
      </c>
      <c r="I62" s="49" t="s">
        <v>355</v>
      </c>
      <c r="J62" s="56"/>
    </row>
    <row r="63" spans="1:10" s="1" customFormat="1" ht="15" customHeight="1">
      <c r="A63" s="40">
        <f t="shared" si="0"/>
        <v>61</v>
      </c>
      <c r="B63" s="94">
        <v>1</v>
      </c>
      <c r="C63" s="94">
        <v>9</v>
      </c>
      <c r="D63" s="42">
        <f t="shared" si="1"/>
        <v>8</v>
      </c>
      <c r="E63" s="47"/>
      <c r="F63" s="43" t="s">
        <v>356</v>
      </c>
      <c r="G63" s="45" t="s">
        <v>67</v>
      </c>
      <c r="H63" s="45" t="s">
        <v>357</v>
      </c>
      <c r="I63" s="49" t="s">
        <v>355</v>
      </c>
      <c r="J63" s="56"/>
    </row>
    <row r="64" spans="1:10" s="1" customFormat="1" ht="15" customHeight="1">
      <c r="A64" s="40">
        <f t="shared" si="0"/>
        <v>62</v>
      </c>
      <c r="B64" s="94">
        <v>1</v>
      </c>
      <c r="C64" s="94">
        <v>9</v>
      </c>
      <c r="D64" s="42">
        <f t="shared" si="1"/>
        <v>9</v>
      </c>
      <c r="E64" s="47"/>
      <c r="F64" s="43" t="s">
        <v>451</v>
      </c>
      <c r="G64" s="45" t="s">
        <v>67</v>
      </c>
      <c r="H64" s="45" t="s">
        <v>452</v>
      </c>
      <c r="I64" s="49" t="s">
        <v>534</v>
      </c>
      <c r="J64" s="56"/>
    </row>
    <row r="65" spans="1:10" s="1" customFormat="1" ht="15" customHeight="1">
      <c r="A65" s="40">
        <f t="shared" si="0"/>
        <v>63</v>
      </c>
      <c r="B65" s="90">
        <v>1</v>
      </c>
      <c r="C65" s="90">
        <v>10</v>
      </c>
      <c r="D65" s="42">
        <f>IF(AND(B63=B65,C63=C65),D63+1,1)</f>
        <v>1</v>
      </c>
      <c r="E65" s="42"/>
      <c r="F65" s="43" t="s">
        <v>333</v>
      </c>
      <c r="G65" s="46" t="s">
        <v>404</v>
      </c>
      <c r="H65" s="45" t="s">
        <v>78</v>
      </c>
      <c r="I65" s="49"/>
      <c r="J65" s="56"/>
    </row>
    <row r="66" spans="1:10" s="1" customFormat="1" ht="15" customHeight="1">
      <c r="A66" s="40">
        <f t="shared" si="0"/>
        <v>64</v>
      </c>
      <c r="B66" s="90">
        <v>1</v>
      </c>
      <c r="C66" s="90">
        <v>10</v>
      </c>
      <c r="D66" s="42">
        <f t="shared" si="1"/>
        <v>2</v>
      </c>
      <c r="E66" s="47"/>
      <c r="F66" s="43" t="s">
        <v>372</v>
      </c>
      <c r="G66" s="46" t="s">
        <v>77</v>
      </c>
      <c r="H66" s="45" t="s">
        <v>79</v>
      </c>
      <c r="I66" s="49"/>
      <c r="J66" s="56"/>
    </row>
    <row r="67" spans="1:10" s="1" customFormat="1" ht="15" customHeight="1">
      <c r="A67" s="40">
        <f t="shared" si="0"/>
        <v>65</v>
      </c>
      <c r="B67" s="90">
        <v>1</v>
      </c>
      <c r="C67" s="90">
        <v>10</v>
      </c>
      <c r="D67" s="42">
        <f t="shared" si="1"/>
        <v>3</v>
      </c>
      <c r="E67" s="50"/>
      <c r="F67" s="43" t="s">
        <v>340</v>
      </c>
      <c r="G67" s="46" t="s">
        <v>77</v>
      </c>
      <c r="H67" s="45" t="s">
        <v>80</v>
      </c>
      <c r="I67" s="49"/>
      <c r="J67" s="56"/>
    </row>
    <row r="68" spans="1:10" s="1" customFormat="1" ht="15" customHeight="1">
      <c r="A68" s="40">
        <f t="shared" ref="A68:A131" si="2">ROW()-2</f>
        <v>66</v>
      </c>
      <c r="B68" s="90">
        <v>1</v>
      </c>
      <c r="C68" s="90">
        <v>10</v>
      </c>
      <c r="D68" s="42">
        <f t="shared" si="1"/>
        <v>4</v>
      </c>
      <c r="E68" s="50" t="s">
        <v>381</v>
      </c>
      <c r="F68" s="43" t="s">
        <v>213</v>
      </c>
      <c r="G68" s="46" t="s">
        <v>77</v>
      </c>
      <c r="H68" s="45" t="s">
        <v>81</v>
      </c>
      <c r="I68" s="49" t="s">
        <v>535</v>
      </c>
      <c r="J68" s="56"/>
    </row>
    <row r="69" spans="1:10" s="1" customFormat="1" ht="15" customHeight="1">
      <c r="A69" s="40">
        <f t="shared" si="2"/>
        <v>67</v>
      </c>
      <c r="B69" s="97">
        <v>1</v>
      </c>
      <c r="C69" s="97">
        <v>11</v>
      </c>
      <c r="D69" s="42">
        <f>IF(AND(B68=B69,C68=C69),D68+1,1)</f>
        <v>1</v>
      </c>
      <c r="E69" s="42"/>
      <c r="F69" s="43" t="s">
        <v>214</v>
      </c>
      <c r="G69" s="45" t="s">
        <v>279</v>
      </c>
      <c r="H69" s="45" t="s">
        <v>82</v>
      </c>
      <c r="I69" s="49" t="s">
        <v>9</v>
      </c>
      <c r="J69" s="56"/>
    </row>
    <row r="70" spans="1:10" s="1" customFormat="1" ht="15" customHeight="1">
      <c r="A70" s="40">
        <f t="shared" si="2"/>
        <v>68</v>
      </c>
      <c r="B70" s="97">
        <v>1</v>
      </c>
      <c r="C70" s="97">
        <v>11</v>
      </c>
      <c r="D70" s="42">
        <f t="shared" ref="D70:D129" si="3">IF(AND(B69=B70,C69=C70),D69+1,1)</f>
        <v>2</v>
      </c>
      <c r="E70" s="42"/>
      <c r="F70" s="43" t="s">
        <v>316</v>
      </c>
      <c r="G70" s="45" t="s">
        <v>279</v>
      </c>
      <c r="H70" s="45" t="s">
        <v>83</v>
      </c>
      <c r="I70" s="49" t="s">
        <v>10</v>
      </c>
      <c r="J70" s="56"/>
    </row>
    <row r="71" spans="1:10" s="1" customFormat="1" ht="15" customHeight="1">
      <c r="A71" s="40">
        <f t="shared" si="2"/>
        <v>69</v>
      </c>
      <c r="B71" s="97">
        <v>1</v>
      </c>
      <c r="C71" s="97">
        <v>11</v>
      </c>
      <c r="D71" s="42">
        <f t="shared" si="3"/>
        <v>3</v>
      </c>
      <c r="E71" s="42"/>
      <c r="F71" s="43" t="s">
        <v>215</v>
      </c>
      <c r="G71" s="45" t="s">
        <v>279</v>
      </c>
      <c r="H71" s="45" t="s">
        <v>405</v>
      </c>
      <c r="I71" s="49" t="s">
        <v>11</v>
      </c>
      <c r="J71" s="56"/>
    </row>
    <row r="72" spans="1:10" s="1" customFormat="1" ht="15" customHeight="1">
      <c r="A72" s="40">
        <f t="shared" si="2"/>
        <v>70</v>
      </c>
      <c r="B72" s="97">
        <v>1</v>
      </c>
      <c r="C72" s="97">
        <v>11</v>
      </c>
      <c r="D72" s="42">
        <f t="shared" si="3"/>
        <v>4</v>
      </c>
      <c r="E72" s="47"/>
      <c r="F72" s="43" t="s">
        <v>432</v>
      </c>
      <c r="G72" s="45" t="s">
        <v>279</v>
      </c>
      <c r="H72" s="45" t="s">
        <v>84</v>
      </c>
      <c r="I72" s="49" t="s">
        <v>536</v>
      </c>
      <c r="J72" s="56"/>
    </row>
    <row r="73" spans="1:10" s="1" customFormat="1" ht="15" customHeight="1">
      <c r="A73" s="40">
        <f t="shared" si="2"/>
        <v>71</v>
      </c>
      <c r="B73" s="97">
        <v>1</v>
      </c>
      <c r="C73" s="97">
        <v>11</v>
      </c>
      <c r="D73" s="42">
        <f t="shared" si="3"/>
        <v>5</v>
      </c>
      <c r="E73" s="47"/>
      <c r="F73" s="58" t="s">
        <v>453</v>
      </c>
      <c r="G73" s="45" t="s">
        <v>279</v>
      </c>
      <c r="H73" s="45" t="s">
        <v>85</v>
      </c>
      <c r="I73" s="49" t="s">
        <v>454</v>
      </c>
      <c r="J73" s="56"/>
    </row>
    <row r="74" spans="1:10" s="1" customFormat="1" ht="15" customHeight="1">
      <c r="A74" s="40">
        <f t="shared" si="2"/>
        <v>72</v>
      </c>
      <c r="B74" s="97">
        <v>1</v>
      </c>
      <c r="C74" s="97">
        <v>11</v>
      </c>
      <c r="D74" s="42">
        <f t="shared" si="3"/>
        <v>6</v>
      </c>
      <c r="E74" s="50"/>
      <c r="F74" s="43" t="s">
        <v>216</v>
      </c>
      <c r="G74" s="45" t="s">
        <v>279</v>
      </c>
      <c r="H74" s="96"/>
      <c r="I74" s="49" t="s">
        <v>12</v>
      </c>
      <c r="J74" s="56"/>
    </row>
    <row r="75" spans="1:10" s="1" customFormat="1" ht="15" customHeight="1">
      <c r="A75" s="40">
        <f t="shared" si="2"/>
        <v>73</v>
      </c>
      <c r="B75" s="97">
        <v>1</v>
      </c>
      <c r="C75" s="97">
        <v>11</v>
      </c>
      <c r="D75" s="42">
        <f t="shared" si="3"/>
        <v>7</v>
      </c>
      <c r="E75" s="50" t="s">
        <v>381</v>
      </c>
      <c r="F75" s="43" t="s">
        <v>217</v>
      </c>
      <c r="G75" s="45" t="s">
        <v>279</v>
      </c>
      <c r="H75" s="45" t="s">
        <v>537</v>
      </c>
      <c r="I75" s="49" t="s">
        <v>13</v>
      </c>
      <c r="J75" s="56"/>
    </row>
    <row r="76" spans="1:10" s="1" customFormat="1" ht="15" customHeight="1">
      <c r="A76" s="40">
        <f t="shared" si="2"/>
        <v>74</v>
      </c>
      <c r="B76" s="97">
        <v>1</v>
      </c>
      <c r="C76" s="97">
        <v>11</v>
      </c>
      <c r="D76" s="42">
        <f t="shared" si="3"/>
        <v>8</v>
      </c>
      <c r="E76" s="42"/>
      <c r="F76" s="43" t="s">
        <v>218</v>
      </c>
      <c r="G76" s="45" t="s">
        <v>279</v>
      </c>
      <c r="H76" s="96"/>
      <c r="I76" s="49" t="s">
        <v>14</v>
      </c>
      <c r="J76" s="56"/>
    </row>
    <row r="77" spans="1:10" s="1" customFormat="1" ht="15" customHeight="1">
      <c r="A77" s="40">
        <f t="shared" si="2"/>
        <v>75</v>
      </c>
      <c r="B77" s="97">
        <v>1</v>
      </c>
      <c r="C77" s="97">
        <v>11</v>
      </c>
      <c r="D77" s="42">
        <f t="shared" si="3"/>
        <v>9</v>
      </c>
      <c r="E77" s="42"/>
      <c r="F77" s="43" t="s">
        <v>219</v>
      </c>
      <c r="G77" s="45" t="s">
        <v>279</v>
      </c>
      <c r="H77" s="45" t="s">
        <v>86</v>
      </c>
      <c r="I77" s="49" t="s">
        <v>15</v>
      </c>
      <c r="J77" s="56"/>
    </row>
    <row r="78" spans="1:10" s="1" customFormat="1" ht="15" customHeight="1">
      <c r="A78" s="40">
        <f t="shared" si="2"/>
        <v>76</v>
      </c>
      <c r="B78" s="98">
        <v>1</v>
      </c>
      <c r="C78" s="98">
        <v>12</v>
      </c>
      <c r="D78" s="42">
        <f t="shared" si="3"/>
        <v>1</v>
      </c>
      <c r="E78" s="50" t="s">
        <v>381</v>
      </c>
      <c r="F78" s="43" t="s">
        <v>220</v>
      </c>
      <c r="G78" s="45" t="s">
        <v>279</v>
      </c>
      <c r="H78" s="45" t="s">
        <v>87</v>
      </c>
      <c r="I78" s="49" t="s">
        <v>16</v>
      </c>
      <c r="J78" s="56"/>
    </row>
    <row r="79" spans="1:10" s="1" customFormat="1" ht="15" customHeight="1">
      <c r="A79" s="40">
        <f t="shared" si="2"/>
        <v>77</v>
      </c>
      <c r="B79" s="98">
        <v>1</v>
      </c>
      <c r="C79" s="98">
        <v>12</v>
      </c>
      <c r="D79" s="42">
        <f t="shared" si="3"/>
        <v>2</v>
      </c>
      <c r="E79" s="42"/>
      <c r="F79" s="43" t="s">
        <v>343</v>
      </c>
      <c r="G79" s="45" t="s">
        <v>279</v>
      </c>
      <c r="H79" s="96"/>
      <c r="I79" s="49" t="s">
        <v>344</v>
      </c>
      <c r="J79" s="56"/>
    </row>
    <row r="80" spans="1:10" s="1" customFormat="1" ht="15" customHeight="1">
      <c r="A80" s="40">
        <f t="shared" si="2"/>
        <v>78</v>
      </c>
      <c r="B80" s="98">
        <v>1</v>
      </c>
      <c r="C80" s="98">
        <v>12</v>
      </c>
      <c r="D80" s="42">
        <f t="shared" si="3"/>
        <v>3</v>
      </c>
      <c r="E80" s="42"/>
      <c r="F80" s="43" t="s">
        <v>318</v>
      </c>
      <c r="G80" s="45" t="s">
        <v>279</v>
      </c>
      <c r="H80" s="45" t="s">
        <v>319</v>
      </c>
      <c r="I80" s="49" t="s">
        <v>320</v>
      </c>
      <c r="J80" s="56"/>
    </row>
    <row r="81" spans="1:10" s="1" customFormat="1" ht="15" customHeight="1">
      <c r="A81" s="40">
        <f t="shared" si="2"/>
        <v>79</v>
      </c>
      <c r="B81" s="98">
        <v>1</v>
      </c>
      <c r="C81" s="98">
        <v>12</v>
      </c>
      <c r="D81" s="42">
        <f t="shared" si="3"/>
        <v>4</v>
      </c>
      <c r="E81" s="47"/>
      <c r="F81" s="43" t="s">
        <v>538</v>
      </c>
      <c r="G81" s="45" t="s">
        <v>279</v>
      </c>
      <c r="H81" s="45" t="s">
        <v>539</v>
      </c>
      <c r="I81" s="49" t="s">
        <v>540</v>
      </c>
      <c r="J81" s="56"/>
    </row>
    <row r="82" spans="1:10" s="1" customFormat="1" ht="15" customHeight="1">
      <c r="A82" s="40">
        <f t="shared" si="2"/>
        <v>80</v>
      </c>
      <c r="B82" s="98">
        <v>1</v>
      </c>
      <c r="C82" s="98">
        <v>12</v>
      </c>
      <c r="D82" s="42">
        <f t="shared" si="3"/>
        <v>5</v>
      </c>
      <c r="E82" s="42"/>
      <c r="F82" s="43" t="s">
        <v>221</v>
      </c>
      <c r="G82" s="45" t="s">
        <v>279</v>
      </c>
      <c r="H82" s="45" t="s">
        <v>88</v>
      </c>
      <c r="I82" s="49" t="s">
        <v>6</v>
      </c>
      <c r="J82" s="56"/>
    </row>
    <row r="83" spans="1:10" s="1" customFormat="1" ht="15" customHeight="1">
      <c r="A83" s="40">
        <f t="shared" si="2"/>
        <v>81</v>
      </c>
      <c r="B83" s="98">
        <v>1</v>
      </c>
      <c r="C83" s="98">
        <v>12</v>
      </c>
      <c r="D83" s="42">
        <f t="shared" si="3"/>
        <v>6</v>
      </c>
      <c r="E83" s="42"/>
      <c r="F83" s="43" t="s">
        <v>222</v>
      </c>
      <c r="G83" s="45" t="s">
        <v>279</v>
      </c>
      <c r="H83" s="45" t="s">
        <v>89</v>
      </c>
      <c r="I83" s="49" t="s">
        <v>7</v>
      </c>
      <c r="J83" s="56"/>
    </row>
    <row r="84" spans="1:10" s="1" customFormat="1" ht="15" customHeight="1">
      <c r="A84" s="40">
        <f t="shared" si="2"/>
        <v>82</v>
      </c>
      <c r="B84" s="98">
        <v>1</v>
      </c>
      <c r="C84" s="98">
        <v>12</v>
      </c>
      <c r="D84" s="42">
        <f t="shared" si="3"/>
        <v>7</v>
      </c>
      <c r="E84" s="42"/>
      <c r="F84" s="43" t="s">
        <v>334</v>
      </c>
      <c r="G84" s="45" t="s">
        <v>279</v>
      </c>
      <c r="H84" s="96"/>
      <c r="I84" s="49" t="s">
        <v>17</v>
      </c>
      <c r="J84" s="56"/>
    </row>
    <row r="85" spans="1:10" s="1" customFormat="1" ht="15" customHeight="1">
      <c r="A85" s="40">
        <f t="shared" si="2"/>
        <v>83</v>
      </c>
      <c r="B85" s="98">
        <v>1</v>
      </c>
      <c r="C85" s="98">
        <v>12</v>
      </c>
      <c r="D85" s="42">
        <f t="shared" si="3"/>
        <v>8</v>
      </c>
      <c r="E85" s="42"/>
      <c r="F85" s="43" t="s">
        <v>223</v>
      </c>
      <c r="G85" s="45" t="s">
        <v>279</v>
      </c>
      <c r="H85" s="96"/>
      <c r="I85" s="49" t="s">
        <v>18</v>
      </c>
      <c r="J85" s="56"/>
    </row>
    <row r="86" spans="1:10" s="1" customFormat="1" ht="15" customHeight="1">
      <c r="A86" s="40">
        <f t="shared" si="2"/>
        <v>84</v>
      </c>
      <c r="B86" s="98">
        <v>1</v>
      </c>
      <c r="C86" s="98">
        <v>12</v>
      </c>
      <c r="D86" s="42">
        <f t="shared" si="3"/>
        <v>9</v>
      </c>
      <c r="E86" s="42"/>
      <c r="F86" s="43" t="s">
        <v>224</v>
      </c>
      <c r="G86" s="45" t="s">
        <v>279</v>
      </c>
      <c r="H86" s="45" t="s">
        <v>90</v>
      </c>
      <c r="I86" s="49" t="s">
        <v>5</v>
      </c>
      <c r="J86" s="56"/>
    </row>
    <row r="87" spans="1:10" s="1" customFormat="1" ht="15" customHeight="1">
      <c r="A87" s="40">
        <f t="shared" si="2"/>
        <v>85</v>
      </c>
      <c r="B87" s="98">
        <v>1</v>
      </c>
      <c r="C87" s="98">
        <v>12</v>
      </c>
      <c r="D87" s="42">
        <f t="shared" si="3"/>
        <v>10</v>
      </c>
      <c r="E87" s="42"/>
      <c r="F87" s="43" t="s">
        <v>281</v>
      </c>
      <c r="G87" s="45" t="s">
        <v>279</v>
      </c>
      <c r="H87" s="96"/>
      <c r="I87" s="49" t="s">
        <v>541</v>
      </c>
      <c r="J87" s="56"/>
    </row>
    <row r="88" spans="1:10" s="1" customFormat="1" ht="15" customHeight="1">
      <c r="A88" s="40">
        <f t="shared" si="2"/>
        <v>86</v>
      </c>
      <c r="B88" s="98">
        <v>1</v>
      </c>
      <c r="C88" s="98">
        <v>12</v>
      </c>
      <c r="D88" s="42">
        <f t="shared" si="3"/>
        <v>11</v>
      </c>
      <c r="E88" s="42"/>
      <c r="F88" s="48" t="s">
        <v>390</v>
      </c>
      <c r="G88" s="45" t="s">
        <v>279</v>
      </c>
      <c r="H88" s="49" t="s">
        <v>91</v>
      </c>
      <c r="I88" s="49" t="s">
        <v>395</v>
      </c>
      <c r="J88" s="56"/>
    </row>
    <row r="89" spans="1:10" s="1" customFormat="1" ht="15" customHeight="1">
      <c r="A89" s="40">
        <f t="shared" si="2"/>
        <v>87</v>
      </c>
      <c r="B89" s="98">
        <v>1</v>
      </c>
      <c r="C89" s="98">
        <v>12</v>
      </c>
      <c r="D89" s="42">
        <f t="shared" si="3"/>
        <v>12</v>
      </c>
      <c r="E89" s="47"/>
      <c r="F89" s="48" t="s">
        <v>373</v>
      </c>
      <c r="G89" s="45" t="s">
        <v>279</v>
      </c>
      <c r="H89" s="49" t="s">
        <v>406</v>
      </c>
      <c r="I89" s="49" t="s">
        <v>374</v>
      </c>
      <c r="J89" s="56"/>
    </row>
    <row r="90" spans="1:10" s="1" customFormat="1" ht="15" customHeight="1">
      <c r="A90" s="40">
        <f t="shared" si="2"/>
        <v>88</v>
      </c>
      <c r="B90" s="98">
        <v>1</v>
      </c>
      <c r="C90" s="98">
        <v>12</v>
      </c>
      <c r="D90" s="42">
        <f t="shared" si="3"/>
        <v>13</v>
      </c>
      <c r="E90" s="50"/>
      <c r="F90" s="43" t="s">
        <v>225</v>
      </c>
      <c r="G90" s="45" t="s">
        <v>279</v>
      </c>
      <c r="H90" s="45" t="s">
        <v>92</v>
      </c>
      <c r="I90" s="49" t="s">
        <v>455</v>
      </c>
      <c r="J90" s="56"/>
    </row>
    <row r="91" spans="1:10" s="1" customFormat="1" ht="15" customHeight="1">
      <c r="A91" s="40">
        <f t="shared" si="2"/>
        <v>89</v>
      </c>
      <c r="B91" s="98">
        <v>1</v>
      </c>
      <c r="C91" s="98">
        <v>12</v>
      </c>
      <c r="D91" s="42">
        <f t="shared" si="3"/>
        <v>14</v>
      </c>
      <c r="E91" s="42"/>
      <c r="F91" s="43" t="s">
        <v>226</v>
      </c>
      <c r="G91" s="45" t="s">
        <v>279</v>
      </c>
      <c r="H91" s="45" t="s">
        <v>93</v>
      </c>
      <c r="I91" s="49" t="s">
        <v>4</v>
      </c>
      <c r="J91" s="56"/>
    </row>
    <row r="92" spans="1:10" s="1" customFormat="1" ht="15" customHeight="1">
      <c r="A92" s="40">
        <f t="shared" si="2"/>
        <v>90</v>
      </c>
      <c r="B92" s="98">
        <v>1</v>
      </c>
      <c r="C92" s="98">
        <v>12</v>
      </c>
      <c r="D92" s="42">
        <f t="shared" si="3"/>
        <v>15</v>
      </c>
      <c r="E92" s="47"/>
      <c r="F92" s="43" t="s">
        <v>227</v>
      </c>
      <c r="G92" s="45" t="s">
        <v>279</v>
      </c>
      <c r="H92" s="45" t="s">
        <v>94</v>
      </c>
      <c r="I92" s="49" t="s">
        <v>19</v>
      </c>
      <c r="J92" s="56"/>
    </row>
    <row r="93" spans="1:10" s="1" customFormat="1" ht="15" customHeight="1">
      <c r="A93" s="40">
        <f t="shared" si="2"/>
        <v>91</v>
      </c>
      <c r="B93" s="84">
        <v>2</v>
      </c>
      <c r="C93" s="84">
        <v>1</v>
      </c>
      <c r="D93" s="42">
        <f>IF(AND(B92=B93,C92=C93),D92+1,1)</f>
        <v>1</v>
      </c>
      <c r="E93" s="42"/>
      <c r="F93" s="48" t="s">
        <v>407</v>
      </c>
      <c r="G93" s="44" t="s">
        <v>98</v>
      </c>
      <c r="H93" s="45" t="s">
        <v>95</v>
      </c>
      <c r="I93" s="45"/>
      <c r="J93" s="56"/>
    </row>
    <row r="94" spans="1:10" s="1" customFormat="1" ht="15" customHeight="1">
      <c r="A94" s="40">
        <f t="shared" si="2"/>
        <v>92</v>
      </c>
      <c r="B94" s="84">
        <v>2</v>
      </c>
      <c r="C94" s="84">
        <v>1</v>
      </c>
      <c r="D94" s="42">
        <f t="shared" si="3"/>
        <v>2</v>
      </c>
      <c r="E94" s="50"/>
      <c r="F94" s="48" t="s">
        <v>408</v>
      </c>
      <c r="G94" s="44" t="s">
        <v>98</v>
      </c>
      <c r="H94" s="45" t="s">
        <v>409</v>
      </c>
      <c r="I94" s="49" t="s">
        <v>456</v>
      </c>
      <c r="J94" s="56"/>
    </row>
    <row r="95" spans="1:10" s="1" customFormat="1" ht="15" customHeight="1">
      <c r="A95" s="40">
        <f t="shared" si="2"/>
        <v>93</v>
      </c>
      <c r="B95" s="84">
        <v>2</v>
      </c>
      <c r="C95" s="84">
        <v>1</v>
      </c>
      <c r="D95" s="42">
        <f t="shared" si="3"/>
        <v>3</v>
      </c>
      <c r="E95" s="47"/>
      <c r="F95" s="43" t="s">
        <v>228</v>
      </c>
      <c r="G95" s="46" t="s">
        <v>96</v>
      </c>
      <c r="H95" s="45" t="s">
        <v>97</v>
      </c>
      <c r="I95" s="49"/>
      <c r="J95" s="56"/>
    </row>
    <row r="96" spans="1:10" s="1" customFormat="1" ht="15" customHeight="1">
      <c r="A96" s="40">
        <f t="shared" si="2"/>
        <v>94</v>
      </c>
      <c r="B96" s="84">
        <v>2</v>
      </c>
      <c r="C96" s="84">
        <v>1</v>
      </c>
      <c r="D96" s="42">
        <f t="shared" si="3"/>
        <v>4</v>
      </c>
      <c r="E96" s="47"/>
      <c r="F96" s="43" t="s">
        <v>229</v>
      </c>
      <c r="G96" s="46" t="s">
        <v>98</v>
      </c>
      <c r="H96" s="45" t="s">
        <v>99</v>
      </c>
      <c r="I96" s="49" t="s">
        <v>457</v>
      </c>
      <c r="J96" s="56"/>
    </row>
    <row r="97" spans="1:10" s="1" customFormat="1" ht="15" customHeight="1">
      <c r="A97" s="40">
        <f t="shared" si="2"/>
        <v>95</v>
      </c>
      <c r="B97" s="84">
        <v>2</v>
      </c>
      <c r="C97" s="84">
        <v>1</v>
      </c>
      <c r="D97" s="42">
        <f t="shared" si="3"/>
        <v>5</v>
      </c>
      <c r="E97" s="42"/>
      <c r="F97" s="43" t="s">
        <v>307</v>
      </c>
      <c r="G97" s="46" t="s">
        <v>98</v>
      </c>
      <c r="H97" s="45" t="s">
        <v>306</v>
      </c>
      <c r="I97" s="49" t="s">
        <v>308</v>
      </c>
      <c r="J97" s="56"/>
    </row>
    <row r="98" spans="1:10" s="1" customFormat="1" ht="15" customHeight="1">
      <c r="A98" s="40">
        <f t="shared" si="2"/>
        <v>96</v>
      </c>
      <c r="B98" s="84">
        <v>2</v>
      </c>
      <c r="C98" s="84">
        <v>1</v>
      </c>
      <c r="D98" s="42">
        <f t="shared" si="3"/>
        <v>6</v>
      </c>
      <c r="E98" s="50" t="s">
        <v>381</v>
      </c>
      <c r="F98" s="43" t="s">
        <v>421</v>
      </c>
      <c r="G98" s="46" t="s">
        <v>422</v>
      </c>
      <c r="H98" s="45" t="s">
        <v>423</v>
      </c>
      <c r="I98" s="49" t="s">
        <v>542</v>
      </c>
      <c r="J98" s="56"/>
    </row>
    <row r="99" spans="1:10" s="1" customFormat="1" ht="15" customHeight="1">
      <c r="A99" s="40">
        <f t="shared" si="2"/>
        <v>97</v>
      </c>
      <c r="B99" s="84">
        <v>2</v>
      </c>
      <c r="C99" s="84">
        <v>1</v>
      </c>
      <c r="D99" s="42">
        <f t="shared" si="3"/>
        <v>7</v>
      </c>
      <c r="E99" s="42"/>
      <c r="F99" s="43" t="s">
        <v>458</v>
      </c>
      <c r="G99" s="46" t="s">
        <v>98</v>
      </c>
      <c r="H99" s="46" t="s">
        <v>459</v>
      </c>
      <c r="I99" s="49" t="s">
        <v>460</v>
      </c>
      <c r="J99" s="56"/>
    </row>
    <row r="100" spans="1:10" s="1" customFormat="1" ht="15" customHeight="1">
      <c r="A100" s="40">
        <f t="shared" si="2"/>
        <v>98</v>
      </c>
      <c r="B100" s="89">
        <v>2</v>
      </c>
      <c r="C100" s="89">
        <v>2</v>
      </c>
      <c r="D100" s="42">
        <f>IF(AND(B98=B100,C98=C100),D98+1,1)</f>
        <v>1</v>
      </c>
      <c r="E100" s="50"/>
      <c r="F100" s="43" t="s">
        <v>543</v>
      </c>
      <c r="G100" s="46" t="s">
        <v>98</v>
      </c>
      <c r="H100" s="45" t="s">
        <v>100</v>
      </c>
      <c r="I100" s="49" t="s">
        <v>461</v>
      </c>
      <c r="J100" s="56"/>
    </row>
    <row r="101" spans="1:10" s="1" customFormat="1" ht="15" customHeight="1">
      <c r="A101" s="40">
        <f t="shared" si="2"/>
        <v>99</v>
      </c>
      <c r="B101" s="89">
        <v>2</v>
      </c>
      <c r="C101" s="89">
        <v>2</v>
      </c>
      <c r="D101" s="42">
        <f t="shared" si="3"/>
        <v>2</v>
      </c>
      <c r="E101" s="47"/>
      <c r="F101" s="43" t="s">
        <v>230</v>
      </c>
      <c r="G101" s="46" t="s">
        <v>98</v>
      </c>
      <c r="H101" s="45" t="s">
        <v>101</v>
      </c>
      <c r="I101" s="49" t="s">
        <v>462</v>
      </c>
      <c r="J101" s="56"/>
    </row>
    <row r="102" spans="1:10" s="1" customFormat="1" ht="15" customHeight="1">
      <c r="A102" s="40">
        <f t="shared" si="2"/>
        <v>100</v>
      </c>
      <c r="B102" s="89">
        <v>2</v>
      </c>
      <c r="C102" s="89">
        <v>2</v>
      </c>
      <c r="D102" s="42">
        <f t="shared" si="3"/>
        <v>3</v>
      </c>
      <c r="E102" s="47"/>
      <c r="F102" s="43" t="s">
        <v>231</v>
      </c>
      <c r="G102" s="46" t="s">
        <v>98</v>
      </c>
      <c r="H102" s="45" t="s">
        <v>102</v>
      </c>
      <c r="I102" s="49" t="s">
        <v>463</v>
      </c>
      <c r="J102" s="56"/>
    </row>
    <row r="103" spans="1:10" s="1" customFormat="1" ht="15" customHeight="1">
      <c r="A103" s="40">
        <f t="shared" si="2"/>
        <v>101</v>
      </c>
      <c r="B103" s="89">
        <v>2</v>
      </c>
      <c r="C103" s="89">
        <v>2</v>
      </c>
      <c r="D103" s="42">
        <f t="shared" si="3"/>
        <v>4</v>
      </c>
      <c r="E103" s="42"/>
      <c r="F103" s="43" t="s">
        <v>368</v>
      </c>
      <c r="G103" s="46" t="s">
        <v>103</v>
      </c>
      <c r="H103" s="45" t="s">
        <v>104</v>
      </c>
      <c r="I103" s="49"/>
      <c r="J103" s="56"/>
    </row>
    <row r="104" spans="1:10" s="1" customFormat="1" ht="15" customHeight="1">
      <c r="A104" s="40">
        <f t="shared" si="2"/>
        <v>102</v>
      </c>
      <c r="B104" s="89">
        <v>2</v>
      </c>
      <c r="C104" s="89">
        <v>2</v>
      </c>
      <c r="D104" s="42">
        <f t="shared" si="3"/>
        <v>5</v>
      </c>
      <c r="E104" s="50" t="s">
        <v>381</v>
      </c>
      <c r="F104" s="43" t="s">
        <v>232</v>
      </c>
      <c r="G104" s="62" t="s">
        <v>105</v>
      </c>
      <c r="H104" s="45" t="s">
        <v>106</v>
      </c>
      <c r="I104" s="49"/>
      <c r="J104" s="56"/>
    </row>
    <row r="105" spans="1:10" s="1" customFormat="1" ht="15" customHeight="1">
      <c r="A105" s="40">
        <f t="shared" si="2"/>
        <v>103</v>
      </c>
      <c r="B105" s="82">
        <v>2</v>
      </c>
      <c r="C105" s="82">
        <v>3</v>
      </c>
      <c r="D105" s="42">
        <f t="shared" si="3"/>
        <v>1</v>
      </c>
      <c r="E105" s="50"/>
      <c r="F105" s="43" t="s">
        <v>233</v>
      </c>
      <c r="G105" s="46" t="s">
        <v>107</v>
      </c>
      <c r="H105" s="45" t="s">
        <v>108</v>
      </c>
      <c r="I105" s="49" t="s">
        <v>544</v>
      </c>
      <c r="J105" s="56"/>
    </row>
    <row r="106" spans="1:10" s="1" customFormat="1" ht="15" customHeight="1">
      <c r="A106" s="40">
        <f t="shared" si="2"/>
        <v>104</v>
      </c>
      <c r="B106" s="82">
        <v>2</v>
      </c>
      <c r="C106" s="82">
        <v>3</v>
      </c>
      <c r="D106" s="42">
        <f t="shared" si="3"/>
        <v>2</v>
      </c>
      <c r="E106" s="47"/>
      <c r="F106" s="43" t="s">
        <v>335</v>
      </c>
      <c r="G106" s="46" t="s">
        <v>107</v>
      </c>
      <c r="H106" s="45" t="s">
        <v>109</v>
      </c>
      <c r="I106" s="49" t="s">
        <v>545</v>
      </c>
      <c r="J106" s="56"/>
    </row>
    <row r="107" spans="1:10" s="1" customFormat="1" ht="15" customHeight="1">
      <c r="A107" s="40">
        <f t="shared" si="2"/>
        <v>105</v>
      </c>
      <c r="B107" s="82">
        <v>2</v>
      </c>
      <c r="C107" s="82">
        <v>3</v>
      </c>
      <c r="D107" s="42">
        <f t="shared" si="3"/>
        <v>3</v>
      </c>
      <c r="E107" s="50"/>
      <c r="F107" s="48" t="s">
        <v>464</v>
      </c>
      <c r="G107" s="46" t="s">
        <v>107</v>
      </c>
      <c r="H107" s="45" t="s">
        <v>410</v>
      </c>
      <c r="I107" s="49" t="s">
        <v>424</v>
      </c>
      <c r="J107" s="56"/>
    </row>
    <row r="108" spans="1:10" s="1" customFormat="1" ht="15" customHeight="1">
      <c r="A108" s="40">
        <f t="shared" si="2"/>
        <v>106</v>
      </c>
      <c r="B108" s="82">
        <v>2</v>
      </c>
      <c r="C108" s="82">
        <v>3</v>
      </c>
      <c r="D108" s="42">
        <f t="shared" si="3"/>
        <v>4</v>
      </c>
      <c r="E108" s="50" t="s">
        <v>381</v>
      </c>
      <c r="F108" s="48" t="s">
        <v>367</v>
      </c>
      <c r="G108" s="63" t="s">
        <v>110</v>
      </c>
      <c r="H108" s="49" t="s">
        <v>111</v>
      </c>
      <c r="I108" s="49" t="s">
        <v>366</v>
      </c>
      <c r="J108" s="56"/>
    </row>
    <row r="109" spans="1:10" s="1" customFormat="1" ht="15" customHeight="1">
      <c r="A109" s="40">
        <f t="shared" si="2"/>
        <v>107</v>
      </c>
      <c r="B109" s="82">
        <v>2</v>
      </c>
      <c r="C109" s="82">
        <v>3</v>
      </c>
      <c r="D109" s="42">
        <f t="shared" si="3"/>
        <v>5</v>
      </c>
      <c r="E109" s="47"/>
      <c r="F109" s="99" t="s">
        <v>546</v>
      </c>
      <c r="G109" s="63" t="s">
        <v>110</v>
      </c>
      <c r="H109" s="49" t="s">
        <v>112</v>
      </c>
      <c r="I109" s="60" t="s">
        <v>547</v>
      </c>
      <c r="J109" s="56"/>
    </row>
    <row r="110" spans="1:10" s="1" customFormat="1" ht="15" customHeight="1">
      <c r="A110" s="40">
        <f t="shared" si="2"/>
        <v>108</v>
      </c>
      <c r="B110" s="82">
        <v>2</v>
      </c>
      <c r="C110" s="82">
        <v>3</v>
      </c>
      <c r="D110" s="42">
        <f t="shared" si="3"/>
        <v>6</v>
      </c>
      <c r="E110" s="47"/>
      <c r="F110" s="48" t="s">
        <v>548</v>
      </c>
      <c r="G110" s="63" t="s">
        <v>107</v>
      </c>
      <c r="H110" s="49"/>
      <c r="I110" s="49" t="s">
        <v>549</v>
      </c>
      <c r="J110" s="56"/>
    </row>
    <row r="111" spans="1:10" s="1" customFormat="1" ht="15" customHeight="1">
      <c r="A111" s="40">
        <f t="shared" si="2"/>
        <v>109</v>
      </c>
      <c r="B111" s="90">
        <v>2</v>
      </c>
      <c r="C111" s="90">
        <v>4</v>
      </c>
      <c r="D111" s="42">
        <f>IF(AND(B109=B111,C109=C111),D109+1,1)</f>
        <v>1</v>
      </c>
      <c r="E111" s="47"/>
      <c r="F111" s="43" t="s">
        <v>234</v>
      </c>
      <c r="G111" s="46" t="s">
        <v>113</v>
      </c>
      <c r="H111" s="45" t="s">
        <v>114</v>
      </c>
      <c r="I111" s="49"/>
      <c r="J111" s="56"/>
    </row>
    <row r="112" spans="1:10" s="1" customFormat="1" ht="15" customHeight="1">
      <c r="A112" s="40">
        <f t="shared" si="2"/>
        <v>110</v>
      </c>
      <c r="B112" s="90">
        <v>2</v>
      </c>
      <c r="C112" s="90">
        <v>4</v>
      </c>
      <c r="D112" s="42">
        <f t="shared" si="3"/>
        <v>2</v>
      </c>
      <c r="E112" s="42"/>
      <c r="F112" s="43" t="s">
        <v>235</v>
      </c>
      <c r="G112" s="46" t="s">
        <v>115</v>
      </c>
      <c r="H112" s="45" t="s">
        <v>116</v>
      </c>
      <c r="I112" s="49"/>
      <c r="J112" s="56"/>
    </row>
    <row r="113" spans="1:10" s="1" customFormat="1" ht="15" customHeight="1">
      <c r="A113" s="40">
        <f t="shared" si="2"/>
        <v>111</v>
      </c>
      <c r="B113" s="90">
        <v>2</v>
      </c>
      <c r="C113" s="90">
        <v>4</v>
      </c>
      <c r="D113" s="42">
        <f t="shared" si="3"/>
        <v>3</v>
      </c>
      <c r="E113" s="47"/>
      <c r="F113" s="48" t="s">
        <v>236</v>
      </c>
      <c r="G113" s="63" t="s">
        <v>113</v>
      </c>
      <c r="H113" s="49" t="s">
        <v>117</v>
      </c>
      <c r="I113" s="49"/>
      <c r="J113" s="56"/>
    </row>
    <row r="114" spans="1:10" s="1" customFormat="1" ht="15" customHeight="1">
      <c r="A114" s="40">
        <f t="shared" si="2"/>
        <v>112</v>
      </c>
      <c r="B114" s="90">
        <v>2</v>
      </c>
      <c r="C114" s="90">
        <v>4</v>
      </c>
      <c r="D114" s="42">
        <f t="shared" si="3"/>
        <v>4</v>
      </c>
      <c r="E114" s="50" t="s">
        <v>381</v>
      </c>
      <c r="F114" s="48" t="s">
        <v>309</v>
      </c>
      <c r="G114" s="45" t="s">
        <v>310</v>
      </c>
      <c r="H114" s="45" t="s">
        <v>313</v>
      </c>
      <c r="I114" s="49" t="s">
        <v>550</v>
      </c>
      <c r="J114" s="56"/>
    </row>
    <row r="115" spans="1:10" s="1" customFormat="1" ht="15" customHeight="1">
      <c r="A115" s="40">
        <f t="shared" si="2"/>
        <v>113</v>
      </c>
      <c r="B115" s="90">
        <v>2</v>
      </c>
      <c r="C115" s="90">
        <v>4</v>
      </c>
      <c r="D115" s="42">
        <f t="shared" si="3"/>
        <v>5</v>
      </c>
      <c r="E115" s="50"/>
      <c r="F115" s="43" t="s">
        <v>345</v>
      </c>
      <c r="G115" s="63" t="s">
        <v>113</v>
      </c>
      <c r="H115" s="45" t="s">
        <v>118</v>
      </c>
      <c r="I115" s="49"/>
      <c r="J115" s="56"/>
    </row>
    <row r="116" spans="1:10" s="1" customFormat="1" ht="15" customHeight="1">
      <c r="A116" s="40">
        <f t="shared" si="2"/>
        <v>114</v>
      </c>
      <c r="B116" s="84">
        <v>2</v>
      </c>
      <c r="C116" s="84">
        <v>5</v>
      </c>
      <c r="D116" s="42">
        <f t="shared" si="3"/>
        <v>1</v>
      </c>
      <c r="E116" s="42"/>
      <c r="F116" s="43" t="s">
        <v>551</v>
      </c>
      <c r="G116" s="46" t="s">
        <v>119</v>
      </c>
      <c r="H116" s="45" t="s">
        <v>120</v>
      </c>
      <c r="I116" s="49" t="s">
        <v>552</v>
      </c>
      <c r="J116" s="56"/>
    </row>
    <row r="117" spans="1:10" s="1" customFormat="1" ht="15" customHeight="1">
      <c r="A117" s="40">
        <f t="shared" si="2"/>
        <v>115</v>
      </c>
      <c r="B117" s="84">
        <v>2</v>
      </c>
      <c r="C117" s="84">
        <v>5</v>
      </c>
      <c r="D117" s="42">
        <f t="shared" si="3"/>
        <v>2</v>
      </c>
      <c r="E117" s="50" t="s">
        <v>381</v>
      </c>
      <c r="F117" s="43" t="s">
        <v>412</v>
      </c>
      <c r="G117" s="46" t="s">
        <v>119</v>
      </c>
      <c r="H117" s="45" t="s">
        <v>121</v>
      </c>
      <c r="I117" s="49" t="s">
        <v>411</v>
      </c>
      <c r="J117" s="56"/>
    </row>
    <row r="118" spans="1:10" s="1" customFormat="1" ht="15" customHeight="1">
      <c r="A118" s="40">
        <f t="shared" si="2"/>
        <v>116</v>
      </c>
      <c r="B118" s="84">
        <v>2</v>
      </c>
      <c r="C118" s="84">
        <v>5</v>
      </c>
      <c r="D118" s="42">
        <f t="shared" si="3"/>
        <v>3</v>
      </c>
      <c r="E118" s="42"/>
      <c r="F118" s="43" t="s">
        <v>238</v>
      </c>
      <c r="G118" s="46" t="s">
        <v>113</v>
      </c>
      <c r="H118" s="45" t="s">
        <v>122</v>
      </c>
      <c r="I118" s="49"/>
      <c r="J118" s="56"/>
    </row>
    <row r="119" spans="1:10" s="1" customFormat="1" ht="15" customHeight="1">
      <c r="A119" s="40">
        <f t="shared" si="2"/>
        <v>117</v>
      </c>
      <c r="B119" s="84">
        <v>2</v>
      </c>
      <c r="C119" s="84">
        <v>5</v>
      </c>
      <c r="D119" s="42">
        <f t="shared" si="3"/>
        <v>4</v>
      </c>
      <c r="E119" s="56"/>
      <c r="F119" s="43" t="s">
        <v>375</v>
      </c>
      <c r="G119" s="46" t="s">
        <v>119</v>
      </c>
      <c r="H119" s="45" t="s">
        <v>123</v>
      </c>
      <c r="I119" s="49"/>
      <c r="J119" s="56"/>
    </row>
    <row r="120" spans="1:10" s="1" customFormat="1" ht="15" customHeight="1">
      <c r="A120" s="40">
        <f t="shared" si="2"/>
        <v>118</v>
      </c>
      <c r="B120" s="84">
        <v>2</v>
      </c>
      <c r="C120" s="84">
        <v>5</v>
      </c>
      <c r="D120" s="42">
        <f t="shared" si="3"/>
        <v>5</v>
      </c>
      <c r="E120" s="47"/>
      <c r="F120" s="43" t="s">
        <v>239</v>
      </c>
      <c r="G120" s="46" t="s">
        <v>113</v>
      </c>
      <c r="H120" s="45" t="s">
        <v>124</v>
      </c>
      <c r="I120" s="49"/>
      <c r="J120" s="56"/>
    </row>
    <row r="121" spans="1:10" s="1" customFormat="1" ht="15" customHeight="1">
      <c r="A121" s="40">
        <f t="shared" si="2"/>
        <v>119</v>
      </c>
      <c r="B121" s="84">
        <v>2</v>
      </c>
      <c r="C121" s="84">
        <v>5</v>
      </c>
      <c r="D121" s="42">
        <f t="shared" si="3"/>
        <v>6</v>
      </c>
      <c r="E121" s="50"/>
      <c r="F121" s="43" t="s">
        <v>348</v>
      </c>
      <c r="G121" s="46" t="s">
        <v>119</v>
      </c>
      <c r="H121" s="45" t="s">
        <v>125</v>
      </c>
      <c r="I121" s="49"/>
      <c r="J121" s="56"/>
    </row>
    <row r="122" spans="1:10" s="1" customFormat="1" ht="15" customHeight="1">
      <c r="A122" s="40">
        <f t="shared" si="2"/>
        <v>120</v>
      </c>
      <c r="B122" s="84">
        <v>2</v>
      </c>
      <c r="C122" s="84">
        <v>5</v>
      </c>
      <c r="D122" s="42">
        <f t="shared" si="3"/>
        <v>7</v>
      </c>
      <c r="E122" s="42"/>
      <c r="F122" s="43" t="s">
        <v>240</v>
      </c>
      <c r="G122" s="46" t="s">
        <v>119</v>
      </c>
      <c r="H122" s="45" t="s">
        <v>126</v>
      </c>
      <c r="I122" s="49"/>
      <c r="J122" s="56"/>
    </row>
    <row r="123" spans="1:10" s="1" customFormat="1" ht="15" customHeight="1">
      <c r="A123" s="40">
        <f t="shared" si="2"/>
        <v>121</v>
      </c>
      <c r="B123" s="84">
        <v>2</v>
      </c>
      <c r="C123" s="84">
        <v>5</v>
      </c>
      <c r="D123" s="42">
        <f t="shared" si="3"/>
        <v>8</v>
      </c>
      <c r="E123" s="47"/>
      <c r="F123" s="43" t="s">
        <v>241</v>
      </c>
      <c r="G123" s="46" t="s">
        <v>119</v>
      </c>
      <c r="H123" s="45" t="s">
        <v>127</v>
      </c>
      <c r="I123" s="49"/>
      <c r="J123" s="56"/>
    </row>
    <row r="124" spans="1:10" s="1" customFormat="1" ht="15" customHeight="1">
      <c r="A124" s="40">
        <f t="shared" si="2"/>
        <v>122</v>
      </c>
      <c r="B124" s="82">
        <v>2</v>
      </c>
      <c r="C124" s="82">
        <v>6</v>
      </c>
      <c r="D124" s="42">
        <f>IF(AND(B123=B124,C123=C124),D123+1,1)</f>
        <v>1</v>
      </c>
      <c r="E124" s="50" t="s">
        <v>381</v>
      </c>
      <c r="F124" s="43" t="s">
        <v>430</v>
      </c>
      <c r="G124" s="46" t="s">
        <v>128</v>
      </c>
      <c r="H124" s="45" t="s">
        <v>129</v>
      </c>
      <c r="I124" s="49" t="s">
        <v>429</v>
      </c>
      <c r="J124" s="56"/>
    </row>
    <row r="125" spans="1:10" s="1" customFormat="1" ht="15" customHeight="1">
      <c r="A125" s="40">
        <f t="shared" si="2"/>
        <v>123</v>
      </c>
      <c r="B125" s="82">
        <v>2</v>
      </c>
      <c r="C125" s="82">
        <v>6</v>
      </c>
      <c r="D125" s="42">
        <f t="shared" si="3"/>
        <v>2</v>
      </c>
      <c r="E125" s="56"/>
      <c r="F125" s="43" t="s">
        <v>242</v>
      </c>
      <c r="G125" s="46" t="s">
        <v>128</v>
      </c>
      <c r="H125" s="45" t="s">
        <v>130</v>
      </c>
      <c r="I125" s="49"/>
      <c r="J125" s="56"/>
    </row>
    <row r="126" spans="1:10" s="1" customFormat="1" ht="15" customHeight="1">
      <c r="A126" s="40">
        <f t="shared" si="2"/>
        <v>124</v>
      </c>
      <c r="B126" s="82">
        <v>2</v>
      </c>
      <c r="C126" s="82">
        <v>6</v>
      </c>
      <c r="D126" s="42">
        <f t="shared" si="3"/>
        <v>3</v>
      </c>
      <c r="E126" s="50"/>
      <c r="F126" s="43" t="s">
        <v>243</v>
      </c>
      <c r="G126" s="46" t="s">
        <v>128</v>
      </c>
      <c r="H126" s="45" t="s">
        <v>305</v>
      </c>
      <c r="I126" s="49" t="s">
        <v>553</v>
      </c>
      <c r="J126" s="56"/>
    </row>
    <row r="127" spans="1:10" s="1" customFormat="1" ht="15" customHeight="1">
      <c r="A127" s="40">
        <f t="shared" si="2"/>
        <v>125</v>
      </c>
      <c r="B127" s="82">
        <v>2</v>
      </c>
      <c r="C127" s="82">
        <v>6</v>
      </c>
      <c r="D127" s="42">
        <f t="shared" si="3"/>
        <v>4</v>
      </c>
      <c r="E127" s="42"/>
      <c r="F127" s="43" t="s">
        <v>245</v>
      </c>
      <c r="G127" s="46" t="s">
        <v>128</v>
      </c>
      <c r="H127" s="45" t="s">
        <v>132</v>
      </c>
      <c r="I127" s="49"/>
      <c r="J127" s="56"/>
    </row>
    <row r="128" spans="1:10" s="1" customFormat="1" ht="15" customHeight="1">
      <c r="A128" s="40">
        <f t="shared" si="2"/>
        <v>126</v>
      </c>
      <c r="B128" s="82">
        <v>2</v>
      </c>
      <c r="C128" s="82">
        <v>6</v>
      </c>
      <c r="D128" s="42">
        <f t="shared" si="3"/>
        <v>5</v>
      </c>
      <c r="E128" s="42"/>
      <c r="F128" s="43" t="s">
        <v>382</v>
      </c>
      <c r="G128" s="46" t="s">
        <v>383</v>
      </c>
      <c r="H128" s="45" t="s">
        <v>384</v>
      </c>
      <c r="I128" s="49" t="s">
        <v>385</v>
      </c>
      <c r="J128" s="56"/>
    </row>
    <row r="129" spans="1:10" s="1" customFormat="1" ht="15" customHeight="1">
      <c r="A129" s="40">
        <f t="shared" si="2"/>
        <v>127</v>
      </c>
      <c r="B129" s="82">
        <v>2</v>
      </c>
      <c r="C129" s="82">
        <v>6</v>
      </c>
      <c r="D129" s="42">
        <f t="shared" si="3"/>
        <v>6</v>
      </c>
      <c r="E129" s="47"/>
      <c r="F129" s="43" t="s">
        <v>386</v>
      </c>
      <c r="G129" s="46" t="s">
        <v>383</v>
      </c>
      <c r="H129" s="45" t="s">
        <v>387</v>
      </c>
      <c r="I129" s="49"/>
      <c r="J129" s="56"/>
    </row>
    <row r="130" spans="1:10" s="1" customFormat="1" ht="15" customHeight="1">
      <c r="A130" s="40">
        <f t="shared" si="2"/>
        <v>128</v>
      </c>
      <c r="B130" s="94">
        <v>2</v>
      </c>
      <c r="C130" s="94">
        <v>7</v>
      </c>
      <c r="D130" s="42">
        <f t="shared" ref="D130:D182" si="4">IF(AND(B129=B130,C129=C130),D129+1,1)</f>
        <v>1</v>
      </c>
      <c r="E130" s="50" t="s">
        <v>381</v>
      </c>
      <c r="F130" s="43" t="s">
        <v>246</v>
      </c>
      <c r="G130" s="46" t="s">
        <v>105</v>
      </c>
      <c r="H130" s="45" t="s">
        <v>554</v>
      </c>
      <c r="I130" s="49" t="s">
        <v>555</v>
      </c>
      <c r="J130" s="56"/>
    </row>
    <row r="131" spans="1:10" s="1" customFormat="1" ht="15" customHeight="1">
      <c r="A131" s="40">
        <f t="shared" si="2"/>
        <v>129</v>
      </c>
      <c r="B131" s="94">
        <v>2</v>
      </c>
      <c r="C131" s="94">
        <v>7</v>
      </c>
      <c r="D131" s="42">
        <f t="shared" si="4"/>
        <v>2</v>
      </c>
      <c r="E131" s="42"/>
      <c r="F131" s="43" t="s">
        <v>321</v>
      </c>
      <c r="G131" s="46" t="s">
        <v>105</v>
      </c>
      <c r="H131" s="45" t="s">
        <v>133</v>
      </c>
      <c r="I131" s="45"/>
      <c r="J131" s="56"/>
    </row>
    <row r="132" spans="1:10" s="1" customFormat="1" ht="15" customHeight="1">
      <c r="A132" s="40">
        <f t="shared" ref="A132:A182" si="5">ROW()-2</f>
        <v>130</v>
      </c>
      <c r="B132" s="94">
        <v>2</v>
      </c>
      <c r="C132" s="94">
        <v>7</v>
      </c>
      <c r="D132" s="42">
        <f t="shared" si="4"/>
        <v>3</v>
      </c>
      <c r="E132" s="42"/>
      <c r="F132" s="43" t="s">
        <v>247</v>
      </c>
      <c r="G132" s="46" t="s">
        <v>105</v>
      </c>
      <c r="H132" s="45" t="s">
        <v>134</v>
      </c>
      <c r="I132" s="45"/>
      <c r="J132" s="56"/>
    </row>
    <row r="133" spans="1:10" s="1" customFormat="1" ht="15" customHeight="1">
      <c r="A133" s="40">
        <f t="shared" si="5"/>
        <v>131</v>
      </c>
      <c r="B133" s="94">
        <v>2</v>
      </c>
      <c r="C133" s="94">
        <v>7</v>
      </c>
      <c r="D133" s="42">
        <f t="shared" si="4"/>
        <v>4</v>
      </c>
      <c r="E133" s="42"/>
      <c r="F133" s="43" t="s">
        <v>248</v>
      </c>
      <c r="G133" s="46" t="s">
        <v>413</v>
      </c>
      <c r="H133" s="45" t="s">
        <v>135</v>
      </c>
      <c r="I133" s="45"/>
      <c r="J133" s="56"/>
    </row>
    <row r="134" spans="1:10" s="1" customFormat="1" ht="15" customHeight="1">
      <c r="A134" s="40">
        <f t="shared" si="5"/>
        <v>132</v>
      </c>
      <c r="B134" s="94">
        <v>2</v>
      </c>
      <c r="C134" s="94">
        <v>7</v>
      </c>
      <c r="D134" s="42">
        <f t="shared" si="4"/>
        <v>5</v>
      </c>
      <c r="E134" s="47"/>
      <c r="F134" s="43" t="s">
        <v>286</v>
      </c>
      <c r="G134" s="46" t="s">
        <v>105</v>
      </c>
      <c r="H134" s="45" t="s">
        <v>136</v>
      </c>
      <c r="I134" s="45"/>
      <c r="J134" s="56"/>
    </row>
    <row r="135" spans="1:10" s="1" customFormat="1" ht="15" customHeight="1">
      <c r="A135" s="40">
        <f t="shared" si="5"/>
        <v>133</v>
      </c>
      <c r="B135" s="94">
        <v>2</v>
      </c>
      <c r="C135" s="94">
        <v>7</v>
      </c>
      <c r="D135" s="42">
        <f t="shared" si="4"/>
        <v>6</v>
      </c>
      <c r="E135" s="42"/>
      <c r="F135" s="43" t="s">
        <v>336</v>
      </c>
      <c r="G135" s="46" t="s">
        <v>105</v>
      </c>
      <c r="H135" s="45" t="s">
        <v>137</v>
      </c>
      <c r="I135" s="45"/>
      <c r="J135" s="56"/>
    </row>
    <row r="136" spans="1:10" s="1" customFormat="1" ht="15" customHeight="1">
      <c r="A136" s="40">
        <f t="shared" si="5"/>
        <v>134</v>
      </c>
      <c r="B136" s="94">
        <v>2</v>
      </c>
      <c r="C136" s="94">
        <v>7</v>
      </c>
      <c r="D136" s="42">
        <f t="shared" si="4"/>
        <v>7</v>
      </c>
      <c r="E136" s="50"/>
      <c r="F136" s="43" t="s">
        <v>346</v>
      </c>
      <c r="G136" s="46" t="s">
        <v>103</v>
      </c>
      <c r="H136" s="49" t="s">
        <v>465</v>
      </c>
      <c r="I136" s="49" t="s">
        <v>556</v>
      </c>
      <c r="J136" s="56"/>
    </row>
    <row r="137" spans="1:10" s="1" customFormat="1" ht="15" customHeight="1">
      <c r="A137" s="40">
        <f t="shared" si="5"/>
        <v>135</v>
      </c>
      <c r="B137" s="94">
        <v>2</v>
      </c>
      <c r="C137" s="94">
        <v>7</v>
      </c>
      <c r="D137" s="42">
        <f t="shared" si="4"/>
        <v>8</v>
      </c>
      <c r="E137" s="42"/>
      <c r="F137" s="43" t="s">
        <v>377</v>
      </c>
      <c r="G137" s="46" t="s">
        <v>378</v>
      </c>
      <c r="H137" s="45" t="s">
        <v>379</v>
      </c>
      <c r="I137" s="45" t="s">
        <v>466</v>
      </c>
      <c r="J137" s="56" t="s">
        <v>557</v>
      </c>
    </row>
    <row r="138" spans="1:10" s="1" customFormat="1" ht="15" customHeight="1">
      <c r="A138" s="40">
        <f t="shared" si="5"/>
        <v>136</v>
      </c>
      <c r="B138" s="94">
        <v>2</v>
      </c>
      <c r="C138" s="94">
        <v>7</v>
      </c>
      <c r="D138" s="42">
        <f t="shared" si="4"/>
        <v>9</v>
      </c>
      <c r="E138" s="47"/>
      <c r="F138" s="43" t="s">
        <v>414</v>
      </c>
      <c r="G138" s="46" t="s">
        <v>467</v>
      </c>
      <c r="H138" s="45" t="s">
        <v>415</v>
      </c>
      <c r="I138" s="45" t="s">
        <v>468</v>
      </c>
      <c r="J138" s="56"/>
    </row>
    <row r="139" spans="1:10" s="1" customFormat="1" ht="15" customHeight="1">
      <c r="A139" s="40">
        <f t="shared" si="5"/>
        <v>137</v>
      </c>
      <c r="B139" s="82">
        <v>2</v>
      </c>
      <c r="C139" s="82">
        <v>8</v>
      </c>
      <c r="D139" s="42">
        <f t="shared" si="4"/>
        <v>1</v>
      </c>
      <c r="E139" s="50" t="s">
        <v>381</v>
      </c>
      <c r="F139" s="43" t="s">
        <v>254</v>
      </c>
      <c r="G139" s="46" t="s">
        <v>105</v>
      </c>
      <c r="H139" s="45" t="s">
        <v>143</v>
      </c>
      <c r="I139" s="45"/>
      <c r="J139" s="56"/>
    </row>
    <row r="140" spans="1:10" s="1" customFormat="1" ht="15" customHeight="1">
      <c r="A140" s="40">
        <f t="shared" si="5"/>
        <v>138</v>
      </c>
      <c r="B140" s="82">
        <v>2</v>
      </c>
      <c r="C140" s="82">
        <v>8</v>
      </c>
      <c r="D140" s="42">
        <f t="shared" si="4"/>
        <v>2</v>
      </c>
      <c r="E140" s="42"/>
      <c r="F140" s="43" t="s">
        <v>323</v>
      </c>
      <c r="G140" s="46" t="s">
        <v>138</v>
      </c>
      <c r="H140" s="45" t="s">
        <v>68</v>
      </c>
      <c r="I140" s="49"/>
      <c r="J140" s="56"/>
    </row>
    <row r="141" spans="1:10" s="1" customFormat="1" ht="15" customHeight="1">
      <c r="A141" s="40">
        <f t="shared" si="5"/>
        <v>139</v>
      </c>
      <c r="B141" s="82">
        <v>2</v>
      </c>
      <c r="C141" s="82">
        <v>8</v>
      </c>
      <c r="D141" s="42">
        <f t="shared" si="4"/>
        <v>3</v>
      </c>
      <c r="E141" s="42"/>
      <c r="F141" s="43" t="s">
        <v>287</v>
      </c>
      <c r="G141" s="46" t="s">
        <v>138</v>
      </c>
      <c r="H141" s="45" t="s">
        <v>149</v>
      </c>
      <c r="I141" s="49"/>
      <c r="J141" s="56"/>
    </row>
    <row r="142" spans="1:10" s="1" customFormat="1" ht="15" customHeight="1">
      <c r="A142" s="40">
        <f t="shared" si="5"/>
        <v>140</v>
      </c>
      <c r="B142" s="82">
        <v>2</v>
      </c>
      <c r="C142" s="82">
        <v>8</v>
      </c>
      <c r="D142" s="42">
        <f t="shared" si="4"/>
        <v>4</v>
      </c>
      <c r="E142" s="42"/>
      <c r="F142" s="43" t="s">
        <v>251</v>
      </c>
      <c r="G142" s="46" t="s">
        <v>138</v>
      </c>
      <c r="H142" s="45" t="s">
        <v>141</v>
      </c>
      <c r="I142" s="49"/>
      <c r="J142" s="56"/>
    </row>
    <row r="143" spans="1:10" s="1" customFormat="1" ht="15" customHeight="1">
      <c r="A143" s="40">
        <f t="shared" si="5"/>
        <v>141</v>
      </c>
      <c r="B143" s="82">
        <v>2</v>
      </c>
      <c r="C143" s="82">
        <v>8</v>
      </c>
      <c r="D143" s="42">
        <f t="shared" si="4"/>
        <v>5</v>
      </c>
      <c r="E143" s="47"/>
      <c r="F143" s="43" t="s">
        <v>252</v>
      </c>
      <c r="G143" s="46" t="s">
        <v>138</v>
      </c>
      <c r="H143" s="45" t="s">
        <v>312</v>
      </c>
      <c r="I143" s="49" t="s">
        <v>20</v>
      </c>
      <c r="J143" s="56"/>
    </row>
    <row r="144" spans="1:10" s="1" customFormat="1" ht="15" customHeight="1">
      <c r="A144" s="40">
        <f t="shared" si="5"/>
        <v>142</v>
      </c>
      <c r="B144" s="82">
        <v>2</v>
      </c>
      <c r="C144" s="82">
        <v>8</v>
      </c>
      <c r="D144" s="42">
        <f t="shared" si="4"/>
        <v>6</v>
      </c>
      <c r="E144" s="47"/>
      <c r="F144" s="43" t="s">
        <v>253</v>
      </c>
      <c r="G144" s="46" t="s">
        <v>138</v>
      </c>
      <c r="H144" s="45" t="s">
        <v>142</v>
      </c>
      <c r="I144" s="49"/>
      <c r="J144" s="56"/>
    </row>
    <row r="145" spans="1:10" s="1" customFormat="1" ht="15" customHeight="1">
      <c r="A145" s="40">
        <f t="shared" si="5"/>
        <v>143</v>
      </c>
      <c r="B145" s="89">
        <v>2</v>
      </c>
      <c r="C145" s="89">
        <v>9</v>
      </c>
      <c r="D145" s="42">
        <f t="shared" si="4"/>
        <v>1</v>
      </c>
      <c r="E145" s="47"/>
      <c r="F145" s="43" t="s">
        <v>250</v>
      </c>
      <c r="G145" s="46" t="s">
        <v>138</v>
      </c>
      <c r="H145" s="45" t="s">
        <v>140</v>
      </c>
      <c r="I145" s="49"/>
      <c r="J145" s="56"/>
    </row>
    <row r="146" spans="1:10" s="1" customFormat="1" ht="15" customHeight="1">
      <c r="A146" s="40">
        <f t="shared" si="5"/>
        <v>144</v>
      </c>
      <c r="B146" s="89">
        <v>2</v>
      </c>
      <c r="C146" s="89">
        <v>9</v>
      </c>
      <c r="D146" s="42">
        <f t="shared" si="4"/>
        <v>2</v>
      </c>
      <c r="E146" s="50"/>
      <c r="F146" s="43" t="s">
        <v>256</v>
      </c>
      <c r="G146" s="46" t="s">
        <v>138</v>
      </c>
      <c r="H146" s="45" t="s">
        <v>146</v>
      </c>
      <c r="I146" s="49"/>
      <c r="J146" s="56"/>
    </row>
    <row r="147" spans="1:10" s="1" customFormat="1" ht="15" customHeight="1">
      <c r="A147" s="40">
        <f t="shared" si="5"/>
        <v>145</v>
      </c>
      <c r="B147" s="89">
        <v>2</v>
      </c>
      <c r="C147" s="89">
        <v>9</v>
      </c>
      <c r="D147" s="42">
        <f t="shared" si="4"/>
        <v>3</v>
      </c>
      <c r="E147" s="50" t="s">
        <v>381</v>
      </c>
      <c r="F147" s="43" t="s">
        <v>255</v>
      </c>
      <c r="G147" s="46" t="s">
        <v>138</v>
      </c>
      <c r="H147" s="45" t="s">
        <v>145</v>
      </c>
      <c r="I147" s="49" t="s">
        <v>558</v>
      </c>
      <c r="J147" s="56"/>
    </row>
    <row r="148" spans="1:10" s="1" customFormat="1" ht="15" customHeight="1">
      <c r="A148" s="40">
        <f t="shared" si="5"/>
        <v>146</v>
      </c>
      <c r="B148" s="89">
        <v>2</v>
      </c>
      <c r="C148" s="89">
        <v>9</v>
      </c>
      <c r="D148" s="42">
        <f t="shared" si="4"/>
        <v>4</v>
      </c>
      <c r="E148" s="42"/>
      <c r="F148" s="43" t="s">
        <v>257</v>
      </c>
      <c r="G148" s="46" t="s">
        <v>138</v>
      </c>
      <c r="H148" s="45" t="s">
        <v>147</v>
      </c>
      <c r="I148" s="49"/>
      <c r="J148" s="56"/>
    </row>
    <row r="149" spans="1:10" s="1" customFormat="1" ht="15" customHeight="1">
      <c r="A149" s="40">
        <f t="shared" si="5"/>
        <v>147</v>
      </c>
      <c r="B149" s="89">
        <v>2</v>
      </c>
      <c r="C149" s="89">
        <v>9</v>
      </c>
      <c r="D149" s="42">
        <f t="shared" si="4"/>
        <v>5</v>
      </c>
      <c r="E149" s="42"/>
      <c r="F149" s="43" t="s">
        <v>249</v>
      </c>
      <c r="G149" s="46" t="s">
        <v>138</v>
      </c>
      <c r="H149" s="45" t="s">
        <v>139</v>
      </c>
      <c r="I149" s="49"/>
      <c r="J149" s="56"/>
    </row>
    <row r="150" spans="1:10" s="1" customFormat="1" ht="15" customHeight="1">
      <c r="A150" s="40">
        <f t="shared" si="5"/>
        <v>148</v>
      </c>
      <c r="B150" s="89">
        <v>2</v>
      </c>
      <c r="C150" s="89">
        <v>9</v>
      </c>
      <c r="D150" s="42">
        <f t="shared" si="4"/>
        <v>6</v>
      </c>
      <c r="E150" s="56"/>
      <c r="F150" s="43" t="s">
        <v>258</v>
      </c>
      <c r="G150" s="46" t="s">
        <v>138</v>
      </c>
      <c r="H150" s="45" t="s">
        <v>148</v>
      </c>
      <c r="I150" s="49"/>
      <c r="J150" s="56"/>
    </row>
    <row r="151" spans="1:10" s="1" customFormat="1" ht="15" customHeight="1">
      <c r="A151" s="40">
        <f t="shared" si="5"/>
        <v>149</v>
      </c>
      <c r="B151" s="89">
        <v>2</v>
      </c>
      <c r="C151" s="89">
        <v>9</v>
      </c>
      <c r="D151" s="42">
        <f t="shared" si="4"/>
        <v>7</v>
      </c>
      <c r="E151" s="42"/>
      <c r="F151" s="43" t="s">
        <v>244</v>
      </c>
      <c r="G151" s="46" t="s">
        <v>416</v>
      </c>
      <c r="H151" s="45" t="s">
        <v>131</v>
      </c>
      <c r="I151" s="49"/>
      <c r="J151" s="56"/>
    </row>
    <row r="152" spans="1:10" s="1" customFormat="1" ht="15" customHeight="1">
      <c r="A152" s="40">
        <f t="shared" si="5"/>
        <v>150</v>
      </c>
      <c r="B152" s="89">
        <v>2</v>
      </c>
      <c r="C152" s="89">
        <v>9</v>
      </c>
      <c r="D152" s="42">
        <f t="shared" si="4"/>
        <v>8</v>
      </c>
      <c r="E152" s="47"/>
      <c r="F152" s="43" t="s">
        <v>559</v>
      </c>
      <c r="G152" s="46" t="s">
        <v>144</v>
      </c>
      <c r="H152" s="45" t="s">
        <v>417</v>
      </c>
      <c r="I152" s="49" t="s">
        <v>426</v>
      </c>
      <c r="J152" s="56"/>
    </row>
    <row r="153" spans="1:10" s="1" customFormat="1" ht="15" customHeight="1">
      <c r="A153" s="40">
        <f t="shared" si="5"/>
        <v>151</v>
      </c>
      <c r="B153" s="90">
        <v>2</v>
      </c>
      <c r="C153" s="90">
        <v>10</v>
      </c>
      <c r="D153" s="42">
        <f t="shared" si="4"/>
        <v>1</v>
      </c>
      <c r="E153" s="47"/>
      <c r="F153" s="43" t="s">
        <v>260</v>
      </c>
      <c r="G153" s="45" t="s">
        <v>297</v>
      </c>
      <c r="H153" s="45" t="s">
        <v>152</v>
      </c>
      <c r="I153" s="49"/>
      <c r="J153" s="56"/>
    </row>
    <row r="154" spans="1:10" s="1" customFormat="1" ht="15" customHeight="1">
      <c r="A154" s="40">
        <f t="shared" si="5"/>
        <v>152</v>
      </c>
      <c r="B154" s="90">
        <v>2</v>
      </c>
      <c r="C154" s="90">
        <v>10</v>
      </c>
      <c r="D154" s="42">
        <f t="shared" si="4"/>
        <v>2</v>
      </c>
      <c r="E154" s="42"/>
      <c r="F154" s="48" t="s">
        <v>284</v>
      </c>
      <c r="G154" s="45" t="s">
        <v>301</v>
      </c>
      <c r="H154" s="45" t="s">
        <v>156</v>
      </c>
      <c r="I154" s="49"/>
      <c r="J154" s="56"/>
    </row>
    <row r="155" spans="1:10" s="1" customFormat="1" ht="15" customHeight="1">
      <c r="A155" s="40">
        <f t="shared" si="5"/>
        <v>153</v>
      </c>
      <c r="B155" s="90">
        <v>2</v>
      </c>
      <c r="C155" s="90">
        <v>10</v>
      </c>
      <c r="D155" s="42">
        <f t="shared" si="4"/>
        <v>3</v>
      </c>
      <c r="E155" s="47"/>
      <c r="F155" s="43" t="s">
        <v>264</v>
      </c>
      <c r="G155" s="45" t="s">
        <v>303</v>
      </c>
      <c r="H155" s="45" t="s">
        <v>158</v>
      </c>
      <c r="I155" s="49"/>
      <c r="J155" s="56"/>
    </row>
    <row r="156" spans="1:10" s="1" customFormat="1" ht="15" customHeight="1">
      <c r="A156" s="40">
        <f t="shared" si="5"/>
        <v>154</v>
      </c>
      <c r="B156" s="90">
        <v>2</v>
      </c>
      <c r="C156" s="90">
        <v>10</v>
      </c>
      <c r="D156" s="42">
        <f t="shared" si="4"/>
        <v>4</v>
      </c>
      <c r="E156" s="42"/>
      <c r="F156" s="43" t="s">
        <v>470</v>
      </c>
      <c r="G156" s="44" t="s">
        <v>471</v>
      </c>
      <c r="H156" s="45" t="s">
        <v>472</v>
      </c>
      <c r="I156" s="49" t="s">
        <v>473</v>
      </c>
      <c r="J156" s="56"/>
    </row>
    <row r="157" spans="1:10" s="1" customFormat="1" ht="15" customHeight="1">
      <c r="A157" s="40">
        <f t="shared" si="5"/>
        <v>155</v>
      </c>
      <c r="B157" s="90">
        <v>2</v>
      </c>
      <c r="C157" s="90">
        <v>10</v>
      </c>
      <c r="D157" s="42">
        <f t="shared" si="4"/>
        <v>5</v>
      </c>
      <c r="E157" s="50"/>
      <c r="F157" s="43" t="s">
        <v>262</v>
      </c>
      <c r="G157" s="46" t="s">
        <v>299</v>
      </c>
      <c r="H157" s="45" t="s">
        <v>154</v>
      </c>
      <c r="I157" s="49"/>
      <c r="J157" s="56"/>
    </row>
    <row r="158" spans="1:10" s="1" customFormat="1" ht="15" customHeight="1">
      <c r="A158" s="40">
        <f t="shared" si="5"/>
        <v>156</v>
      </c>
      <c r="B158" s="90">
        <v>2</v>
      </c>
      <c r="C158" s="90">
        <v>10</v>
      </c>
      <c r="D158" s="42">
        <f t="shared" si="4"/>
        <v>6</v>
      </c>
      <c r="E158" s="42"/>
      <c r="F158" s="43" t="s">
        <v>261</v>
      </c>
      <c r="G158" s="45" t="s">
        <v>298</v>
      </c>
      <c r="H158" s="45" t="s">
        <v>153</v>
      </c>
      <c r="I158" s="49"/>
      <c r="J158" s="56"/>
    </row>
    <row r="159" spans="1:10" s="1" customFormat="1" ht="15" customHeight="1">
      <c r="A159" s="40">
        <f t="shared" si="5"/>
        <v>157</v>
      </c>
      <c r="B159" s="90">
        <v>2</v>
      </c>
      <c r="C159" s="90">
        <v>10</v>
      </c>
      <c r="D159" s="42">
        <f t="shared" si="4"/>
        <v>7</v>
      </c>
      <c r="E159" s="42"/>
      <c r="F159" s="43" t="s">
        <v>469</v>
      </c>
      <c r="G159" s="45" t="s">
        <v>302</v>
      </c>
      <c r="H159" s="45" t="s">
        <v>157</v>
      </c>
      <c r="I159" s="49"/>
      <c r="J159" s="56"/>
    </row>
    <row r="160" spans="1:10" s="1" customFormat="1" ht="15" customHeight="1">
      <c r="A160" s="40">
        <f t="shared" si="5"/>
        <v>158</v>
      </c>
      <c r="B160" s="90">
        <v>2</v>
      </c>
      <c r="C160" s="90">
        <v>10</v>
      </c>
      <c r="D160" s="42">
        <f t="shared" si="4"/>
        <v>8</v>
      </c>
      <c r="E160" s="50"/>
      <c r="F160" s="43" t="s">
        <v>265</v>
      </c>
      <c r="G160" s="45" t="s">
        <v>304</v>
      </c>
      <c r="H160" s="45" t="s">
        <v>159</v>
      </c>
      <c r="I160" s="49"/>
      <c r="J160" s="56"/>
    </row>
    <row r="161" spans="1:10" s="1" customFormat="1" ht="15" customHeight="1">
      <c r="A161" s="40">
        <f t="shared" si="5"/>
        <v>159</v>
      </c>
      <c r="B161" s="90">
        <v>2</v>
      </c>
      <c r="C161" s="90">
        <v>10</v>
      </c>
      <c r="D161" s="42">
        <f t="shared" si="4"/>
        <v>9</v>
      </c>
      <c r="E161" s="50" t="s">
        <v>381</v>
      </c>
      <c r="F161" s="43" t="s">
        <v>263</v>
      </c>
      <c r="G161" s="45" t="s">
        <v>300</v>
      </c>
      <c r="H161" s="45" t="s">
        <v>155</v>
      </c>
      <c r="I161" s="49"/>
      <c r="J161" s="56"/>
    </row>
    <row r="162" spans="1:10" s="1" customFormat="1" ht="15" customHeight="1">
      <c r="A162" s="40">
        <f t="shared" si="5"/>
        <v>160</v>
      </c>
      <c r="B162" s="90">
        <v>2</v>
      </c>
      <c r="C162" s="90">
        <v>10</v>
      </c>
      <c r="D162" s="42">
        <f t="shared" si="4"/>
        <v>10</v>
      </c>
      <c r="E162" s="42"/>
      <c r="F162" s="43" t="s">
        <v>259</v>
      </c>
      <c r="G162" s="46" t="s">
        <v>296</v>
      </c>
      <c r="H162" s="45" t="s">
        <v>151</v>
      </c>
      <c r="I162" s="49"/>
      <c r="J162" s="56"/>
    </row>
    <row r="163" spans="1:10" s="1" customFormat="1" ht="15" customHeight="1">
      <c r="A163" s="40">
        <f t="shared" si="5"/>
        <v>161</v>
      </c>
      <c r="B163" s="90">
        <v>2</v>
      </c>
      <c r="C163" s="90">
        <v>10</v>
      </c>
      <c r="D163" s="42">
        <f t="shared" si="4"/>
        <v>11</v>
      </c>
      <c r="E163" s="42"/>
      <c r="F163" s="43" t="s">
        <v>347</v>
      </c>
      <c r="G163" s="46" t="s">
        <v>295</v>
      </c>
      <c r="H163" s="45" t="s">
        <v>150</v>
      </c>
      <c r="I163" s="49"/>
      <c r="J163" s="56"/>
    </row>
    <row r="164" spans="1:10" s="100" customFormat="1" ht="15" customHeight="1">
      <c r="A164" s="40">
        <f t="shared" si="5"/>
        <v>162</v>
      </c>
      <c r="B164" s="94">
        <v>2</v>
      </c>
      <c r="C164" s="94">
        <v>11</v>
      </c>
      <c r="D164" s="50">
        <f>IF(AND(B162=B164,C162=C164),D162+1,1)</f>
        <v>1</v>
      </c>
      <c r="E164" s="50"/>
      <c r="F164" s="48" t="s">
        <v>560</v>
      </c>
      <c r="G164" s="63" t="s">
        <v>160</v>
      </c>
      <c r="H164" s="49" t="s">
        <v>561</v>
      </c>
      <c r="I164" s="49" t="s">
        <v>562</v>
      </c>
      <c r="J164" s="66"/>
    </row>
    <row r="165" spans="1:10" s="1" customFormat="1" ht="15" customHeight="1">
      <c r="A165" s="40">
        <f t="shared" si="5"/>
        <v>163</v>
      </c>
      <c r="B165" s="94">
        <v>2</v>
      </c>
      <c r="C165" s="94">
        <v>11</v>
      </c>
      <c r="D165" s="42">
        <f t="shared" si="4"/>
        <v>2</v>
      </c>
      <c r="E165" s="42"/>
      <c r="F165" s="43" t="s">
        <v>266</v>
      </c>
      <c r="G165" s="46" t="s">
        <v>160</v>
      </c>
      <c r="H165" s="45" t="s">
        <v>161</v>
      </c>
      <c r="I165" s="49"/>
      <c r="J165" s="56"/>
    </row>
    <row r="166" spans="1:10" s="1" customFormat="1" ht="15" customHeight="1">
      <c r="A166" s="40">
        <f t="shared" si="5"/>
        <v>164</v>
      </c>
      <c r="B166" s="94">
        <v>2</v>
      </c>
      <c r="C166" s="94">
        <v>11</v>
      </c>
      <c r="D166" s="42">
        <f t="shared" si="4"/>
        <v>3</v>
      </c>
      <c r="E166" s="50" t="s">
        <v>381</v>
      </c>
      <c r="F166" s="43" t="s">
        <v>317</v>
      </c>
      <c r="G166" s="46" t="s">
        <v>160</v>
      </c>
      <c r="H166" s="45" t="s">
        <v>563</v>
      </c>
      <c r="I166" s="49" t="s">
        <v>564</v>
      </c>
      <c r="J166" s="56"/>
    </row>
    <row r="167" spans="1:10" s="1" customFormat="1" ht="15" customHeight="1">
      <c r="A167" s="40">
        <f t="shared" si="5"/>
        <v>165</v>
      </c>
      <c r="B167" s="94">
        <v>2</v>
      </c>
      <c r="C167" s="94">
        <v>11</v>
      </c>
      <c r="D167" s="42">
        <f t="shared" si="4"/>
        <v>4</v>
      </c>
      <c r="E167" s="42"/>
      <c r="F167" s="43" t="s">
        <v>267</v>
      </c>
      <c r="G167" s="46" t="s">
        <v>160</v>
      </c>
      <c r="H167" s="45" t="s">
        <v>162</v>
      </c>
      <c r="I167" s="49" t="s">
        <v>565</v>
      </c>
      <c r="J167" s="56"/>
    </row>
    <row r="168" spans="1:10" s="1" customFormat="1" ht="15" customHeight="1">
      <c r="A168" s="40">
        <f t="shared" si="5"/>
        <v>166</v>
      </c>
      <c r="B168" s="94">
        <v>2</v>
      </c>
      <c r="C168" s="94">
        <v>11</v>
      </c>
      <c r="D168" s="42">
        <f t="shared" si="4"/>
        <v>5</v>
      </c>
      <c r="E168" s="42"/>
      <c r="F168" s="43" t="s">
        <v>268</v>
      </c>
      <c r="G168" s="46" t="s">
        <v>138</v>
      </c>
      <c r="H168" s="45" t="s">
        <v>163</v>
      </c>
      <c r="I168" s="49"/>
      <c r="J168" s="56"/>
    </row>
    <row r="169" spans="1:10" s="1" customFormat="1" ht="15" customHeight="1">
      <c r="A169" s="40">
        <f t="shared" si="5"/>
        <v>167</v>
      </c>
      <c r="B169" s="94">
        <v>2</v>
      </c>
      <c r="C169" s="94">
        <v>11</v>
      </c>
      <c r="D169" s="42">
        <f t="shared" si="4"/>
        <v>6</v>
      </c>
      <c r="E169" s="42"/>
      <c r="F169" s="43" t="s">
        <v>369</v>
      </c>
      <c r="G169" s="46" t="s">
        <v>138</v>
      </c>
      <c r="H169" s="45" t="s">
        <v>164</v>
      </c>
      <c r="I169" s="49" t="s">
        <v>365</v>
      </c>
      <c r="J169" s="56"/>
    </row>
    <row r="170" spans="1:10" s="1" customFormat="1" ht="15" customHeight="1">
      <c r="A170" s="40">
        <f t="shared" si="5"/>
        <v>168</v>
      </c>
      <c r="B170" s="94">
        <v>2</v>
      </c>
      <c r="C170" s="94">
        <v>11</v>
      </c>
      <c r="D170" s="42">
        <f t="shared" si="4"/>
        <v>7</v>
      </c>
      <c r="E170" s="47"/>
      <c r="F170" s="43" t="s">
        <v>269</v>
      </c>
      <c r="G170" s="46" t="s">
        <v>165</v>
      </c>
      <c r="H170" s="45" t="s">
        <v>418</v>
      </c>
      <c r="I170" s="49"/>
      <c r="J170" s="56"/>
    </row>
    <row r="171" spans="1:10" s="1" customFormat="1" ht="15" customHeight="1">
      <c r="A171" s="40">
        <f t="shared" si="5"/>
        <v>169</v>
      </c>
      <c r="B171" s="94">
        <v>2</v>
      </c>
      <c r="C171" s="94">
        <v>11</v>
      </c>
      <c r="D171" s="42">
        <f t="shared" si="4"/>
        <v>8</v>
      </c>
      <c r="E171" s="50"/>
      <c r="F171" s="43" t="s">
        <v>270</v>
      </c>
      <c r="G171" s="46" t="s">
        <v>165</v>
      </c>
      <c r="H171" s="45" t="s">
        <v>166</v>
      </c>
      <c r="I171" s="49"/>
      <c r="J171" s="56"/>
    </row>
    <row r="172" spans="1:10" s="1" customFormat="1" ht="15" customHeight="1">
      <c r="A172" s="40">
        <f t="shared" si="5"/>
        <v>170</v>
      </c>
      <c r="B172" s="94">
        <v>2</v>
      </c>
      <c r="C172" s="94">
        <v>11</v>
      </c>
      <c r="D172" s="42">
        <f t="shared" si="4"/>
        <v>9</v>
      </c>
      <c r="E172" s="47"/>
      <c r="F172" s="43" t="s">
        <v>271</v>
      </c>
      <c r="G172" s="46" t="s">
        <v>165</v>
      </c>
      <c r="H172" s="45" t="s">
        <v>167</v>
      </c>
      <c r="I172" s="49"/>
      <c r="J172" s="56"/>
    </row>
    <row r="173" spans="1:10" s="1" customFormat="1" ht="15" customHeight="1">
      <c r="A173" s="40">
        <f t="shared" si="5"/>
        <v>171</v>
      </c>
      <c r="B173" s="94">
        <v>2</v>
      </c>
      <c r="C173" s="94">
        <v>11</v>
      </c>
      <c r="D173" s="42">
        <f t="shared" si="4"/>
        <v>10</v>
      </c>
      <c r="E173" s="42"/>
      <c r="F173" s="45" t="s">
        <v>566</v>
      </c>
      <c r="G173" s="63" t="s">
        <v>165</v>
      </c>
      <c r="H173" s="101" t="s">
        <v>400</v>
      </c>
      <c r="I173" s="61" t="s">
        <v>474</v>
      </c>
      <c r="J173" s="56" t="s">
        <v>567</v>
      </c>
    </row>
    <row r="174" spans="1:10" s="1" customFormat="1" ht="15" customHeight="1">
      <c r="A174" s="40">
        <f t="shared" si="5"/>
        <v>172</v>
      </c>
      <c r="B174" s="90">
        <v>2</v>
      </c>
      <c r="C174" s="90">
        <v>12</v>
      </c>
      <c r="D174" s="42">
        <f t="shared" si="4"/>
        <v>1</v>
      </c>
      <c r="E174" s="42"/>
      <c r="F174" s="43" t="s">
        <v>397</v>
      </c>
      <c r="G174" s="45" t="s">
        <v>288</v>
      </c>
      <c r="H174" s="45" t="s">
        <v>168</v>
      </c>
      <c r="I174" s="49" t="s">
        <v>396</v>
      </c>
      <c r="J174" s="56"/>
    </row>
    <row r="175" spans="1:10" s="1" customFormat="1" ht="15" customHeight="1">
      <c r="A175" s="40">
        <f t="shared" si="5"/>
        <v>173</v>
      </c>
      <c r="B175" s="90">
        <v>2</v>
      </c>
      <c r="C175" s="90">
        <v>12</v>
      </c>
      <c r="D175" s="42">
        <f t="shared" si="4"/>
        <v>2</v>
      </c>
      <c r="E175" s="47"/>
      <c r="F175" s="43" t="s">
        <v>475</v>
      </c>
      <c r="G175" s="45" t="s">
        <v>311</v>
      </c>
      <c r="H175" s="45" t="s">
        <v>419</v>
      </c>
      <c r="I175" s="49" t="s">
        <v>476</v>
      </c>
      <c r="J175" s="56"/>
    </row>
    <row r="176" spans="1:10" s="1" customFormat="1" ht="15" customHeight="1">
      <c r="A176" s="40">
        <f t="shared" si="5"/>
        <v>174</v>
      </c>
      <c r="B176" s="90">
        <v>2</v>
      </c>
      <c r="C176" s="90">
        <v>12</v>
      </c>
      <c r="D176" s="42">
        <f t="shared" si="4"/>
        <v>3</v>
      </c>
      <c r="E176" s="47"/>
      <c r="F176" s="43" t="s">
        <v>324</v>
      </c>
      <c r="G176" s="45" t="s">
        <v>289</v>
      </c>
      <c r="H176" s="45" t="s">
        <v>325</v>
      </c>
      <c r="I176" s="49" t="s">
        <v>326</v>
      </c>
      <c r="J176" s="56"/>
    </row>
    <row r="177" spans="1:10" s="1" customFormat="1" ht="15" customHeight="1">
      <c r="A177" s="40">
        <f t="shared" si="5"/>
        <v>175</v>
      </c>
      <c r="B177" s="90">
        <v>2</v>
      </c>
      <c r="C177" s="90">
        <v>12</v>
      </c>
      <c r="D177" s="42">
        <f t="shared" si="4"/>
        <v>4</v>
      </c>
      <c r="E177" s="42"/>
      <c r="F177" s="43" t="s">
        <v>272</v>
      </c>
      <c r="G177" s="45" t="s">
        <v>290</v>
      </c>
      <c r="H177" s="45" t="s">
        <v>169</v>
      </c>
      <c r="I177" s="49"/>
      <c r="J177" s="56"/>
    </row>
    <row r="178" spans="1:10" s="1" customFormat="1" ht="15" customHeight="1">
      <c r="A178" s="40">
        <f t="shared" si="5"/>
        <v>176</v>
      </c>
      <c r="B178" s="90">
        <v>2</v>
      </c>
      <c r="C178" s="90">
        <v>12</v>
      </c>
      <c r="D178" s="42">
        <f t="shared" si="4"/>
        <v>5</v>
      </c>
      <c r="E178" s="42"/>
      <c r="F178" s="43" t="s">
        <v>273</v>
      </c>
      <c r="G178" s="45" t="s">
        <v>291</v>
      </c>
      <c r="H178" s="45" t="s">
        <v>170</v>
      </c>
      <c r="I178" s="49"/>
      <c r="J178" s="56"/>
    </row>
    <row r="179" spans="1:10" s="1" customFormat="1" ht="15" customHeight="1">
      <c r="A179" s="40">
        <f t="shared" si="5"/>
        <v>177</v>
      </c>
      <c r="B179" s="90">
        <v>2</v>
      </c>
      <c r="C179" s="90">
        <v>12</v>
      </c>
      <c r="D179" s="42">
        <f t="shared" si="4"/>
        <v>6</v>
      </c>
      <c r="E179" s="42"/>
      <c r="F179" s="43" t="s">
        <v>274</v>
      </c>
      <c r="G179" s="96" t="s">
        <v>291</v>
      </c>
      <c r="H179" s="96"/>
      <c r="I179" s="83" t="s">
        <v>425</v>
      </c>
      <c r="J179" s="56"/>
    </row>
    <row r="180" spans="1:10" s="100" customFormat="1" ht="15" customHeight="1">
      <c r="A180" s="40">
        <f t="shared" si="5"/>
        <v>178</v>
      </c>
      <c r="B180" s="51">
        <v>2</v>
      </c>
      <c r="C180" s="51">
        <v>12</v>
      </c>
      <c r="D180" s="50">
        <f t="shared" si="4"/>
        <v>7</v>
      </c>
      <c r="E180" s="50"/>
      <c r="F180" s="48" t="s">
        <v>275</v>
      </c>
      <c r="G180" s="49" t="s">
        <v>292</v>
      </c>
      <c r="H180" s="49" t="s">
        <v>171</v>
      </c>
      <c r="I180" s="49" t="s">
        <v>568</v>
      </c>
      <c r="J180" s="66"/>
    </row>
    <row r="181" spans="1:10" s="1" customFormat="1" ht="15" customHeight="1">
      <c r="A181" s="40">
        <f t="shared" si="5"/>
        <v>179</v>
      </c>
      <c r="B181" s="90">
        <v>2</v>
      </c>
      <c r="C181" s="90">
        <v>12</v>
      </c>
      <c r="D181" s="42">
        <f t="shared" si="4"/>
        <v>8</v>
      </c>
      <c r="E181" s="50" t="s">
        <v>381</v>
      </c>
      <c r="F181" s="43" t="s">
        <v>276</v>
      </c>
      <c r="G181" s="45" t="s">
        <v>293</v>
      </c>
      <c r="H181" s="45" t="s">
        <v>569</v>
      </c>
      <c r="I181" s="49"/>
      <c r="J181" s="56"/>
    </row>
    <row r="182" spans="1:10" s="1" customFormat="1" ht="15" customHeight="1">
      <c r="A182" s="40">
        <f t="shared" si="5"/>
        <v>180</v>
      </c>
      <c r="B182" s="90">
        <v>2</v>
      </c>
      <c r="C182" s="90">
        <v>12</v>
      </c>
      <c r="D182" s="42">
        <f t="shared" si="4"/>
        <v>9</v>
      </c>
      <c r="E182" s="50"/>
      <c r="F182" s="43" t="s">
        <v>277</v>
      </c>
      <c r="G182" s="45" t="s">
        <v>294</v>
      </c>
      <c r="H182" s="45" t="s">
        <v>172</v>
      </c>
      <c r="I182" s="49" t="s">
        <v>477</v>
      </c>
      <c r="J182" s="56"/>
    </row>
    <row r="184" spans="1:10" s="3" customFormat="1">
      <c r="A184" t="s">
        <v>570</v>
      </c>
      <c r="B184"/>
      <c r="C184"/>
      <c r="D184" s="12" t="s">
        <v>381</v>
      </c>
      <c r="E184" t="s">
        <v>571</v>
      </c>
      <c r="H184" s="102"/>
      <c r="I184"/>
      <c r="J184"/>
    </row>
    <row r="185" spans="1:10" s="3" customFormat="1">
      <c r="A185"/>
      <c r="B185"/>
      <c r="C185"/>
      <c r="D185" s="103"/>
      <c r="E185" s="104" t="s">
        <v>572</v>
      </c>
      <c r="I185"/>
      <c r="J185"/>
    </row>
    <row r="186" spans="1:10">
      <c r="D186" s="13"/>
      <c r="E186" t="s">
        <v>573</v>
      </c>
    </row>
  </sheetData>
  <mergeCells count="1">
    <mergeCell ref="A1:I1"/>
  </mergeCells>
  <phoneticPr fontId="1"/>
  <pageMargins left="1.1023622047244095" right="0.98425196850393704" top="0.98425196850393704" bottom="0.98425196850393704" header="0.51181102362204722" footer="0.51181102362204722"/>
  <pageSetup paperSize="9" scale="59" fitToHeight="4" orientation="portrait" r:id="rId1"/>
  <headerFooter>
    <oddHeader>&amp;C&amp;A</oddHeader>
    <oddFooter>&amp;L&amp;"ＭＳ Ｐゴシック,標準"&amp;K000000&amp;Z&amp;F&amp;C&amp;"ＭＳ Ｐゴシック,標準"&amp;K000000&amp;P／&amp;N</oddFooter>
  </headerFooter>
  <rowBreaks count="3" manualBreakCount="3">
    <brk id="48" max="16383" man="1"/>
    <brk id="90" max="16383" man="1"/>
    <brk id="14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59F6-F596-4CBB-B524-0F90CA4A524D}">
  <sheetPr>
    <pageSetUpPr fitToPage="1"/>
  </sheetPr>
  <dimension ref="A1:Y46"/>
  <sheetViews>
    <sheetView topLeftCell="A4" zoomScaleNormal="100" workbookViewId="0">
      <selection activeCell="R19" sqref="R19"/>
    </sheetView>
  </sheetViews>
  <sheetFormatPr defaultRowHeight="13.5"/>
  <cols>
    <col min="1" max="2" width="3.375" bestFit="1" customWidth="1"/>
    <col min="3" max="4" width="3.375" customWidth="1"/>
    <col min="5" max="5" width="15.125" bestFit="1" customWidth="1"/>
    <col min="7" max="8" width="3.375" bestFit="1" customWidth="1"/>
    <col min="9" max="10" width="3.375" customWidth="1"/>
    <col min="11" max="11" width="15.125" bestFit="1" customWidth="1"/>
    <col min="13" max="14" width="3.375" bestFit="1" customWidth="1"/>
    <col min="15" max="16" width="3.375" customWidth="1"/>
    <col min="17" max="17" width="15.125" bestFit="1" customWidth="1"/>
    <col min="19" max="20" width="3.375" bestFit="1" customWidth="1"/>
    <col min="21" max="22" width="3.375" customWidth="1"/>
    <col min="23" max="23" width="15.125" bestFit="1" customWidth="1"/>
  </cols>
  <sheetData>
    <row r="1" spans="1:25">
      <c r="A1" s="4" t="s">
        <v>188</v>
      </c>
      <c r="B1" s="4" t="s">
        <v>185</v>
      </c>
      <c r="C1" s="64"/>
      <c r="D1" s="64"/>
      <c r="E1" s="4" t="s">
        <v>173</v>
      </c>
      <c r="F1" s="4" t="s">
        <v>434</v>
      </c>
      <c r="G1" s="4" t="s">
        <v>188</v>
      </c>
      <c r="H1" s="4" t="s">
        <v>185</v>
      </c>
      <c r="I1" s="64"/>
      <c r="J1" s="64"/>
      <c r="K1" s="4" t="s">
        <v>173</v>
      </c>
      <c r="L1" s="4" t="s">
        <v>434</v>
      </c>
      <c r="M1" s="4" t="s">
        <v>188</v>
      </c>
      <c r="N1" s="4" t="s">
        <v>185</v>
      </c>
      <c r="O1" s="64"/>
      <c r="P1" s="64"/>
      <c r="Q1" s="4" t="s">
        <v>173</v>
      </c>
      <c r="R1" s="4" t="s">
        <v>434</v>
      </c>
      <c r="S1" s="4" t="s">
        <v>188</v>
      </c>
      <c r="T1" s="4" t="s">
        <v>185</v>
      </c>
      <c r="U1" s="64"/>
      <c r="V1" s="64"/>
      <c r="W1" s="4" t="s">
        <v>173</v>
      </c>
      <c r="X1" s="4" t="s">
        <v>434</v>
      </c>
      <c r="Y1" s="4" t="s">
        <v>433</v>
      </c>
    </row>
    <row r="2" spans="1:25">
      <c r="A2" s="7">
        <f>①会員名簿マスタ!B3</f>
        <v>1</v>
      </c>
      <c r="B2" s="7">
        <f>①会員名簿マスタ!C3</f>
        <v>1</v>
      </c>
      <c r="C2" s="65">
        <f>①会員名簿マスタ!D3</f>
        <v>1</v>
      </c>
      <c r="D2" s="65">
        <f>①会員名簿マスタ!E3</f>
        <v>0</v>
      </c>
      <c r="E2" s="7" t="str">
        <f>①会員名簿マスタ!F3</f>
        <v>中村芳朗</v>
      </c>
      <c r="F2" s="7"/>
      <c r="G2" s="7">
        <f>①会員名簿マスタ!B48</f>
        <v>1</v>
      </c>
      <c r="H2" s="7">
        <f>①会員名簿マスタ!C48</f>
        <v>7</v>
      </c>
      <c r="I2" s="65">
        <f>①会員名簿マスタ!D48</f>
        <v>5</v>
      </c>
      <c r="J2" s="65">
        <f>①会員名簿マスタ!E48</f>
        <v>0</v>
      </c>
      <c r="K2" s="7" t="str">
        <f>①会員名簿マスタ!F48</f>
        <v>中村未紀</v>
      </c>
      <c r="L2" s="7"/>
      <c r="M2" s="7">
        <f>①会員名簿マスタ!B93</f>
        <v>2</v>
      </c>
      <c r="N2" s="7">
        <f>①会員名簿マスタ!C93</f>
        <v>1</v>
      </c>
      <c r="O2" s="65">
        <f>①会員名簿マスタ!D93</f>
        <v>1</v>
      </c>
      <c r="P2" s="65">
        <f>①会員名簿マスタ!E93</f>
        <v>0</v>
      </c>
      <c r="Q2" s="7" t="str">
        <f>①会員名簿マスタ!F93</f>
        <v>森田眞由美</v>
      </c>
      <c r="R2" s="7"/>
      <c r="S2" s="7">
        <f>①会員名簿マスタ!B138</f>
        <v>2</v>
      </c>
      <c r="T2" s="106">
        <f>①会員名簿マスタ!C138</f>
        <v>7</v>
      </c>
      <c r="U2" s="107">
        <f>①会員名簿マスタ!D138</f>
        <v>9</v>
      </c>
      <c r="V2" s="107">
        <f>①会員名簿マスタ!E138</f>
        <v>0</v>
      </c>
      <c r="W2" s="106" t="str">
        <f>①会員名簿マスタ!F138</f>
        <v>藤谷健太</v>
      </c>
      <c r="X2" s="7"/>
      <c r="Y2" s="7">
        <v>1</v>
      </c>
    </row>
    <row r="3" spans="1:25">
      <c r="A3" s="7">
        <f>①会員名簿マスタ!B4</f>
        <v>1</v>
      </c>
      <c r="B3" s="7">
        <f>①会員名簿マスタ!C4</f>
        <v>1</v>
      </c>
      <c r="C3" s="65">
        <f>①会員名簿マスタ!D4</f>
        <v>2</v>
      </c>
      <c r="D3" s="65">
        <f>①会員名簿マスタ!E4</f>
        <v>0</v>
      </c>
      <c r="E3" s="7" t="str">
        <f>①会員名簿マスタ!F4</f>
        <v>中村治子</v>
      </c>
      <c r="F3" s="7"/>
      <c r="G3" s="7">
        <f>①会員名簿マスタ!B49</f>
        <v>1</v>
      </c>
      <c r="H3" s="7">
        <f>①会員名簿マスタ!C49</f>
        <v>8</v>
      </c>
      <c r="I3" s="65">
        <f>①会員名簿マスタ!D49</f>
        <v>1</v>
      </c>
      <c r="J3" s="65">
        <f>①会員名簿マスタ!E49</f>
        <v>0</v>
      </c>
      <c r="K3" s="7" t="str">
        <f>①会員名簿マスタ!F49</f>
        <v>齋藤良一</v>
      </c>
      <c r="L3" s="7"/>
      <c r="M3" s="7">
        <f>①会員名簿マスタ!B94</f>
        <v>2</v>
      </c>
      <c r="N3" s="7">
        <f>①会員名簿マスタ!C94</f>
        <v>1</v>
      </c>
      <c r="O3" s="65">
        <f>①会員名簿マスタ!D94</f>
        <v>2</v>
      </c>
      <c r="P3" s="65">
        <f>①会員名簿マスタ!E94</f>
        <v>0</v>
      </c>
      <c r="Q3" s="7" t="str">
        <f>①会員名簿マスタ!F94</f>
        <v>森田章裕</v>
      </c>
      <c r="R3" s="7"/>
      <c r="S3" s="7">
        <f>①会員名簿マスタ!B139</f>
        <v>2</v>
      </c>
      <c r="T3" s="106">
        <f>①会員名簿マスタ!C139</f>
        <v>8</v>
      </c>
      <c r="U3" s="107">
        <f>①会員名簿マスタ!D139</f>
        <v>1</v>
      </c>
      <c r="V3" s="107" t="str">
        <f>①会員名簿マスタ!E139</f>
        <v>●</v>
      </c>
      <c r="W3" s="106" t="str">
        <f>①会員名簿マスタ!F139</f>
        <v>佐藤和朗</v>
      </c>
      <c r="X3" s="7"/>
      <c r="Y3" s="7">
        <f>Y2+1</f>
        <v>2</v>
      </c>
    </row>
    <row r="4" spans="1:25">
      <c r="A4" s="7">
        <f>①会員名簿マスタ!B5</f>
        <v>1</v>
      </c>
      <c r="B4" s="7">
        <f>①会員名簿マスタ!C5</f>
        <v>1</v>
      </c>
      <c r="C4" s="65">
        <f>①会員名簿マスタ!D5</f>
        <v>3</v>
      </c>
      <c r="D4" s="65">
        <f>①会員名簿マスタ!E5</f>
        <v>0</v>
      </c>
      <c r="E4" s="7" t="str">
        <f>①会員名簿マスタ!F5</f>
        <v>松川正士</v>
      </c>
      <c r="F4" s="7"/>
      <c r="G4" s="7">
        <f>①会員名簿マスタ!B50</f>
        <v>1</v>
      </c>
      <c r="H4" s="7">
        <f>①会員名簿マスタ!C50</f>
        <v>8</v>
      </c>
      <c r="I4" s="65">
        <f>①会員名簿マスタ!D50</f>
        <v>2</v>
      </c>
      <c r="J4" s="65">
        <f>①会員名簿マスタ!E50</f>
        <v>0</v>
      </c>
      <c r="K4" s="7" t="str">
        <f>①会員名簿マスタ!F50</f>
        <v>齋藤和枝</v>
      </c>
      <c r="L4" s="7"/>
      <c r="M4" s="7">
        <f>①会員名簿マスタ!B95</f>
        <v>2</v>
      </c>
      <c r="N4" s="7">
        <f>①会員名簿マスタ!C95</f>
        <v>1</v>
      </c>
      <c r="O4" s="65">
        <f>①会員名簿マスタ!D95</f>
        <v>3</v>
      </c>
      <c r="P4" s="65">
        <f>①会員名簿マスタ!E95</f>
        <v>0</v>
      </c>
      <c r="Q4" s="7" t="str">
        <f>①会員名簿マスタ!F95</f>
        <v>小澤正行</v>
      </c>
      <c r="R4" s="7"/>
      <c r="S4" s="7">
        <f>①会員名簿マスタ!B140</f>
        <v>2</v>
      </c>
      <c r="T4" s="106">
        <f>①会員名簿マスタ!C140</f>
        <v>8</v>
      </c>
      <c r="U4" s="107">
        <f>①会員名簿マスタ!D140</f>
        <v>2</v>
      </c>
      <c r="V4" s="107">
        <f>①会員名簿マスタ!E140</f>
        <v>0</v>
      </c>
      <c r="W4" s="106" t="str">
        <f>①会員名簿マスタ!F140</f>
        <v>爲廣哲朗</v>
      </c>
      <c r="X4" s="7"/>
      <c r="Y4" s="7">
        <f t="shared" ref="Y4:Y46" si="0">Y3+1</f>
        <v>3</v>
      </c>
    </row>
    <row r="5" spans="1:25">
      <c r="A5" s="7">
        <f>①会員名簿マスタ!B6</f>
        <v>1</v>
      </c>
      <c r="B5" s="7">
        <f>①会員名簿マスタ!C6</f>
        <v>1</v>
      </c>
      <c r="C5" s="65">
        <f>①会員名簿マスタ!D6</f>
        <v>4</v>
      </c>
      <c r="D5" s="65">
        <f>①会員名簿マスタ!E6</f>
        <v>0</v>
      </c>
      <c r="E5" s="7" t="str">
        <f>①会員名簿マスタ!F6</f>
        <v>和田薪</v>
      </c>
      <c r="F5" s="7"/>
      <c r="G5" s="7">
        <f>①会員名簿マスタ!B51</f>
        <v>1</v>
      </c>
      <c r="H5" s="7">
        <f>①会員名簿マスタ!C51</f>
        <v>8</v>
      </c>
      <c r="I5" s="65">
        <f>①会員名簿マスタ!D51</f>
        <v>3</v>
      </c>
      <c r="J5" s="65" t="str">
        <f>①会員名簿マスタ!E51</f>
        <v>●</v>
      </c>
      <c r="K5" s="7" t="str">
        <f>①会員名簿マスタ!F51</f>
        <v>溝口美代子</v>
      </c>
      <c r="L5" s="7"/>
      <c r="M5" s="7">
        <f>①会員名簿マスタ!B96</f>
        <v>2</v>
      </c>
      <c r="N5" s="7">
        <f>①会員名簿マスタ!C96</f>
        <v>1</v>
      </c>
      <c r="O5" s="65">
        <f>①会員名簿マスタ!D96</f>
        <v>4</v>
      </c>
      <c r="P5" s="65">
        <f>①会員名簿マスタ!E96</f>
        <v>0</v>
      </c>
      <c r="Q5" s="7" t="str">
        <f>①会員名簿マスタ!F96</f>
        <v>福島紀一</v>
      </c>
      <c r="R5" s="7"/>
      <c r="S5" s="7">
        <f>①会員名簿マスタ!B141</f>
        <v>2</v>
      </c>
      <c r="T5" s="106">
        <f>①会員名簿マスタ!C141</f>
        <v>8</v>
      </c>
      <c r="U5" s="107">
        <f>①会員名簿マスタ!D141</f>
        <v>3</v>
      </c>
      <c r="V5" s="107">
        <f>①会員名簿マスタ!E141</f>
        <v>0</v>
      </c>
      <c r="W5" s="106" t="str">
        <f>①会員名簿マスタ!F141</f>
        <v>中根佳江</v>
      </c>
      <c r="X5" s="7"/>
      <c r="Y5" s="7">
        <f t="shared" si="0"/>
        <v>4</v>
      </c>
    </row>
    <row r="6" spans="1:25">
      <c r="A6" s="7">
        <f>①会員名簿マスタ!B7</f>
        <v>1</v>
      </c>
      <c r="B6" s="7">
        <f>①会員名簿マスタ!C7</f>
        <v>1</v>
      </c>
      <c r="C6" s="65">
        <f>①会員名簿マスタ!D7</f>
        <v>5</v>
      </c>
      <c r="D6" s="65">
        <f>①会員名簿マスタ!E7</f>
        <v>0</v>
      </c>
      <c r="E6" s="7" t="str">
        <f>①会員名簿マスタ!F7</f>
        <v>平井進</v>
      </c>
      <c r="F6" s="7"/>
      <c r="G6" s="7">
        <f>①会員名簿マスタ!B52</f>
        <v>1</v>
      </c>
      <c r="H6" s="7">
        <f>①会員名簿マスタ!C52</f>
        <v>8</v>
      </c>
      <c r="I6" s="65">
        <f>①会員名簿マスタ!D52</f>
        <v>4</v>
      </c>
      <c r="J6" s="65">
        <f>①会員名簿マスタ!E52</f>
        <v>0</v>
      </c>
      <c r="K6" s="7" t="str">
        <f>①会員名簿マスタ!F52</f>
        <v>宮川正子</v>
      </c>
      <c r="L6" s="7"/>
      <c r="M6" s="7">
        <f>①会員名簿マスタ!B97</f>
        <v>2</v>
      </c>
      <c r="N6" s="7">
        <f>①会員名簿マスタ!C97</f>
        <v>1</v>
      </c>
      <c r="O6" s="65">
        <f>①会員名簿マスタ!D97</f>
        <v>5</v>
      </c>
      <c r="P6" s="65">
        <f>①会員名簿マスタ!E97</f>
        <v>0</v>
      </c>
      <c r="Q6" s="7" t="str">
        <f>①会員名簿マスタ!F97</f>
        <v>名取眞代</v>
      </c>
      <c r="R6" s="7"/>
      <c r="S6" s="7">
        <f>①会員名簿マスタ!B142</f>
        <v>2</v>
      </c>
      <c r="T6" s="106">
        <f>①会員名簿マスタ!C142</f>
        <v>8</v>
      </c>
      <c r="U6" s="107">
        <f>①会員名簿マスタ!D142</f>
        <v>4</v>
      </c>
      <c r="V6" s="107">
        <f>①会員名簿マスタ!E142</f>
        <v>0</v>
      </c>
      <c r="W6" s="106" t="str">
        <f>①会員名簿マスタ!F142</f>
        <v>大塚孝史</v>
      </c>
      <c r="X6" s="7"/>
      <c r="Y6" s="7">
        <f t="shared" si="0"/>
        <v>5</v>
      </c>
    </row>
    <row r="7" spans="1:25">
      <c r="A7" s="7">
        <f>①会員名簿マスタ!B8</f>
        <v>1</v>
      </c>
      <c r="B7" s="7">
        <f>①会員名簿マスタ!C8</f>
        <v>1</v>
      </c>
      <c r="C7" s="65">
        <f>①会員名簿マスタ!D8</f>
        <v>6</v>
      </c>
      <c r="D7" s="65">
        <f>①会員名簿マスタ!E8</f>
        <v>0</v>
      </c>
      <c r="E7" s="7" t="str">
        <f>①会員名簿マスタ!F8</f>
        <v>長谷川聡</v>
      </c>
      <c r="F7" s="7"/>
      <c r="G7" s="7">
        <f>①会員名簿マスタ!B53</f>
        <v>1</v>
      </c>
      <c r="H7" s="7">
        <f>①会員名簿マスタ!C53</f>
        <v>8</v>
      </c>
      <c r="I7" s="65">
        <f>①会員名簿マスタ!D53</f>
        <v>5</v>
      </c>
      <c r="J7" s="65">
        <f>①会員名簿マスタ!E53</f>
        <v>0</v>
      </c>
      <c r="K7" s="7" t="str">
        <f>①会員名簿マスタ!F53</f>
        <v>佐々木由香里</v>
      </c>
      <c r="L7" s="7"/>
      <c r="M7" s="7">
        <f>①会員名簿マスタ!B98</f>
        <v>2</v>
      </c>
      <c r="N7" s="7">
        <f>①会員名簿マスタ!C98</f>
        <v>1</v>
      </c>
      <c r="O7" s="65">
        <f>①会員名簿マスタ!D98</f>
        <v>6</v>
      </c>
      <c r="P7" s="65" t="str">
        <f>①会員名簿マスタ!E98</f>
        <v>●</v>
      </c>
      <c r="Q7" s="7" t="str">
        <f>①会員名簿マスタ!F98</f>
        <v>藤田将作</v>
      </c>
      <c r="R7" s="7"/>
      <c r="S7" s="7">
        <f>①会員名簿マスタ!B143</f>
        <v>2</v>
      </c>
      <c r="T7" s="106">
        <f>①会員名簿マスタ!C143</f>
        <v>8</v>
      </c>
      <c r="U7" s="107">
        <f>①会員名簿マスタ!D143</f>
        <v>5</v>
      </c>
      <c r="V7" s="107">
        <f>①会員名簿マスタ!E143</f>
        <v>0</v>
      </c>
      <c r="W7" s="106" t="str">
        <f>①会員名簿マスタ!F143</f>
        <v>鴨崎昶美</v>
      </c>
      <c r="X7" s="7"/>
      <c r="Y7" s="7">
        <f t="shared" si="0"/>
        <v>6</v>
      </c>
    </row>
    <row r="8" spans="1:25">
      <c r="A8" s="7">
        <f>①会員名簿マスタ!B9</f>
        <v>1</v>
      </c>
      <c r="B8" s="7">
        <f>①会員名簿マスタ!C9</f>
        <v>1</v>
      </c>
      <c r="C8" s="65">
        <f>①会員名簿マスタ!D9</f>
        <v>7</v>
      </c>
      <c r="D8" s="65">
        <f>①会員名簿マスタ!E9</f>
        <v>0</v>
      </c>
      <c r="E8" s="7" t="str">
        <f>①会員名簿マスタ!F9</f>
        <v>粟飯原功</v>
      </c>
      <c r="F8" s="7"/>
      <c r="G8" s="7">
        <f>①会員名簿マスタ!B54</f>
        <v>1</v>
      </c>
      <c r="H8" s="7">
        <f>①会員名簿マスタ!C54</f>
        <v>8</v>
      </c>
      <c r="I8" s="65">
        <f>①会員名簿マスタ!D54</f>
        <v>6</v>
      </c>
      <c r="J8" s="65">
        <f>①会員名簿マスタ!E54</f>
        <v>0</v>
      </c>
      <c r="K8" s="7" t="str">
        <f>①会員名簿マスタ!F54</f>
        <v>橘鷹裕介</v>
      </c>
      <c r="L8" s="7"/>
      <c r="M8" s="7">
        <f>①会員名簿マスタ!B99</f>
        <v>2</v>
      </c>
      <c r="N8" s="7">
        <f>①会員名簿マスタ!C99</f>
        <v>1</v>
      </c>
      <c r="O8" s="65">
        <f>①会員名簿マスタ!D99</f>
        <v>7</v>
      </c>
      <c r="P8" s="65">
        <f>①会員名簿マスタ!E99</f>
        <v>0</v>
      </c>
      <c r="Q8" s="7" t="str">
        <f>①会員名簿マスタ!F99</f>
        <v>滝本春香</v>
      </c>
      <c r="R8" s="7"/>
      <c r="S8" s="7">
        <f>①会員名簿マスタ!B144</f>
        <v>2</v>
      </c>
      <c r="T8" s="106">
        <f>①会員名簿マスタ!C144</f>
        <v>8</v>
      </c>
      <c r="U8" s="107">
        <f>①会員名簿マスタ!D144</f>
        <v>6</v>
      </c>
      <c r="V8" s="107">
        <f>①会員名簿マスタ!E144</f>
        <v>0</v>
      </c>
      <c r="W8" s="106" t="str">
        <f>①会員名簿マスタ!F144</f>
        <v>杉本一久</v>
      </c>
      <c r="X8" s="7"/>
      <c r="Y8" s="7">
        <f t="shared" si="0"/>
        <v>7</v>
      </c>
    </row>
    <row r="9" spans="1:25">
      <c r="A9" s="7">
        <f>①会員名簿マスタ!B10</f>
        <v>1</v>
      </c>
      <c r="B9" s="7">
        <f>①会員名簿マスタ!C10</f>
        <v>1</v>
      </c>
      <c r="C9" s="65">
        <f>①会員名簿マスタ!D10</f>
        <v>8</v>
      </c>
      <c r="D9" s="65">
        <f>①会員名簿マスタ!E10</f>
        <v>0</v>
      </c>
      <c r="E9" s="7" t="str">
        <f>①会員名簿マスタ!F10</f>
        <v>高橋正</v>
      </c>
      <c r="F9" s="7"/>
      <c r="G9" s="7">
        <f>①会員名簿マスタ!B55</f>
        <v>1</v>
      </c>
      <c r="H9" s="7">
        <f>①会員名簿マスタ!C55</f>
        <v>8</v>
      </c>
      <c r="I9" s="65">
        <f>①会員名簿マスタ!D55</f>
        <v>7</v>
      </c>
      <c r="J9" s="65">
        <f>①会員名簿マスタ!E55</f>
        <v>0</v>
      </c>
      <c r="K9" s="7" t="str">
        <f>①会員名簿マスタ!F55</f>
        <v>玉田義輝</v>
      </c>
      <c r="L9" s="7"/>
      <c r="M9" s="7">
        <f>①会員名簿マスタ!B100</f>
        <v>2</v>
      </c>
      <c r="N9" s="7">
        <f>①会員名簿マスタ!C100</f>
        <v>2</v>
      </c>
      <c r="O9" s="65">
        <f>①会員名簿マスタ!D100</f>
        <v>1</v>
      </c>
      <c r="P9" s="65">
        <f>①会員名簿マスタ!E100</f>
        <v>0</v>
      </c>
      <c r="Q9" s="7" t="str">
        <f>①会員名簿マスタ!F100</f>
        <v>渡辺嘉久也</v>
      </c>
      <c r="R9" s="7"/>
      <c r="S9" s="7">
        <f>①会員名簿マスタ!B145</f>
        <v>2</v>
      </c>
      <c r="T9" s="106">
        <f>①会員名簿マスタ!C145</f>
        <v>9</v>
      </c>
      <c r="U9" s="107">
        <f>①会員名簿マスタ!D145</f>
        <v>1</v>
      </c>
      <c r="V9" s="107">
        <f>①会員名簿マスタ!E145</f>
        <v>0</v>
      </c>
      <c r="W9" s="106" t="str">
        <f>①会員名簿マスタ!F145</f>
        <v>内山巧</v>
      </c>
      <c r="X9" s="7"/>
      <c r="Y9" s="7">
        <f t="shared" si="0"/>
        <v>8</v>
      </c>
    </row>
    <row r="10" spans="1:25">
      <c r="A10" s="7">
        <f>①会員名簿マスタ!B11</f>
        <v>1</v>
      </c>
      <c r="B10" s="7">
        <f>①会員名簿マスタ!C11</f>
        <v>1</v>
      </c>
      <c r="C10" s="65">
        <f>①会員名簿マスタ!D11</f>
        <v>9</v>
      </c>
      <c r="D10" s="65" t="str">
        <f>①会員名簿マスタ!E11</f>
        <v>●</v>
      </c>
      <c r="E10" s="7" t="str">
        <f>①会員名簿マスタ!F11</f>
        <v>林信行</v>
      </c>
      <c r="F10" s="7"/>
      <c r="G10" s="7">
        <f>①会員名簿マスタ!B56</f>
        <v>1</v>
      </c>
      <c r="H10" s="7">
        <f>①会員名簿マスタ!C56</f>
        <v>9</v>
      </c>
      <c r="I10" s="65">
        <f>①会員名簿マスタ!D56</f>
        <v>1</v>
      </c>
      <c r="J10" s="65" t="str">
        <f>①会員名簿マスタ!E56</f>
        <v>●</v>
      </c>
      <c r="K10" s="7" t="str">
        <f>①会員名簿マスタ!F56</f>
        <v>金子勲</v>
      </c>
      <c r="L10" s="7"/>
      <c r="M10" s="7">
        <f>①会員名簿マスタ!B101</f>
        <v>2</v>
      </c>
      <c r="N10" s="7">
        <f>①会員名簿マスタ!C101</f>
        <v>2</v>
      </c>
      <c r="O10" s="65">
        <f>①会員名簿マスタ!D101</f>
        <v>2</v>
      </c>
      <c r="P10" s="65">
        <f>①会員名簿マスタ!E101</f>
        <v>0</v>
      </c>
      <c r="Q10" s="7" t="str">
        <f>①会員名簿マスタ!F101</f>
        <v>佐野和弘</v>
      </c>
      <c r="R10" s="7"/>
      <c r="S10" s="7">
        <f>①会員名簿マスタ!B146</f>
        <v>2</v>
      </c>
      <c r="T10" s="106">
        <f>①会員名簿マスタ!C146</f>
        <v>9</v>
      </c>
      <c r="U10" s="107">
        <f>①会員名簿マスタ!D146</f>
        <v>2</v>
      </c>
      <c r="V10" s="107">
        <f>①会員名簿マスタ!E146</f>
        <v>0</v>
      </c>
      <c r="W10" s="106" t="str">
        <f>①会員名簿マスタ!F146</f>
        <v>稲橋義治</v>
      </c>
      <c r="X10" s="7"/>
      <c r="Y10" s="7">
        <f t="shared" si="0"/>
        <v>9</v>
      </c>
    </row>
    <row r="11" spans="1:25">
      <c r="A11" s="7">
        <f>①会員名簿マスタ!B12</f>
        <v>1</v>
      </c>
      <c r="B11" s="7">
        <f>①会員名簿マスタ!C12</f>
        <v>2</v>
      </c>
      <c r="C11" s="65">
        <f>①会員名簿マスタ!D12</f>
        <v>1</v>
      </c>
      <c r="D11" s="65">
        <f>①会員名簿マスタ!E12</f>
        <v>0</v>
      </c>
      <c r="E11" s="7" t="str">
        <f>①会員名簿マスタ!F12</f>
        <v>紺野建設</v>
      </c>
      <c r="F11" s="7"/>
      <c r="G11" s="7">
        <f>①会員名簿マスタ!B57</f>
        <v>1</v>
      </c>
      <c r="H11" s="7">
        <f>①会員名簿マスタ!C57</f>
        <v>9</v>
      </c>
      <c r="I11" s="65">
        <f>①会員名簿マスタ!D57</f>
        <v>2</v>
      </c>
      <c r="J11" s="65">
        <f>①会員名簿マスタ!E57</f>
        <v>0</v>
      </c>
      <c r="K11" s="7" t="str">
        <f>①会員名簿マスタ!F57</f>
        <v>松本弘子</v>
      </c>
      <c r="L11" s="7"/>
      <c r="M11" s="7">
        <f>①会員名簿マスタ!B102</f>
        <v>2</v>
      </c>
      <c r="N11" s="7">
        <f>①会員名簿マスタ!C102</f>
        <v>2</v>
      </c>
      <c r="O11" s="65">
        <f>①会員名簿マスタ!D102</f>
        <v>3</v>
      </c>
      <c r="P11" s="65">
        <f>①会員名簿マスタ!E102</f>
        <v>0</v>
      </c>
      <c r="Q11" s="7" t="str">
        <f>①会員名簿マスタ!F102</f>
        <v>橋本岳</v>
      </c>
      <c r="R11" s="7"/>
      <c r="S11" s="7">
        <f>①会員名簿マスタ!B147</f>
        <v>2</v>
      </c>
      <c r="T11" s="106">
        <f>①会員名簿マスタ!C147</f>
        <v>9</v>
      </c>
      <c r="U11" s="107">
        <f>①会員名簿マスタ!D147</f>
        <v>3</v>
      </c>
      <c r="V11" s="107" t="str">
        <f>①会員名簿マスタ!E147</f>
        <v>●</v>
      </c>
      <c r="W11" s="106" t="str">
        <f>①会員名簿マスタ!F147</f>
        <v>堀江善幸</v>
      </c>
      <c r="X11" s="7"/>
      <c r="Y11" s="7">
        <f t="shared" si="0"/>
        <v>10</v>
      </c>
    </row>
    <row r="12" spans="1:25">
      <c r="A12" s="7">
        <f>①会員名簿マスタ!B13</f>
        <v>1</v>
      </c>
      <c r="B12" s="7">
        <f>①会員名簿マスタ!C13</f>
        <v>2</v>
      </c>
      <c r="C12" s="65">
        <f>①会員名簿マスタ!D13</f>
        <v>2</v>
      </c>
      <c r="D12" s="65">
        <f>①会員名簿マスタ!E13</f>
        <v>0</v>
      </c>
      <c r="E12" s="7" t="str">
        <f>①会員名簿マスタ!F13</f>
        <v>遠山悦子</v>
      </c>
      <c r="F12" s="7"/>
      <c r="G12" s="7">
        <f>①会員名簿マスタ!B58</f>
        <v>1</v>
      </c>
      <c r="H12" s="7">
        <f>①会員名簿マスタ!C58</f>
        <v>9</v>
      </c>
      <c r="I12" s="65">
        <f>①会員名簿マスタ!D58</f>
        <v>3</v>
      </c>
      <c r="J12" s="65">
        <f>①会員名簿マスタ!E58</f>
        <v>0</v>
      </c>
      <c r="K12" s="7" t="str">
        <f>①会員名簿マスタ!F58</f>
        <v>関口香奈</v>
      </c>
      <c r="L12" s="7"/>
      <c r="M12" s="7">
        <f>①会員名簿マスタ!B103</f>
        <v>2</v>
      </c>
      <c r="N12" s="7">
        <f>①会員名簿マスタ!C103</f>
        <v>2</v>
      </c>
      <c r="O12" s="65">
        <f>①会員名簿マスタ!D103</f>
        <v>4</v>
      </c>
      <c r="P12" s="65">
        <f>①会員名簿マスタ!E103</f>
        <v>0</v>
      </c>
      <c r="Q12" s="7" t="str">
        <f>①会員名簿マスタ!F103</f>
        <v>御薗節子</v>
      </c>
      <c r="R12" s="7"/>
      <c r="S12" s="7">
        <f>①会員名簿マスタ!B148</f>
        <v>2</v>
      </c>
      <c r="T12" s="106">
        <f>①会員名簿マスタ!C148</f>
        <v>9</v>
      </c>
      <c r="U12" s="107">
        <f>①会員名簿マスタ!D148</f>
        <v>4</v>
      </c>
      <c r="V12" s="107">
        <f>①会員名簿マスタ!E148</f>
        <v>0</v>
      </c>
      <c r="W12" s="106" t="str">
        <f>①会員名簿マスタ!F148</f>
        <v>水内鶴男</v>
      </c>
      <c r="X12" s="7"/>
      <c r="Y12" s="7">
        <f t="shared" si="0"/>
        <v>11</v>
      </c>
    </row>
    <row r="13" spans="1:25">
      <c r="A13" s="7">
        <f>①会員名簿マスタ!B14</f>
        <v>1</v>
      </c>
      <c r="B13" s="7">
        <f>①会員名簿マスタ!C14</f>
        <v>2</v>
      </c>
      <c r="C13" s="65">
        <f>①会員名簿マスタ!D14</f>
        <v>3</v>
      </c>
      <c r="D13" s="65">
        <f>①会員名簿マスタ!E14</f>
        <v>0</v>
      </c>
      <c r="E13" s="7" t="str">
        <f>①会員名簿マスタ!F14</f>
        <v>高瀬一</v>
      </c>
      <c r="F13" s="7"/>
      <c r="G13" s="7">
        <f>①会員名簿マスタ!B59</f>
        <v>1</v>
      </c>
      <c r="H13" s="7">
        <f>①会員名簿マスタ!C59</f>
        <v>9</v>
      </c>
      <c r="I13" s="65">
        <f>①会員名簿マスタ!D59</f>
        <v>4</v>
      </c>
      <c r="J13" s="65">
        <f>①会員名簿マスタ!E59</f>
        <v>0</v>
      </c>
      <c r="K13" s="7" t="str">
        <f>①会員名簿マスタ!F59</f>
        <v>藤田範男</v>
      </c>
      <c r="L13" s="7"/>
      <c r="M13" s="7">
        <f>①会員名簿マスタ!B104</f>
        <v>2</v>
      </c>
      <c r="N13" s="7">
        <f>①会員名簿マスタ!C104</f>
        <v>2</v>
      </c>
      <c r="O13" s="65">
        <f>①会員名簿マスタ!D104</f>
        <v>5</v>
      </c>
      <c r="P13" s="65" t="str">
        <f>①会員名簿マスタ!E104</f>
        <v>●</v>
      </c>
      <c r="Q13" s="7" t="str">
        <f>①会員名簿マスタ!F104</f>
        <v>小松誠</v>
      </c>
      <c r="R13" s="7"/>
      <c r="S13" s="7">
        <f>①会員名簿マスタ!B149</f>
        <v>2</v>
      </c>
      <c r="T13" s="106">
        <f>①会員名簿マスタ!C149</f>
        <v>9</v>
      </c>
      <c r="U13" s="107">
        <f>①会員名簿マスタ!D149</f>
        <v>5</v>
      </c>
      <c r="V13" s="107">
        <f>①会員名簿マスタ!E149</f>
        <v>0</v>
      </c>
      <c r="W13" s="106" t="str">
        <f>①会員名簿マスタ!F149</f>
        <v>阿部治</v>
      </c>
      <c r="X13" s="7"/>
      <c r="Y13" s="7">
        <f t="shared" si="0"/>
        <v>12</v>
      </c>
    </row>
    <row r="14" spans="1:25">
      <c r="A14" s="7">
        <f>①会員名簿マスタ!B15</f>
        <v>1</v>
      </c>
      <c r="B14" s="7">
        <f>①会員名簿マスタ!C15</f>
        <v>2</v>
      </c>
      <c r="C14" s="65">
        <f>①会員名簿マスタ!D15</f>
        <v>4</v>
      </c>
      <c r="D14" s="65" t="str">
        <f>①会員名簿マスタ!E15</f>
        <v>●</v>
      </c>
      <c r="E14" s="7" t="str">
        <f>①会員名簿マスタ!F15</f>
        <v>齋藤勇</v>
      </c>
      <c r="F14" s="7"/>
      <c r="G14" s="7">
        <f>①会員名簿マスタ!B60</f>
        <v>1</v>
      </c>
      <c r="H14" s="7">
        <f>①会員名簿マスタ!C60</f>
        <v>9</v>
      </c>
      <c r="I14" s="65">
        <f>①会員名簿マスタ!D60</f>
        <v>5</v>
      </c>
      <c r="J14" s="65">
        <f>①会員名簿マスタ!E60</f>
        <v>0</v>
      </c>
      <c r="K14" s="7" t="str">
        <f>①会員名簿マスタ!F60</f>
        <v>前田清孝</v>
      </c>
      <c r="L14" s="7"/>
      <c r="M14" s="7">
        <f>①会員名簿マスタ!B105</f>
        <v>2</v>
      </c>
      <c r="N14" s="7">
        <f>①会員名簿マスタ!C105</f>
        <v>3</v>
      </c>
      <c r="O14" s="65">
        <f>①会員名簿マスタ!D105</f>
        <v>1</v>
      </c>
      <c r="P14" s="65">
        <f>①会員名簿マスタ!E105</f>
        <v>0</v>
      </c>
      <c r="Q14" s="7" t="str">
        <f>①会員名簿マスタ!F105</f>
        <v>霜村紀子</v>
      </c>
      <c r="R14" s="7"/>
      <c r="S14" s="7">
        <f>①会員名簿マスタ!B150</f>
        <v>2</v>
      </c>
      <c r="T14" s="106">
        <f>①会員名簿マスタ!C150</f>
        <v>9</v>
      </c>
      <c r="U14" s="107">
        <f>①会員名簿マスタ!D150</f>
        <v>6</v>
      </c>
      <c r="V14" s="107">
        <f>①会員名簿マスタ!E150</f>
        <v>0</v>
      </c>
      <c r="W14" s="106" t="str">
        <f>①会員名簿マスタ!F150</f>
        <v>八子秀五郎</v>
      </c>
      <c r="X14" s="7"/>
      <c r="Y14" s="7">
        <f t="shared" si="0"/>
        <v>13</v>
      </c>
    </row>
    <row r="15" spans="1:25">
      <c r="A15" s="7">
        <f>①会員名簿マスタ!B16</f>
        <v>1</v>
      </c>
      <c r="B15" s="7">
        <f>①会員名簿マスタ!C16</f>
        <v>2</v>
      </c>
      <c r="C15" s="65">
        <f>①会員名簿マスタ!D16</f>
        <v>5</v>
      </c>
      <c r="D15" s="65">
        <f>①会員名簿マスタ!E16</f>
        <v>0</v>
      </c>
      <c r="E15" s="7" t="str">
        <f>①会員名簿マスタ!F16</f>
        <v>鍋田益男</v>
      </c>
      <c r="F15" s="7"/>
      <c r="G15" s="7">
        <f>①会員名簿マスタ!B61</f>
        <v>1</v>
      </c>
      <c r="H15" s="7">
        <f>①会員名簿マスタ!C61</f>
        <v>9</v>
      </c>
      <c r="I15" s="65">
        <f>①会員名簿マスタ!D61</f>
        <v>6</v>
      </c>
      <c r="J15" s="65">
        <f>①会員名簿マスタ!E61</f>
        <v>0</v>
      </c>
      <c r="K15" s="7" t="str">
        <f>①会員名簿マスタ!F61</f>
        <v>高島秀夫</v>
      </c>
      <c r="L15" s="7"/>
      <c r="M15" s="7">
        <f>①会員名簿マスタ!B106</f>
        <v>2</v>
      </c>
      <c r="N15" s="7">
        <f>①会員名簿マスタ!C106</f>
        <v>3</v>
      </c>
      <c r="O15" s="65">
        <f>①会員名簿マスタ!D106</f>
        <v>2</v>
      </c>
      <c r="P15" s="65">
        <f>①会員名簿マスタ!E106</f>
        <v>0</v>
      </c>
      <c r="Q15" s="7" t="str">
        <f>①会員名簿マスタ!F106</f>
        <v>吉田順子</v>
      </c>
      <c r="R15" s="7"/>
      <c r="S15" s="7">
        <f>①会員名簿マスタ!B151</f>
        <v>2</v>
      </c>
      <c r="T15" s="106">
        <f>①会員名簿マスタ!C151</f>
        <v>9</v>
      </c>
      <c r="U15" s="107">
        <f>①会員名簿マスタ!D151</f>
        <v>7</v>
      </c>
      <c r="V15" s="107">
        <f>①会員名簿マスタ!E151</f>
        <v>0</v>
      </c>
      <c r="W15" s="106" t="str">
        <f>①会員名簿マスタ!F151</f>
        <v>小林晃</v>
      </c>
      <c r="X15" s="7"/>
      <c r="Y15" s="7">
        <f t="shared" si="0"/>
        <v>14</v>
      </c>
    </row>
    <row r="16" spans="1:25">
      <c r="A16" s="7">
        <f>①会員名簿マスタ!B17</f>
        <v>1</v>
      </c>
      <c r="B16" s="7">
        <f>①会員名簿マスタ!C17</f>
        <v>2</v>
      </c>
      <c r="C16" s="65">
        <f>①会員名簿マスタ!D17</f>
        <v>6</v>
      </c>
      <c r="D16" s="65">
        <f>①会員名簿マスタ!E17</f>
        <v>0</v>
      </c>
      <c r="E16" s="7" t="str">
        <f>①会員名簿マスタ!F17</f>
        <v>マミークリーニング</v>
      </c>
      <c r="F16" s="7"/>
      <c r="G16" s="7">
        <f>①会員名簿マスタ!B62</f>
        <v>1</v>
      </c>
      <c r="H16" s="7">
        <f>①会員名簿マスタ!C62</f>
        <v>9</v>
      </c>
      <c r="I16" s="65">
        <f>①会員名簿マスタ!D62</f>
        <v>7</v>
      </c>
      <c r="J16" s="65">
        <f>①会員名簿マスタ!E62</f>
        <v>0</v>
      </c>
      <c r="K16" s="7" t="str">
        <f>①会員名簿マスタ!F62</f>
        <v>桐生勝巳</v>
      </c>
      <c r="L16" s="7"/>
      <c r="M16" s="7">
        <f>①会員名簿マスタ!B107</f>
        <v>2</v>
      </c>
      <c r="N16" s="7">
        <f>①会員名簿マスタ!C107</f>
        <v>3</v>
      </c>
      <c r="O16" s="65">
        <f>①会員名簿マスタ!D107</f>
        <v>3</v>
      </c>
      <c r="P16" s="65">
        <f>①会員名簿マスタ!E107</f>
        <v>0</v>
      </c>
      <c r="Q16" s="7" t="str">
        <f>①会員名簿マスタ!F107</f>
        <v>吉田初枝</v>
      </c>
      <c r="R16" s="7"/>
      <c r="S16" s="7">
        <f>①会員名簿マスタ!B152</f>
        <v>2</v>
      </c>
      <c r="T16" s="106">
        <f>①会員名簿マスタ!C152</f>
        <v>9</v>
      </c>
      <c r="U16" s="107">
        <f>①会員名簿マスタ!D152</f>
        <v>8</v>
      </c>
      <c r="V16" s="107">
        <f>①会員名簿マスタ!E152</f>
        <v>0</v>
      </c>
      <c r="W16" s="106" t="str">
        <f>①会員名簿マスタ!F152</f>
        <v>鈴木眞寿美</v>
      </c>
      <c r="X16" s="7"/>
      <c r="Y16" s="7">
        <f t="shared" si="0"/>
        <v>15</v>
      </c>
    </row>
    <row r="17" spans="1:25">
      <c r="A17" s="7">
        <f>①会員名簿マスタ!B18</f>
        <v>1</v>
      </c>
      <c r="B17" s="7">
        <f>①会員名簿マスタ!C18</f>
        <v>2</v>
      </c>
      <c r="C17" s="65">
        <f>①会員名簿マスタ!D18</f>
        <v>7</v>
      </c>
      <c r="D17" s="65">
        <f>①会員名簿マスタ!E18</f>
        <v>0</v>
      </c>
      <c r="E17" s="7" t="str">
        <f>①会員名簿マスタ!F18</f>
        <v>佐藤清</v>
      </c>
      <c r="F17" s="7"/>
      <c r="G17" s="7">
        <f>①会員名簿マスタ!B63</f>
        <v>1</v>
      </c>
      <c r="H17" s="7">
        <f>①会員名簿マスタ!C63</f>
        <v>9</v>
      </c>
      <c r="I17" s="65">
        <f>①会員名簿マスタ!D63</f>
        <v>8</v>
      </c>
      <c r="J17" s="65">
        <f>①会員名簿マスタ!E63</f>
        <v>0</v>
      </c>
      <c r="K17" s="7" t="str">
        <f>①会員名簿マスタ!F63</f>
        <v>前田拓也</v>
      </c>
      <c r="L17" s="7"/>
      <c r="M17" s="7">
        <f>①会員名簿マスタ!B108</f>
        <v>2</v>
      </c>
      <c r="N17" s="7">
        <f>①会員名簿マスタ!C108</f>
        <v>3</v>
      </c>
      <c r="O17" s="65">
        <f>①会員名簿マスタ!D108</f>
        <v>4</v>
      </c>
      <c r="P17" s="65" t="str">
        <f>①会員名簿マスタ!E108</f>
        <v>●</v>
      </c>
      <c r="Q17" s="7" t="str">
        <f>①会員名簿マスタ!F108</f>
        <v>網倉潤子</v>
      </c>
      <c r="R17" s="7"/>
      <c r="S17" s="7">
        <f>①会員名簿マスタ!B153</f>
        <v>2</v>
      </c>
      <c r="T17" s="106">
        <f>①会員名簿マスタ!C153</f>
        <v>10</v>
      </c>
      <c r="U17" s="107">
        <f>①会員名簿マスタ!D153</f>
        <v>1</v>
      </c>
      <c r="V17" s="107">
        <f>①会員名簿マスタ!E153</f>
        <v>0</v>
      </c>
      <c r="W17" s="106" t="str">
        <f>①会員名簿マスタ!F153</f>
        <v>金井六平</v>
      </c>
      <c r="X17" s="7"/>
      <c r="Y17" s="7">
        <f t="shared" si="0"/>
        <v>16</v>
      </c>
    </row>
    <row r="18" spans="1:25">
      <c r="A18" s="7">
        <f>①会員名簿マスタ!B19</f>
        <v>1</v>
      </c>
      <c r="B18" s="7">
        <f>①会員名簿マスタ!C19</f>
        <v>2</v>
      </c>
      <c r="C18" s="65">
        <f>①会員名簿マスタ!D19</f>
        <v>8</v>
      </c>
      <c r="D18" s="65">
        <f>①会員名簿マスタ!E19</f>
        <v>0</v>
      </c>
      <c r="E18" s="7" t="str">
        <f>①会員名簿マスタ!F19</f>
        <v>戸村則登</v>
      </c>
      <c r="F18" s="7"/>
      <c r="G18" s="7">
        <f>①会員名簿マスタ!B64</f>
        <v>1</v>
      </c>
      <c r="H18" s="7">
        <f>①会員名簿マスタ!C64</f>
        <v>9</v>
      </c>
      <c r="I18" s="65">
        <f>①会員名簿マスタ!D64</f>
        <v>9</v>
      </c>
      <c r="J18" s="65">
        <f>①会員名簿マスタ!E64</f>
        <v>0</v>
      </c>
      <c r="K18" s="7" t="str">
        <f>①会員名簿マスタ!F64</f>
        <v>竹本久子</v>
      </c>
      <c r="L18" s="7"/>
      <c r="M18" s="7">
        <f>①会員名簿マスタ!B109</f>
        <v>2</v>
      </c>
      <c r="N18" s="7">
        <f>①会員名簿マスタ!C109</f>
        <v>3</v>
      </c>
      <c r="O18" s="65">
        <f>①会員名簿マスタ!D109</f>
        <v>5</v>
      </c>
      <c r="P18" s="65">
        <f>①会員名簿マスタ!E109</f>
        <v>0</v>
      </c>
      <c r="Q18" s="14" t="str">
        <f>①会員名簿マスタ!F109</f>
        <v>上田千代</v>
      </c>
      <c r="R18" s="14" t="s">
        <v>581</v>
      </c>
      <c r="S18" s="7">
        <f>①会員名簿マスタ!B154</f>
        <v>2</v>
      </c>
      <c r="T18" s="106">
        <f>①会員名簿マスタ!C154</f>
        <v>10</v>
      </c>
      <c r="U18" s="107">
        <f>①会員名簿マスタ!D154</f>
        <v>2</v>
      </c>
      <c r="V18" s="107">
        <f>①会員名簿マスタ!E154</f>
        <v>0</v>
      </c>
      <c r="W18" s="106" t="str">
        <f>①会員名簿マスタ!F154</f>
        <v>小池弘</v>
      </c>
      <c r="X18" s="7"/>
      <c r="Y18" s="7">
        <f t="shared" si="0"/>
        <v>17</v>
      </c>
    </row>
    <row r="19" spans="1:25">
      <c r="A19" s="7">
        <f>①会員名簿マスタ!B20</f>
        <v>1</v>
      </c>
      <c r="B19" s="7">
        <f>①会員名簿マスタ!C20</f>
        <v>3</v>
      </c>
      <c r="C19" s="65">
        <f>①会員名簿マスタ!D20</f>
        <v>1</v>
      </c>
      <c r="D19" s="65" t="str">
        <f>①会員名簿マスタ!E20</f>
        <v>●</v>
      </c>
      <c r="E19" s="7" t="str">
        <f>①会員名簿マスタ!F20</f>
        <v>佐久間明</v>
      </c>
      <c r="F19" s="7"/>
      <c r="G19" s="7">
        <f>①会員名簿マスタ!B65</f>
        <v>1</v>
      </c>
      <c r="H19" s="7">
        <f>①会員名簿マスタ!C65</f>
        <v>10</v>
      </c>
      <c r="I19" s="65">
        <f>①会員名簿マスタ!D65</f>
        <v>1</v>
      </c>
      <c r="J19" s="65">
        <f>①会員名簿マスタ!E65</f>
        <v>0</v>
      </c>
      <c r="K19" s="7" t="str">
        <f>①会員名簿マスタ!F65</f>
        <v>須田昭</v>
      </c>
      <c r="L19" s="7"/>
      <c r="M19" s="7">
        <f>①会員名簿マスタ!B110</f>
        <v>2</v>
      </c>
      <c r="N19" s="7">
        <f>①会員名簿マスタ!C110</f>
        <v>3</v>
      </c>
      <c r="O19" s="65">
        <f>①会員名簿マスタ!D110</f>
        <v>6</v>
      </c>
      <c r="P19" s="65">
        <f>①会員名簿マスタ!E110</f>
        <v>0</v>
      </c>
      <c r="Q19" s="7" t="str">
        <f>①会員名簿マスタ!F110</f>
        <v>磯野真一</v>
      </c>
      <c r="R19" s="7"/>
      <c r="S19" s="7">
        <f>①会員名簿マスタ!B155</f>
        <v>2</v>
      </c>
      <c r="T19" s="106">
        <f>①会員名簿マスタ!C155</f>
        <v>10</v>
      </c>
      <c r="U19" s="107">
        <f>①会員名簿マスタ!D155</f>
        <v>3</v>
      </c>
      <c r="V19" s="107">
        <f>①会員名簿マスタ!E155</f>
        <v>0</v>
      </c>
      <c r="W19" s="106" t="str">
        <f>①会員名簿マスタ!F155</f>
        <v>多和エイ子</v>
      </c>
      <c r="X19" s="7"/>
      <c r="Y19" s="7">
        <f t="shared" si="0"/>
        <v>18</v>
      </c>
    </row>
    <row r="20" spans="1:25">
      <c r="A20" s="7">
        <f>①会員名簿マスタ!B21</f>
        <v>1</v>
      </c>
      <c r="B20" s="7">
        <f>①会員名簿マスタ!C21</f>
        <v>3</v>
      </c>
      <c r="C20" s="65">
        <f>①会員名簿マスタ!D21</f>
        <v>2</v>
      </c>
      <c r="D20" s="65">
        <f>①会員名簿マスタ!E21</f>
        <v>0</v>
      </c>
      <c r="E20" s="7" t="str">
        <f>①会員名簿マスタ!F21</f>
        <v>鳥居スミヱ</v>
      </c>
      <c r="F20" s="7"/>
      <c r="G20" s="7">
        <f>①会員名簿マスタ!B66</f>
        <v>1</v>
      </c>
      <c r="H20" s="7">
        <f>①会員名簿マスタ!C66</f>
        <v>10</v>
      </c>
      <c r="I20" s="65">
        <f>①会員名簿マスタ!D66</f>
        <v>2</v>
      </c>
      <c r="J20" s="65">
        <f>①会員名簿マスタ!E66</f>
        <v>0</v>
      </c>
      <c r="K20" s="7" t="str">
        <f>①会員名簿マスタ!F66</f>
        <v>福寿早苗</v>
      </c>
      <c r="L20" s="7"/>
      <c r="M20" s="7">
        <f>①会員名簿マスタ!B111</f>
        <v>2</v>
      </c>
      <c r="N20" s="7">
        <f>①会員名簿マスタ!C111</f>
        <v>4</v>
      </c>
      <c r="O20" s="65">
        <f>①会員名簿マスタ!D111</f>
        <v>1</v>
      </c>
      <c r="P20" s="65">
        <f>①会員名簿マスタ!E111</f>
        <v>0</v>
      </c>
      <c r="Q20" s="7" t="str">
        <f>①会員名簿マスタ!F111</f>
        <v>岩垂晴夫</v>
      </c>
      <c r="R20" s="7"/>
      <c r="S20" s="7">
        <f>①会員名簿マスタ!B156</f>
        <v>2</v>
      </c>
      <c r="T20" s="106">
        <f>①会員名簿マスタ!C156</f>
        <v>10</v>
      </c>
      <c r="U20" s="107">
        <f>①会員名簿マスタ!D156</f>
        <v>4</v>
      </c>
      <c r="V20" s="107">
        <f>①会員名簿マスタ!E156</f>
        <v>0</v>
      </c>
      <c r="W20" s="106" t="str">
        <f>①会員名簿マスタ!F156</f>
        <v>橋本尚弥</v>
      </c>
      <c r="X20" s="7"/>
      <c r="Y20" s="7">
        <f t="shared" si="0"/>
        <v>19</v>
      </c>
    </row>
    <row r="21" spans="1:25">
      <c r="A21" s="7">
        <f>①会員名簿マスタ!B22</f>
        <v>1</v>
      </c>
      <c r="B21" s="7">
        <f>①会員名簿マスタ!C22</f>
        <v>3</v>
      </c>
      <c r="C21" s="65">
        <f>①会員名簿マスタ!D22</f>
        <v>3</v>
      </c>
      <c r="D21" s="65">
        <f>①会員名簿マスタ!E22</f>
        <v>0</v>
      </c>
      <c r="E21" s="7" t="str">
        <f>①会員名簿マスタ!F22</f>
        <v>渋江康弘</v>
      </c>
      <c r="F21" s="7"/>
      <c r="G21" s="7">
        <f>①会員名簿マスタ!B67</f>
        <v>1</v>
      </c>
      <c r="H21" s="7">
        <f>①会員名簿マスタ!C67</f>
        <v>10</v>
      </c>
      <c r="I21" s="65">
        <f>①会員名簿マスタ!D67</f>
        <v>3</v>
      </c>
      <c r="J21" s="65">
        <f>①会員名簿マスタ!E67</f>
        <v>0</v>
      </c>
      <c r="K21" s="7" t="str">
        <f>①会員名簿マスタ!F67</f>
        <v>小山米子</v>
      </c>
      <c r="L21" s="7"/>
      <c r="M21" s="7">
        <f>①会員名簿マスタ!B112</f>
        <v>2</v>
      </c>
      <c r="N21" s="7">
        <f>①会員名簿マスタ!C112</f>
        <v>4</v>
      </c>
      <c r="O21" s="65">
        <f>①会員名簿マスタ!D112</f>
        <v>2</v>
      </c>
      <c r="P21" s="65">
        <f>①会員名簿マスタ!E112</f>
        <v>0</v>
      </c>
      <c r="Q21" s="7" t="str">
        <f>①会員名簿マスタ!F112</f>
        <v>斉田芳久</v>
      </c>
      <c r="R21" s="7"/>
      <c r="S21" s="7">
        <f>①会員名簿マスタ!B157</f>
        <v>2</v>
      </c>
      <c r="T21" s="106">
        <f>①会員名簿マスタ!C157</f>
        <v>10</v>
      </c>
      <c r="U21" s="107">
        <f>①会員名簿マスタ!D157</f>
        <v>5</v>
      </c>
      <c r="V21" s="107">
        <f>①会員名簿マスタ!E157</f>
        <v>0</v>
      </c>
      <c r="W21" s="106" t="str">
        <f>①会員名簿マスタ!F157</f>
        <v>藤巻明子</v>
      </c>
      <c r="X21" s="7"/>
      <c r="Y21" s="7">
        <f t="shared" si="0"/>
        <v>20</v>
      </c>
    </row>
    <row r="22" spans="1:25">
      <c r="A22" s="7">
        <f>①会員名簿マスタ!B23</f>
        <v>1</v>
      </c>
      <c r="B22" s="7">
        <f>①会員名簿マスタ!C23</f>
        <v>3</v>
      </c>
      <c r="C22" s="65">
        <f>①会員名簿マスタ!D23</f>
        <v>4</v>
      </c>
      <c r="D22" s="65">
        <f>①会員名簿マスタ!E23</f>
        <v>0</v>
      </c>
      <c r="E22" s="7" t="str">
        <f>①会員名簿マスタ!F23</f>
        <v>石岡明憲</v>
      </c>
      <c r="F22" s="7"/>
      <c r="G22" s="7">
        <f>①会員名簿マスタ!B68</f>
        <v>1</v>
      </c>
      <c r="H22" s="7">
        <f>①会員名簿マスタ!C68</f>
        <v>10</v>
      </c>
      <c r="I22" s="65">
        <f>①会員名簿マスタ!D68</f>
        <v>4</v>
      </c>
      <c r="J22" s="65" t="str">
        <f>①会員名簿マスタ!E68</f>
        <v>●</v>
      </c>
      <c r="K22" s="7" t="str">
        <f>①会員名簿マスタ!F68</f>
        <v>須田公子</v>
      </c>
      <c r="L22" s="7"/>
      <c r="M22" s="7">
        <f>①会員名簿マスタ!B113</f>
        <v>2</v>
      </c>
      <c r="N22" s="7">
        <f>①会員名簿マスタ!C113</f>
        <v>4</v>
      </c>
      <c r="O22" s="65">
        <f>①会員名簿マスタ!D113</f>
        <v>3</v>
      </c>
      <c r="P22" s="65">
        <f>①会員名簿マスタ!E113</f>
        <v>0</v>
      </c>
      <c r="Q22" s="7" t="str">
        <f>①会員名簿マスタ!F113</f>
        <v>安藤豊美</v>
      </c>
      <c r="R22" s="7"/>
      <c r="S22" s="7">
        <f>①会員名簿マスタ!B158</f>
        <v>2</v>
      </c>
      <c r="T22" s="106">
        <f>①会員名簿マスタ!C158</f>
        <v>10</v>
      </c>
      <c r="U22" s="107">
        <f>①会員名簿マスタ!D158</f>
        <v>6</v>
      </c>
      <c r="V22" s="107">
        <f>①会員名簿マスタ!E158</f>
        <v>0</v>
      </c>
      <c r="W22" s="106" t="str">
        <f>①会員名簿マスタ!F158</f>
        <v>鈴木由美子</v>
      </c>
      <c r="X22" s="7"/>
      <c r="Y22" s="7">
        <f t="shared" si="0"/>
        <v>21</v>
      </c>
    </row>
    <row r="23" spans="1:25">
      <c r="A23" s="7">
        <f>①会員名簿マスタ!B24</f>
        <v>1</v>
      </c>
      <c r="B23" s="7">
        <f>①会員名簿マスタ!C24</f>
        <v>3</v>
      </c>
      <c r="C23" s="65">
        <f>①会員名簿マスタ!D24</f>
        <v>5</v>
      </c>
      <c r="D23" s="65">
        <f>①会員名簿マスタ!E24</f>
        <v>0</v>
      </c>
      <c r="E23" s="7" t="str">
        <f>①会員名簿マスタ!F24</f>
        <v>中華料理成都</v>
      </c>
      <c r="F23" s="7"/>
      <c r="G23" s="7">
        <f>①会員名簿マスタ!B69</f>
        <v>1</v>
      </c>
      <c r="H23" s="7">
        <f>①会員名簿マスタ!C69</f>
        <v>11</v>
      </c>
      <c r="I23" s="65">
        <f>①会員名簿マスタ!D69</f>
        <v>1</v>
      </c>
      <c r="J23" s="65">
        <f>①会員名簿マスタ!E69</f>
        <v>0</v>
      </c>
      <c r="K23" s="7" t="str">
        <f>①会員名簿マスタ!F69</f>
        <v>渡邊芳彦</v>
      </c>
      <c r="L23" s="7"/>
      <c r="M23" s="7">
        <f>①会員名簿マスタ!B114</f>
        <v>2</v>
      </c>
      <c r="N23" s="7">
        <f>①会員名簿マスタ!C114</f>
        <v>4</v>
      </c>
      <c r="O23" s="65">
        <f>①会員名簿マスタ!D114</f>
        <v>4</v>
      </c>
      <c r="P23" s="65" t="str">
        <f>①会員名簿マスタ!E114</f>
        <v>●</v>
      </c>
      <c r="Q23" s="7" t="str">
        <f>①会員名簿マスタ!F114</f>
        <v>濱名誠</v>
      </c>
      <c r="R23" s="7"/>
      <c r="S23" s="7">
        <f>①会員名簿マスタ!B159</f>
        <v>2</v>
      </c>
      <c r="T23" s="106">
        <f>①会員名簿マスタ!C159</f>
        <v>10</v>
      </c>
      <c r="U23" s="107">
        <f>①会員名簿マスタ!D159</f>
        <v>7</v>
      </c>
      <c r="V23" s="107">
        <f>①会員名簿マスタ!E159</f>
        <v>0</v>
      </c>
      <c r="W23" s="106" t="str">
        <f>①会員名簿マスタ!F159</f>
        <v>澤藤成穂</v>
      </c>
      <c r="X23" s="7"/>
      <c r="Y23" s="7">
        <f t="shared" si="0"/>
        <v>22</v>
      </c>
    </row>
    <row r="24" spans="1:25">
      <c r="A24" s="7">
        <f>①会員名簿マスタ!B25</f>
        <v>1</v>
      </c>
      <c r="B24" s="7">
        <f>①会員名簿マスタ!C25</f>
        <v>3</v>
      </c>
      <c r="C24" s="65">
        <f>①会員名簿マスタ!D25</f>
        <v>6</v>
      </c>
      <c r="D24" s="65">
        <f>①会員名簿マスタ!E25</f>
        <v>0</v>
      </c>
      <c r="E24" s="7" t="str">
        <f>①会員名簿マスタ!F25</f>
        <v>武藤親弘</v>
      </c>
      <c r="F24" s="7"/>
      <c r="G24" s="7">
        <f>①会員名簿マスタ!B70</f>
        <v>1</v>
      </c>
      <c r="H24" s="7">
        <f>①会員名簿マスタ!C70</f>
        <v>11</v>
      </c>
      <c r="I24" s="65">
        <f>①会員名簿マスタ!D70</f>
        <v>2</v>
      </c>
      <c r="J24" s="65">
        <f>①会員名簿マスタ!E70</f>
        <v>0</v>
      </c>
      <c r="K24" s="7" t="str">
        <f>①会員名簿マスタ!F70</f>
        <v>乾タツ子</v>
      </c>
      <c r="L24" s="7"/>
      <c r="M24" s="7">
        <f>①会員名簿マスタ!B115</f>
        <v>2</v>
      </c>
      <c r="N24" s="7">
        <f>①会員名簿マスタ!C115</f>
        <v>4</v>
      </c>
      <c r="O24" s="65">
        <f>①会員名簿マスタ!D115</f>
        <v>5</v>
      </c>
      <c r="P24" s="65">
        <f>①会員名簿マスタ!E115</f>
        <v>0</v>
      </c>
      <c r="Q24" s="7" t="str">
        <f>①会員名簿マスタ!F115</f>
        <v>佐藤シズエ</v>
      </c>
      <c r="R24" s="7"/>
      <c r="S24" s="7">
        <f>①会員名簿マスタ!B160</f>
        <v>2</v>
      </c>
      <c r="T24" s="106">
        <f>①会員名簿マスタ!C160</f>
        <v>10</v>
      </c>
      <c r="U24" s="107">
        <f>①会員名簿マスタ!D160</f>
        <v>8</v>
      </c>
      <c r="V24" s="107">
        <f>①会員名簿マスタ!E160</f>
        <v>0</v>
      </c>
      <c r="W24" s="106" t="str">
        <f>①会員名簿マスタ!F160</f>
        <v>中島京子</v>
      </c>
      <c r="X24" s="7"/>
      <c r="Y24" s="7">
        <f t="shared" si="0"/>
        <v>23</v>
      </c>
    </row>
    <row r="25" spans="1:25">
      <c r="A25" s="7">
        <f>①会員名簿マスタ!B26</f>
        <v>1</v>
      </c>
      <c r="B25" s="7">
        <f>①会員名簿マスタ!C26</f>
        <v>3</v>
      </c>
      <c r="C25" s="65">
        <f>①会員名簿マスタ!D26</f>
        <v>7</v>
      </c>
      <c r="D25" s="65">
        <f>①会員名簿マスタ!E26</f>
        <v>0</v>
      </c>
      <c r="E25" s="7" t="str">
        <f>①会員名簿マスタ!F26</f>
        <v>串一</v>
      </c>
      <c r="F25" s="7"/>
      <c r="G25" s="7">
        <f>①会員名簿マスタ!B71</f>
        <v>1</v>
      </c>
      <c r="H25" s="7">
        <f>①会員名簿マスタ!C71</f>
        <v>11</v>
      </c>
      <c r="I25" s="65">
        <f>①会員名簿マスタ!D71</f>
        <v>3</v>
      </c>
      <c r="J25" s="65">
        <f>①会員名簿マスタ!E71</f>
        <v>0</v>
      </c>
      <c r="K25" s="7" t="str">
        <f>①会員名簿マスタ!F71</f>
        <v>矢部謙三</v>
      </c>
      <c r="L25" s="7"/>
      <c r="M25" s="7">
        <f>①会員名簿マスタ!B116</f>
        <v>2</v>
      </c>
      <c r="N25" s="7">
        <f>①会員名簿マスタ!C116</f>
        <v>5</v>
      </c>
      <c r="O25" s="65">
        <f>①会員名簿マスタ!D116</f>
        <v>1</v>
      </c>
      <c r="P25" s="65">
        <f>①会員名簿マスタ!E116</f>
        <v>0</v>
      </c>
      <c r="Q25" s="7" t="str">
        <f>①会員名簿マスタ!F116</f>
        <v>森原智</v>
      </c>
      <c r="R25" s="7"/>
      <c r="S25" s="7">
        <f>①会員名簿マスタ!B161</f>
        <v>2</v>
      </c>
      <c r="T25" s="106">
        <f>①会員名簿マスタ!C161</f>
        <v>10</v>
      </c>
      <c r="U25" s="107">
        <f>①会員名簿マスタ!D161</f>
        <v>9</v>
      </c>
      <c r="V25" s="107" t="str">
        <f>①会員名簿マスタ!E161</f>
        <v>●</v>
      </c>
      <c r="W25" s="106" t="str">
        <f>①会員名簿マスタ!F161</f>
        <v>軍司由利子</v>
      </c>
      <c r="X25" s="7"/>
      <c r="Y25" s="7">
        <f t="shared" si="0"/>
        <v>24</v>
      </c>
    </row>
    <row r="26" spans="1:25">
      <c r="A26" s="7">
        <f>①会員名簿マスタ!B27</f>
        <v>1</v>
      </c>
      <c r="B26" s="7">
        <f>①会員名簿マスタ!C27</f>
        <v>3</v>
      </c>
      <c r="C26" s="65">
        <f>①会員名簿マスタ!D27</f>
        <v>8</v>
      </c>
      <c r="D26" s="65">
        <f>①会員名簿マスタ!E27</f>
        <v>0</v>
      </c>
      <c r="E26" s="7" t="str">
        <f>①会員名簿マスタ!F27</f>
        <v>AJITO中村みどり</v>
      </c>
      <c r="F26" s="7"/>
      <c r="G26" s="7">
        <f>①会員名簿マスタ!B72</f>
        <v>1</v>
      </c>
      <c r="H26" s="7">
        <f>①会員名簿マスタ!C72</f>
        <v>11</v>
      </c>
      <c r="I26" s="65">
        <f>①会員名簿マスタ!D72</f>
        <v>4</v>
      </c>
      <c r="J26" s="65">
        <f>①会員名簿マスタ!E72</f>
        <v>0</v>
      </c>
      <c r="K26" s="7" t="str">
        <f>①会員名簿マスタ!F72</f>
        <v>千葉幸代</v>
      </c>
      <c r="L26" s="7"/>
      <c r="M26" s="7">
        <f>①会員名簿マスタ!B117</f>
        <v>2</v>
      </c>
      <c r="N26" s="7">
        <f>①会員名簿マスタ!C117</f>
        <v>5</v>
      </c>
      <c r="O26" s="65">
        <f>①会員名簿マスタ!D117</f>
        <v>2</v>
      </c>
      <c r="P26" s="65" t="str">
        <f>①会員名簿マスタ!E117</f>
        <v>●</v>
      </c>
      <c r="Q26" s="7" t="str">
        <f>①会員名簿マスタ!F117</f>
        <v>岡本三七子</v>
      </c>
      <c r="R26" s="7"/>
      <c r="S26" s="7">
        <f>①会員名簿マスタ!B162</f>
        <v>2</v>
      </c>
      <c r="T26" s="106">
        <f>①会員名簿マスタ!C162</f>
        <v>10</v>
      </c>
      <c r="U26" s="107">
        <f>①会員名簿マスタ!D162</f>
        <v>10</v>
      </c>
      <c r="V26" s="107">
        <f>①会員名簿マスタ!E162</f>
        <v>0</v>
      </c>
      <c r="W26" s="106" t="str">
        <f>①会員名簿マスタ!F162</f>
        <v>内田純久</v>
      </c>
      <c r="X26" s="7"/>
      <c r="Y26" s="7">
        <f t="shared" si="0"/>
        <v>25</v>
      </c>
    </row>
    <row r="27" spans="1:25">
      <c r="A27" s="7">
        <f>①会員名簿マスタ!B28</f>
        <v>1</v>
      </c>
      <c r="B27" s="7">
        <f>①会員名簿マスタ!C28</f>
        <v>4</v>
      </c>
      <c r="C27" s="65">
        <f>①会員名簿マスタ!D28</f>
        <v>1</v>
      </c>
      <c r="D27" s="65">
        <f>①会員名簿マスタ!E28</f>
        <v>0</v>
      </c>
      <c r="E27" s="7" t="str">
        <f>①会員名簿マスタ!F28</f>
        <v>澤登武文</v>
      </c>
      <c r="F27" s="7"/>
      <c r="G27" s="7">
        <f>①会員名簿マスタ!B73</f>
        <v>1</v>
      </c>
      <c r="H27" s="7">
        <f>①会員名簿マスタ!C73</f>
        <v>11</v>
      </c>
      <c r="I27" s="65">
        <f>①会員名簿マスタ!D73</f>
        <v>5</v>
      </c>
      <c r="J27" s="65">
        <f>①会員名簿マスタ!E73</f>
        <v>0</v>
      </c>
      <c r="K27" s="7" t="str">
        <f>①会員名簿マスタ!F73</f>
        <v>杉澤知美</v>
      </c>
      <c r="L27" s="7"/>
      <c r="M27" s="7">
        <f>①会員名簿マスタ!B118</f>
        <v>2</v>
      </c>
      <c r="N27" s="7">
        <f>①会員名簿マスタ!C118</f>
        <v>5</v>
      </c>
      <c r="O27" s="65">
        <f>①会員名簿マスタ!D118</f>
        <v>3</v>
      </c>
      <c r="P27" s="65">
        <f>①会員名簿マスタ!E118</f>
        <v>0</v>
      </c>
      <c r="Q27" s="7" t="str">
        <f>①会員名簿マスタ!F118</f>
        <v>佐々木誠</v>
      </c>
      <c r="R27" s="7"/>
      <c r="S27" s="7">
        <f>①会員名簿マスタ!B163</f>
        <v>2</v>
      </c>
      <c r="T27" s="106">
        <f>①会員名簿マスタ!C163</f>
        <v>10</v>
      </c>
      <c r="U27" s="107">
        <f>①会員名簿マスタ!D163</f>
        <v>11</v>
      </c>
      <c r="V27" s="107">
        <f>①会員名簿マスタ!E163</f>
        <v>0</v>
      </c>
      <c r="W27" s="106" t="str">
        <f>①会員名簿マスタ!F163</f>
        <v>稲葉政志</v>
      </c>
      <c r="X27" s="7"/>
      <c r="Y27" s="7">
        <f t="shared" si="0"/>
        <v>26</v>
      </c>
    </row>
    <row r="28" spans="1:25">
      <c r="A28" s="7">
        <f>①会員名簿マスタ!B29</f>
        <v>1</v>
      </c>
      <c r="B28" s="7">
        <f>①会員名簿マスタ!C29</f>
        <v>4</v>
      </c>
      <c r="C28" s="65">
        <f>①会員名簿マスタ!D29</f>
        <v>2</v>
      </c>
      <c r="D28" s="65" t="str">
        <f>①会員名簿マスタ!E29</f>
        <v>●</v>
      </c>
      <c r="E28" s="7" t="str">
        <f>①会員名簿マスタ!F29</f>
        <v>秋山芳美</v>
      </c>
      <c r="F28" s="7"/>
      <c r="G28" s="7">
        <f>①会員名簿マスタ!B74</f>
        <v>1</v>
      </c>
      <c r="H28" s="7">
        <f>①会員名簿マスタ!C74</f>
        <v>11</v>
      </c>
      <c r="I28" s="65">
        <f>①会員名簿マスタ!D74</f>
        <v>6</v>
      </c>
      <c r="J28" s="65">
        <f>①会員名簿マスタ!E74</f>
        <v>0</v>
      </c>
      <c r="K28" s="7" t="str">
        <f>①会員名簿マスタ!F74</f>
        <v>伊藤健二</v>
      </c>
      <c r="L28" s="14"/>
      <c r="M28" s="7">
        <f>①会員名簿マスタ!B119</f>
        <v>2</v>
      </c>
      <c r="N28" s="7">
        <f>①会員名簿マスタ!C119</f>
        <v>5</v>
      </c>
      <c r="O28" s="65">
        <f>①会員名簿マスタ!D119</f>
        <v>4</v>
      </c>
      <c r="P28" s="65">
        <f>①会員名簿マスタ!E119</f>
        <v>0</v>
      </c>
      <c r="Q28" s="7" t="str">
        <f>①会員名簿マスタ!F119</f>
        <v>鹿野絵里子</v>
      </c>
      <c r="R28" s="7"/>
      <c r="S28" s="7">
        <f>①会員名簿マスタ!B164</f>
        <v>2</v>
      </c>
      <c r="T28" s="106">
        <f>①会員名簿マスタ!C164</f>
        <v>11</v>
      </c>
      <c r="U28" s="107">
        <f>①会員名簿マスタ!D164</f>
        <v>1</v>
      </c>
      <c r="V28" s="107">
        <f>①会員名簿マスタ!E164</f>
        <v>0</v>
      </c>
      <c r="W28" s="106" t="str">
        <f>①会員名簿マスタ!F164</f>
        <v>赤荻忠幸</v>
      </c>
      <c r="X28" s="7"/>
      <c r="Y28" s="7">
        <f t="shared" si="0"/>
        <v>27</v>
      </c>
    </row>
    <row r="29" spans="1:25">
      <c r="A29" s="7">
        <f>①会員名簿マスタ!B30</f>
        <v>1</v>
      </c>
      <c r="B29" s="7">
        <f>①会員名簿マスタ!C30</f>
        <v>4</v>
      </c>
      <c r="C29" s="65">
        <f>①会員名簿マスタ!D30</f>
        <v>3</v>
      </c>
      <c r="D29" s="65">
        <f>①会員名簿マスタ!E30</f>
        <v>0</v>
      </c>
      <c r="E29" s="7" t="str">
        <f>①会員名簿マスタ!F30</f>
        <v>櫻井治</v>
      </c>
      <c r="F29" s="7"/>
      <c r="G29" s="7">
        <f>①会員名簿マスタ!B75</f>
        <v>1</v>
      </c>
      <c r="H29" s="7">
        <f>①会員名簿マスタ!C75</f>
        <v>11</v>
      </c>
      <c r="I29" s="65">
        <f>①会員名簿マスタ!D75</f>
        <v>7</v>
      </c>
      <c r="J29" s="65" t="str">
        <f>①会員名簿マスタ!E75</f>
        <v>●</v>
      </c>
      <c r="K29" s="7" t="str">
        <f>①会員名簿マスタ!F75</f>
        <v>荒井照男</v>
      </c>
      <c r="L29" s="7"/>
      <c r="M29" s="7">
        <f>①会員名簿マスタ!B120</f>
        <v>2</v>
      </c>
      <c r="N29" s="7">
        <f>①会員名簿マスタ!C120</f>
        <v>5</v>
      </c>
      <c r="O29" s="65">
        <f>①会員名簿マスタ!D120</f>
        <v>5</v>
      </c>
      <c r="P29" s="65">
        <f>①会員名簿マスタ!E120</f>
        <v>0</v>
      </c>
      <c r="Q29" s="7" t="str">
        <f>①会員名簿マスタ!F120</f>
        <v>田口英弼</v>
      </c>
      <c r="R29" s="7"/>
      <c r="S29" s="7">
        <f>①会員名簿マスタ!B165</f>
        <v>2</v>
      </c>
      <c r="T29" s="106">
        <f>①会員名簿マスタ!C165</f>
        <v>11</v>
      </c>
      <c r="U29" s="107">
        <f>①会員名簿マスタ!D165</f>
        <v>2</v>
      </c>
      <c r="V29" s="107">
        <f>①会員名簿マスタ!E165</f>
        <v>0</v>
      </c>
      <c r="W29" s="106" t="str">
        <f>①会員名簿マスタ!F165</f>
        <v>山下信子</v>
      </c>
      <c r="X29" s="7"/>
      <c r="Y29" s="7">
        <f t="shared" si="0"/>
        <v>28</v>
      </c>
    </row>
    <row r="30" spans="1:25">
      <c r="A30" s="7">
        <f>①会員名簿マスタ!B31</f>
        <v>1</v>
      </c>
      <c r="B30" s="7">
        <f>①会員名簿マスタ!C31</f>
        <v>4</v>
      </c>
      <c r="C30" s="65">
        <f>①会員名簿マスタ!D31</f>
        <v>4</v>
      </c>
      <c r="D30" s="65">
        <f>①会員名簿マスタ!E31</f>
        <v>0</v>
      </c>
      <c r="E30" s="7" t="str">
        <f>①会員名簿マスタ!F31</f>
        <v>松永彰</v>
      </c>
      <c r="F30" s="7"/>
      <c r="G30" s="7">
        <f>①会員名簿マスタ!B76</f>
        <v>1</v>
      </c>
      <c r="H30" s="7">
        <f>①会員名簿マスタ!C76</f>
        <v>11</v>
      </c>
      <c r="I30" s="65">
        <f>①会員名簿マスタ!D76</f>
        <v>8</v>
      </c>
      <c r="J30" s="65">
        <f>①会員名簿マスタ!E76</f>
        <v>0</v>
      </c>
      <c r="K30" s="7" t="str">
        <f>①会員名簿マスタ!F76</f>
        <v>佐々木宏子</v>
      </c>
      <c r="L30" s="7"/>
      <c r="M30" s="7">
        <f>①会員名簿マスタ!B121</f>
        <v>2</v>
      </c>
      <c r="N30" s="7">
        <f>①会員名簿マスタ!C121</f>
        <v>5</v>
      </c>
      <c r="O30" s="65">
        <f>①会員名簿マスタ!D121</f>
        <v>6</v>
      </c>
      <c r="P30" s="65">
        <f>①会員名簿マスタ!E121</f>
        <v>0</v>
      </c>
      <c r="Q30" s="7" t="str">
        <f>①会員名簿マスタ!F121</f>
        <v>倉邉雅光</v>
      </c>
      <c r="R30" s="14"/>
      <c r="S30" s="7">
        <f>①会員名簿マスタ!B166</f>
        <v>2</v>
      </c>
      <c r="T30" s="106">
        <f>①会員名簿マスタ!C166</f>
        <v>11</v>
      </c>
      <c r="U30" s="107">
        <f>①会員名簿マスタ!D166</f>
        <v>3</v>
      </c>
      <c r="V30" s="107" t="str">
        <f>①会員名簿マスタ!E166</f>
        <v>●</v>
      </c>
      <c r="W30" s="106" t="str">
        <f>①会員名簿マスタ!F166</f>
        <v>伊藤一樹</v>
      </c>
      <c r="X30" s="7"/>
      <c r="Y30" s="7">
        <f t="shared" si="0"/>
        <v>29</v>
      </c>
    </row>
    <row r="31" spans="1:25">
      <c r="A31" s="7">
        <f>①会員名簿マスタ!B32</f>
        <v>1</v>
      </c>
      <c r="B31" s="7">
        <f>①会員名簿マスタ!C32</f>
        <v>4</v>
      </c>
      <c r="C31" s="65">
        <f>①会員名簿マスタ!D32</f>
        <v>5</v>
      </c>
      <c r="D31" s="65">
        <f>①会員名簿マスタ!E32</f>
        <v>0</v>
      </c>
      <c r="E31" s="7" t="str">
        <f>①会員名簿マスタ!F32</f>
        <v>橋本勇</v>
      </c>
      <c r="F31" s="7"/>
      <c r="G31" s="7">
        <f>①会員名簿マスタ!B77</f>
        <v>1</v>
      </c>
      <c r="H31" s="7">
        <f>①会員名簿マスタ!C77</f>
        <v>11</v>
      </c>
      <c r="I31" s="65">
        <f>①会員名簿マスタ!D77</f>
        <v>9</v>
      </c>
      <c r="J31" s="65">
        <f>①会員名簿マスタ!E77</f>
        <v>0</v>
      </c>
      <c r="K31" s="7" t="str">
        <f>①会員名簿マスタ!F77</f>
        <v>佐々木雅浩</v>
      </c>
      <c r="L31" s="7"/>
      <c r="M31" s="7">
        <f>①会員名簿マスタ!B122</f>
        <v>2</v>
      </c>
      <c r="N31" s="7">
        <f>①会員名簿マスタ!C122</f>
        <v>5</v>
      </c>
      <c r="O31" s="65">
        <f>①会員名簿マスタ!D122</f>
        <v>7</v>
      </c>
      <c r="P31" s="65">
        <f>①会員名簿マスタ!E122</f>
        <v>0</v>
      </c>
      <c r="Q31" s="7" t="str">
        <f>①会員名簿マスタ!F122</f>
        <v>三井雅子</v>
      </c>
      <c r="R31" s="7"/>
      <c r="S31" s="7">
        <f>①会員名簿マスタ!B167</f>
        <v>2</v>
      </c>
      <c r="T31" s="106">
        <f>①会員名簿マスタ!C167</f>
        <v>11</v>
      </c>
      <c r="U31" s="107">
        <f>①会員名簿マスタ!D167</f>
        <v>4</v>
      </c>
      <c r="V31" s="107">
        <f>①会員名簿マスタ!E167</f>
        <v>0</v>
      </c>
      <c r="W31" s="106" t="str">
        <f>①会員名簿マスタ!F167</f>
        <v>志田武</v>
      </c>
      <c r="X31" s="7"/>
      <c r="Y31" s="7">
        <f t="shared" si="0"/>
        <v>30</v>
      </c>
    </row>
    <row r="32" spans="1:25">
      <c r="A32" s="7">
        <f>①会員名簿マスタ!B33</f>
        <v>1</v>
      </c>
      <c r="B32" s="7">
        <f>①会員名簿マスタ!C33</f>
        <v>4</v>
      </c>
      <c r="C32" s="65">
        <f>①会員名簿マスタ!D33</f>
        <v>6</v>
      </c>
      <c r="D32" s="65">
        <f>①会員名簿マスタ!E33</f>
        <v>0</v>
      </c>
      <c r="E32" s="7" t="str">
        <f>①会員名簿マスタ!F33</f>
        <v>瀧下なつみ</v>
      </c>
      <c r="F32" s="7"/>
      <c r="G32" s="7">
        <f>①会員名簿マスタ!B78</f>
        <v>1</v>
      </c>
      <c r="H32" s="7">
        <f>①会員名簿マスタ!C78</f>
        <v>12</v>
      </c>
      <c r="I32" s="65">
        <f>①会員名簿マスタ!D78</f>
        <v>1</v>
      </c>
      <c r="J32" s="65" t="str">
        <f>①会員名簿マスタ!E78</f>
        <v>●</v>
      </c>
      <c r="K32" s="7" t="str">
        <f>①会員名簿マスタ!F78</f>
        <v>森良枝</v>
      </c>
      <c r="L32" s="7"/>
      <c r="M32" s="7">
        <f>①会員名簿マスタ!B123</f>
        <v>2</v>
      </c>
      <c r="N32" s="7">
        <f>①会員名簿マスタ!C123</f>
        <v>5</v>
      </c>
      <c r="O32" s="65">
        <f>①会員名簿マスタ!D123</f>
        <v>8</v>
      </c>
      <c r="P32" s="65">
        <f>①会員名簿マスタ!E123</f>
        <v>0</v>
      </c>
      <c r="Q32" s="7" t="str">
        <f>①会員名簿マスタ!F123</f>
        <v>勇士時生</v>
      </c>
      <c r="R32" s="7"/>
      <c r="S32" s="7">
        <f>①会員名簿マスタ!B168</f>
        <v>2</v>
      </c>
      <c r="T32" s="106">
        <f>①会員名簿マスタ!C168</f>
        <v>11</v>
      </c>
      <c r="U32" s="107">
        <f>①会員名簿マスタ!D168</f>
        <v>5</v>
      </c>
      <c r="V32" s="107">
        <f>①会員名簿マスタ!E168</f>
        <v>0</v>
      </c>
      <c r="W32" s="106" t="str">
        <f>①会員名簿マスタ!F168</f>
        <v>熊本義明</v>
      </c>
      <c r="X32" s="7"/>
      <c r="Y32" s="7">
        <f t="shared" si="0"/>
        <v>31</v>
      </c>
    </row>
    <row r="33" spans="1:25">
      <c r="A33" s="7">
        <f>①会員名簿マスタ!B34</f>
        <v>1</v>
      </c>
      <c r="B33" s="7">
        <f>①会員名簿マスタ!C34</f>
        <v>5</v>
      </c>
      <c r="C33" s="65">
        <f>①会員名簿マスタ!D34</f>
        <v>1</v>
      </c>
      <c r="D33" s="65" t="str">
        <f>①会員名簿マスタ!E34</f>
        <v>●</v>
      </c>
      <c r="E33" s="7" t="str">
        <f>①会員名簿マスタ!F34</f>
        <v>鈴木洋一</v>
      </c>
      <c r="F33" s="7"/>
      <c r="G33" s="7">
        <f>①会員名簿マスタ!B79</f>
        <v>1</v>
      </c>
      <c r="H33" s="7">
        <f>①会員名簿マスタ!C79</f>
        <v>12</v>
      </c>
      <c r="I33" s="65">
        <f>①会員名簿マスタ!D79</f>
        <v>2</v>
      </c>
      <c r="J33" s="65">
        <f>①会員名簿マスタ!E79</f>
        <v>0</v>
      </c>
      <c r="K33" s="7" t="str">
        <f>①会員名簿マスタ!F79</f>
        <v>千葉満</v>
      </c>
      <c r="L33" s="7"/>
      <c r="M33" s="7">
        <f>①会員名簿マスタ!B124</f>
        <v>2</v>
      </c>
      <c r="N33" s="7">
        <f>①会員名簿マスタ!C124</f>
        <v>6</v>
      </c>
      <c r="O33" s="65">
        <f>①会員名簿マスタ!D124</f>
        <v>1</v>
      </c>
      <c r="P33" s="65" t="str">
        <f>①会員名簿マスタ!E124</f>
        <v>●</v>
      </c>
      <c r="Q33" s="7" t="str">
        <f>①会員名簿マスタ!F124</f>
        <v>小林弘子</v>
      </c>
      <c r="R33" s="7"/>
      <c r="S33" s="7">
        <f>①会員名簿マスタ!B169</f>
        <v>2</v>
      </c>
      <c r="T33" s="106">
        <f>①会員名簿マスタ!C169</f>
        <v>11</v>
      </c>
      <c r="U33" s="107">
        <f>①会員名簿マスタ!D169</f>
        <v>6</v>
      </c>
      <c r="V33" s="107">
        <f>①会員名簿マスタ!E169</f>
        <v>0</v>
      </c>
      <c r="W33" s="106" t="str">
        <f>①会員名簿マスタ!F169</f>
        <v>三橋眞弓</v>
      </c>
      <c r="X33" s="7"/>
      <c r="Y33" s="7">
        <f t="shared" si="0"/>
        <v>32</v>
      </c>
    </row>
    <row r="34" spans="1:25">
      <c r="A34" s="7">
        <f>①会員名簿マスタ!B35</f>
        <v>1</v>
      </c>
      <c r="B34" s="7">
        <f>①会員名簿マスタ!C35</f>
        <v>5</v>
      </c>
      <c r="C34" s="65">
        <f>①会員名簿マスタ!D35</f>
        <v>2</v>
      </c>
      <c r="D34" s="65">
        <f>①会員名簿マスタ!E35</f>
        <v>0</v>
      </c>
      <c r="E34" s="7" t="str">
        <f>①会員名簿マスタ!F35</f>
        <v>首藤睦</v>
      </c>
      <c r="F34" s="7"/>
      <c r="G34" s="7">
        <f>①会員名簿マスタ!B80</f>
        <v>1</v>
      </c>
      <c r="H34" s="7">
        <f>①会員名簿マスタ!C80</f>
        <v>12</v>
      </c>
      <c r="I34" s="65">
        <f>①会員名簿マスタ!D80</f>
        <v>3</v>
      </c>
      <c r="J34" s="65">
        <f>①会員名簿マスタ!E80</f>
        <v>0</v>
      </c>
      <c r="K34" s="7" t="str">
        <f>①会員名簿マスタ!F80</f>
        <v>鎌田智士</v>
      </c>
      <c r="L34" s="7"/>
      <c r="M34" s="7">
        <f>①会員名簿マスタ!B125</f>
        <v>2</v>
      </c>
      <c r="N34" s="7">
        <f>①会員名簿マスタ!C125</f>
        <v>6</v>
      </c>
      <c r="O34" s="65">
        <f>①会員名簿マスタ!D125</f>
        <v>2</v>
      </c>
      <c r="P34" s="65">
        <f>①会員名簿マスタ!E125</f>
        <v>0</v>
      </c>
      <c r="Q34" s="7" t="str">
        <f>①会員名簿マスタ!F125</f>
        <v>宮下忠夫</v>
      </c>
      <c r="R34" s="7"/>
      <c r="S34" s="7">
        <f>①会員名簿マスタ!B170</f>
        <v>2</v>
      </c>
      <c r="T34" s="106">
        <f>①会員名簿マスタ!C170</f>
        <v>11</v>
      </c>
      <c r="U34" s="107">
        <f>①会員名簿マスタ!D170</f>
        <v>7</v>
      </c>
      <c r="V34" s="107">
        <f>①会員名簿マスタ!E170</f>
        <v>0</v>
      </c>
      <c r="W34" s="106" t="str">
        <f>①会員名簿マスタ!F170</f>
        <v>山田つるゑ</v>
      </c>
      <c r="X34" s="7"/>
      <c r="Y34" s="7">
        <f t="shared" si="0"/>
        <v>33</v>
      </c>
    </row>
    <row r="35" spans="1:25">
      <c r="A35" s="7">
        <f>①会員名簿マスタ!B36</f>
        <v>1</v>
      </c>
      <c r="B35" s="7">
        <f>①会員名簿マスタ!C36</f>
        <v>5</v>
      </c>
      <c r="C35" s="65">
        <f>①会員名簿マスタ!D36</f>
        <v>3</v>
      </c>
      <c r="D35" s="65">
        <f>①会員名簿マスタ!E36</f>
        <v>0</v>
      </c>
      <c r="E35" s="7" t="str">
        <f>①会員名簿マスタ!F36</f>
        <v>大野誠治</v>
      </c>
      <c r="F35" s="7"/>
      <c r="G35" s="7">
        <f>①会員名簿マスタ!B81</f>
        <v>1</v>
      </c>
      <c r="H35" s="7">
        <f>①会員名簿マスタ!C81</f>
        <v>12</v>
      </c>
      <c r="I35" s="65">
        <f>①会員名簿マスタ!D81</f>
        <v>4</v>
      </c>
      <c r="J35" s="65">
        <f>①会員名簿マスタ!E81</f>
        <v>0</v>
      </c>
      <c r="K35" s="7" t="str">
        <f>①会員名簿マスタ!F81</f>
        <v>古川孝一</v>
      </c>
      <c r="L35" s="7"/>
      <c r="M35" s="7">
        <f>①会員名簿マスタ!B126</f>
        <v>2</v>
      </c>
      <c r="N35" s="7">
        <f>①会員名簿マスタ!C126</f>
        <v>6</v>
      </c>
      <c r="O35" s="65">
        <f>①会員名簿マスタ!D126</f>
        <v>3</v>
      </c>
      <c r="P35" s="65">
        <f>①会員名簿マスタ!E126</f>
        <v>0</v>
      </c>
      <c r="Q35" s="7" t="str">
        <f>①会員名簿マスタ!F126</f>
        <v>黒部綾</v>
      </c>
      <c r="R35" s="7"/>
      <c r="S35" s="7">
        <f>①会員名簿マスタ!B171</f>
        <v>2</v>
      </c>
      <c r="T35" s="106">
        <f>①会員名簿マスタ!C171</f>
        <v>11</v>
      </c>
      <c r="U35" s="107">
        <f>①会員名簿マスタ!D171</f>
        <v>8</v>
      </c>
      <c r="V35" s="107">
        <f>①会員名簿マスタ!E171</f>
        <v>0</v>
      </c>
      <c r="W35" s="106" t="str">
        <f>①会員名簿マスタ!F171</f>
        <v>渡邊俊郎</v>
      </c>
      <c r="X35" s="7"/>
      <c r="Y35" s="7">
        <f t="shared" si="0"/>
        <v>34</v>
      </c>
    </row>
    <row r="36" spans="1:25">
      <c r="A36" s="7">
        <f>①会員名簿マスタ!B37</f>
        <v>1</v>
      </c>
      <c r="B36" s="7">
        <f>①会員名簿マスタ!C37</f>
        <v>6</v>
      </c>
      <c r="C36" s="65">
        <f>①会員名簿マスタ!D37</f>
        <v>1</v>
      </c>
      <c r="D36" s="65">
        <f>①会員名簿マスタ!E37</f>
        <v>0</v>
      </c>
      <c r="E36" s="7" t="str">
        <f>①会員名簿マスタ!F37</f>
        <v>青山啓二</v>
      </c>
      <c r="F36" s="7"/>
      <c r="G36" s="7">
        <f>①会員名簿マスタ!B82</f>
        <v>1</v>
      </c>
      <c r="H36" s="7">
        <f>①会員名簿マスタ!C82</f>
        <v>12</v>
      </c>
      <c r="I36" s="65">
        <f>①会員名簿マスタ!D82</f>
        <v>5</v>
      </c>
      <c r="J36" s="65">
        <f>①会員名簿マスタ!E82</f>
        <v>0</v>
      </c>
      <c r="K36" s="7" t="str">
        <f>①会員名簿マスタ!F82</f>
        <v>杉森正博</v>
      </c>
      <c r="L36" s="7"/>
      <c r="M36" s="7">
        <f>①会員名簿マスタ!B127</f>
        <v>2</v>
      </c>
      <c r="N36" s="7">
        <f>①会員名簿マスタ!C127</f>
        <v>6</v>
      </c>
      <c r="O36" s="65">
        <f>①会員名簿マスタ!D127</f>
        <v>4</v>
      </c>
      <c r="P36" s="65">
        <f>①会員名簿マスタ!E127</f>
        <v>0</v>
      </c>
      <c r="Q36" s="7" t="str">
        <f>①会員名簿マスタ!F127</f>
        <v>井波純一</v>
      </c>
      <c r="R36" s="7"/>
      <c r="S36" s="7">
        <f>①会員名簿マスタ!B172</f>
        <v>2</v>
      </c>
      <c r="T36" s="106">
        <f>①会員名簿マスタ!C172</f>
        <v>11</v>
      </c>
      <c r="U36" s="107">
        <f>①会員名簿マスタ!D172</f>
        <v>9</v>
      </c>
      <c r="V36" s="107">
        <f>①会員名簿マスタ!E172</f>
        <v>0</v>
      </c>
      <c r="W36" s="106" t="str">
        <f>①会員名簿マスタ!F172</f>
        <v>松村和彦</v>
      </c>
      <c r="X36" s="7"/>
      <c r="Y36" s="7">
        <f t="shared" si="0"/>
        <v>35</v>
      </c>
    </row>
    <row r="37" spans="1:25">
      <c r="A37" s="7">
        <f>①会員名簿マスタ!B38</f>
        <v>1</v>
      </c>
      <c r="B37" s="7">
        <f>①会員名簿マスタ!C38</f>
        <v>6</v>
      </c>
      <c r="C37" s="65">
        <f>①会員名簿マスタ!D38</f>
        <v>2</v>
      </c>
      <c r="D37" s="65">
        <f>①会員名簿マスタ!E38</f>
        <v>0</v>
      </c>
      <c r="E37" s="7" t="str">
        <f>①会員名簿マスタ!F38</f>
        <v>西田善隆</v>
      </c>
      <c r="F37" s="7"/>
      <c r="G37" s="7">
        <f>①会員名簿マスタ!B83</f>
        <v>1</v>
      </c>
      <c r="H37" s="7">
        <f>①会員名簿マスタ!C83</f>
        <v>12</v>
      </c>
      <c r="I37" s="65">
        <f>①会員名簿マスタ!D83</f>
        <v>6</v>
      </c>
      <c r="J37" s="65">
        <f>①会員名簿マスタ!E83</f>
        <v>0</v>
      </c>
      <c r="K37" s="7" t="str">
        <f>①会員名簿マスタ!F83</f>
        <v>山口明良</v>
      </c>
      <c r="L37" s="7"/>
      <c r="M37" s="7">
        <f>①会員名簿マスタ!B128</f>
        <v>2</v>
      </c>
      <c r="N37" s="7">
        <f>①会員名簿マスタ!C128</f>
        <v>6</v>
      </c>
      <c r="O37" s="65">
        <f>①会員名簿マスタ!D128</f>
        <v>5</v>
      </c>
      <c r="P37" s="65">
        <f>①会員名簿マスタ!E128</f>
        <v>0</v>
      </c>
      <c r="Q37" s="7" t="str">
        <f>①会員名簿マスタ!F128</f>
        <v>菊池之裕</v>
      </c>
      <c r="R37" s="7"/>
      <c r="S37" s="7">
        <f>①会員名簿マスタ!B173</f>
        <v>2</v>
      </c>
      <c r="T37" s="106">
        <f>①会員名簿マスタ!C173</f>
        <v>11</v>
      </c>
      <c r="U37" s="107">
        <f>①会員名簿マスタ!D173</f>
        <v>10</v>
      </c>
      <c r="V37" s="107">
        <f>①会員名簿マスタ!E173</f>
        <v>0</v>
      </c>
      <c r="W37" s="106" t="str">
        <f>①会員名簿マスタ!F173</f>
        <v>Mr.Fesus &amp; Mrs.Claudia</v>
      </c>
      <c r="X37" s="7"/>
      <c r="Y37" s="7">
        <f t="shared" si="0"/>
        <v>36</v>
      </c>
    </row>
    <row r="38" spans="1:25">
      <c r="A38" s="7">
        <f>①会員名簿マスタ!B39</f>
        <v>1</v>
      </c>
      <c r="B38" s="7">
        <f>①会員名簿マスタ!C39</f>
        <v>6</v>
      </c>
      <c r="C38" s="65">
        <f>①会員名簿マスタ!D39</f>
        <v>3</v>
      </c>
      <c r="D38" s="65">
        <f>①会員名簿マスタ!E39</f>
        <v>0</v>
      </c>
      <c r="E38" s="7" t="str">
        <f>①会員名簿マスタ!F39</f>
        <v>渡戸正志</v>
      </c>
      <c r="F38" s="7"/>
      <c r="G38" s="7">
        <f>①会員名簿マスタ!B84</f>
        <v>1</v>
      </c>
      <c r="H38" s="7">
        <f>①会員名簿マスタ!C84</f>
        <v>12</v>
      </c>
      <c r="I38" s="65">
        <f>①会員名簿マスタ!D84</f>
        <v>7</v>
      </c>
      <c r="J38" s="65">
        <f>①会員名簿マスタ!E84</f>
        <v>0</v>
      </c>
      <c r="K38" s="7" t="str">
        <f>①会員名簿マスタ!F84</f>
        <v>齋藤耕平</v>
      </c>
      <c r="L38" s="7"/>
      <c r="M38" s="7">
        <f>①会員名簿マスタ!B129</f>
        <v>2</v>
      </c>
      <c r="N38" s="7">
        <f>①会員名簿マスタ!C129</f>
        <v>6</v>
      </c>
      <c r="O38" s="65">
        <f>①会員名簿マスタ!D129</f>
        <v>6</v>
      </c>
      <c r="P38" s="65">
        <f>①会員名簿マスタ!E129</f>
        <v>0</v>
      </c>
      <c r="Q38" s="7" t="str">
        <f>①会員名簿マスタ!F129</f>
        <v>佐合駿</v>
      </c>
      <c r="R38" s="7"/>
      <c r="S38" s="7">
        <f>①会員名簿マスタ!B174</f>
        <v>2</v>
      </c>
      <c r="T38" s="106">
        <f>①会員名簿マスタ!C174</f>
        <v>12</v>
      </c>
      <c r="U38" s="107">
        <f>①会員名簿マスタ!D174</f>
        <v>1</v>
      </c>
      <c r="V38" s="107">
        <f>①会員名簿マスタ!E174</f>
        <v>0</v>
      </c>
      <c r="W38" s="106" t="str">
        <f>①会員名簿マスタ!F174</f>
        <v>宮川雅之</v>
      </c>
      <c r="X38" s="7"/>
      <c r="Y38" s="7">
        <f t="shared" si="0"/>
        <v>37</v>
      </c>
    </row>
    <row r="39" spans="1:25">
      <c r="A39" s="7">
        <f>①会員名簿マスタ!B40</f>
        <v>1</v>
      </c>
      <c r="B39" s="7">
        <f>①会員名簿マスタ!C40</f>
        <v>6</v>
      </c>
      <c r="C39" s="65">
        <f>①会員名簿マスタ!D40</f>
        <v>4</v>
      </c>
      <c r="D39" s="65">
        <f>①会員名簿マスタ!E40</f>
        <v>0</v>
      </c>
      <c r="E39" s="7" t="str">
        <f>①会員名簿マスタ!F40</f>
        <v>冨田剛</v>
      </c>
      <c r="F39" s="7"/>
      <c r="G39" s="7">
        <f>①会員名簿マスタ!B85</f>
        <v>1</v>
      </c>
      <c r="H39" s="7">
        <f>①会員名簿マスタ!C85</f>
        <v>12</v>
      </c>
      <c r="I39" s="65">
        <f>①会員名簿マスタ!D85</f>
        <v>8</v>
      </c>
      <c r="J39" s="65">
        <f>①会員名簿マスタ!E85</f>
        <v>0</v>
      </c>
      <c r="K39" s="7" t="str">
        <f>①会員名簿マスタ!F85</f>
        <v>小田切幸男</v>
      </c>
      <c r="L39" s="7"/>
      <c r="M39" s="7">
        <f>①会員名簿マスタ!B130</f>
        <v>2</v>
      </c>
      <c r="N39" s="7">
        <f>①会員名簿マスタ!C130</f>
        <v>7</v>
      </c>
      <c r="O39" s="65">
        <f>①会員名簿マスタ!D130</f>
        <v>1</v>
      </c>
      <c r="P39" s="65" t="str">
        <f>①会員名簿マスタ!E130</f>
        <v>●</v>
      </c>
      <c r="Q39" s="7" t="str">
        <f>①会員名簿マスタ!F130</f>
        <v>冨山厚</v>
      </c>
      <c r="R39" s="7"/>
      <c r="S39" s="7">
        <f>①会員名簿マスタ!B175</f>
        <v>2</v>
      </c>
      <c r="T39" s="106">
        <f>①会員名簿マスタ!C175</f>
        <v>12</v>
      </c>
      <c r="U39" s="107">
        <f>①会員名簿マスタ!D175</f>
        <v>2</v>
      </c>
      <c r="V39" s="107">
        <f>①会員名簿マスタ!E175</f>
        <v>0</v>
      </c>
      <c r="W39" s="106" t="str">
        <f>①会員名簿マスタ!F175</f>
        <v>中島祐子</v>
      </c>
      <c r="X39" s="7"/>
      <c r="Y39" s="7">
        <f t="shared" si="0"/>
        <v>38</v>
      </c>
    </row>
    <row r="40" spans="1:25">
      <c r="A40" s="7">
        <f>①会員名簿マスタ!B41</f>
        <v>1</v>
      </c>
      <c r="B40" s="7">
        <f>①会員名簿マスタ!C41</f>
        <v>6</v>
      </c>
      <c r="C40" s="65">
        <f>①会員名簿マスタ!D41</f>
        <v>5</v>
      </c>
      <c r="D40" s="65" t="str">
        <f>①会員名簿マスタ!E41</f>
        <v>●</v>
      </c>
      <c r="E40" s="7" t="str">
        <f>①会員名簿マスタ!F41</f>
        <v>堀井広樹</v>
      </c>
      <c r="F40" s="7"/>
      <c r="G40" s="7">
        <f>①会員名簿マスタ!B86</f>
        <v>1</v>
      </c>
      <c r="H40" s="7">
        <f>①会員名簿マスタ!C86</f>
        <v>12</v>
      </c>
      <c r="I40" s="65">
        <f>①会員名簿マスタ!D86</f>
        <v>9</v>
      </c>
      <c r="J40" s="65">
        <f>①会員名簿マスタ!E86</f>
        <v>0</v>
      </c>
      <c r="K40" s="7" t="str">
        <f>①会員名簿マスタ!F86</f>
        <v>矢畑進</v>
      </c>
      <c r="L40" s="7"/>
      <c r="M40" s="7">
        <f>①会員名簿マスタ!B131</f>
        <v>2</v>
      </c>
      <c r="N40" s="7">
        <f>①会員名簿マスタ!C131</f>
        <v>7</v>
      </c>
      <c r="O40" s="65">
        <f>①会員名簿マスタ!D131</f>
        <v>2</v>
      </c>
      <c r="P40" s="65">
        <f>①会員名簿マスタ!E131</f>
        <v>0</v>
      </c>
      <c r="Q40" s="7" t="str">
        <f>①会員名簿マスタ!F131</f>
        <v>高橋則篤</v>
      </c>
      <c r="R40" s="7"/>
      <c r="S40" s="7">
        <f>①会員名簿マスタ!B176</f>
        <v>2</v>
      </c>
      <c r="T40" s="106">
        <f>①会員名簿マスタ!C176</f>
        <v>12</v>
      </c>
      <c r="U40" s="107">
        <f>①会員名簿マスタ!D176</f>
        <v>3</v>
      </c>
      <c r="V40" s="107">
        <f>①会員名簿マスタ!E176</f>
        <v>0</v>
      </c>
      <c r="W40" s="106" t="str">
        <f>①会員名簿マスタ!F176</f>
        <v>西田裕亮</v>
      </c>
      <c r="X40" s="7"/>
      <c r="Y40" s="7">
        <f t="shared" si="0"/>
        <v>39</v>
      </c>
    </row>
    <row r="41" spans="1:25">
      <c r="A41" s="7">
        <f>①会員名簿マスタ!B42</f>
        <v>1</v>
      </c>
      <c r="B41" s="7">
        <f>①会員名簿マスタ!C42</f>
        <v>6</v>
      </c>
      <c r="C41" s="65">
        <f>①会員名簿マスタ!D42</f>
        <v>6</v>
      </c>
      <c r="D41" s="65">
        <f>①会員名簿マスタ!E42</f>
        <v>0</v>
      </c>
      <c r="E41" s="7" t="str">
        <f>①会員名簿マスタ!F42</f>
        <v>菊池崇広</v>
      </c>
      <c r="F41" s="7"/>
      <c r="G41" s="7">
        <f>①会員名簿マスタ!B87</f>
        <v>1</v>
      </c>
      <c r="H41" s="7">
        <f>①会員名簿マスタ!C87</f>
        <v>12</v>
      </c>
      <c r="I41" s="65">
        <f>①会員名簿マスタ!D87</f>
        <v>10</v>
      </c>
      <c r="J41" s="65">
        <f>①会員名簿マスタ!E87</f>
        <v>0</v>
      </c>
      <c r="K41" s="7" t="str">
        <f>①会員名簿マスタ!F87</f>
        <v>杉山</v>
      </c>
      <c r="L41" s="14"/>
      <c r="M41" s="7">
        <f>①会員名簿マスタ!B132</f>
        <v>2</v>
      </c>
      <c r="N41" s="7">
        <f>①会員名簿マスタ!C132</f>
        <v>7</v>
      </c>
      <c r="O41" s="65">
        <f>①会員名簿マスタ!D132</f>
        <v>3</v>
      </c>
      <c r="P41" s="65">
        <f>①会員名簿マスタ!E132</f>
        <v>0</v>
      </c>
      <c r="Q41" s="7" t="str">
        <f>①会員名簿マスタ!F132</f>
        <v>宗像進</v>
      </c>
      <c r="R41" s="7"/>
      <c r="S41" s="7">
        <f>①会員名簿マスタ!B177</f>
        <v>2</v>
      </c>
      <c r="T41" s="106">
        <f>①会員名簿マスタ!C177</f>
        <v>12</v>
      </c>
      <c r="U41" s="107">
        <f>①会員名簿マスタ!D177</f>
        <v>4</v>
      </c>
      <c r="V41" s="107">
        <f>①会員名簿マスタ!E177</f>
        <v>0</v>
      </c>
      <c r="W41" s="106" t="str">
        <f>①会員名簿マスタ!F177</f>
        <v>菅原憲治</v>
      </c>
      <c r="X41" s="7"/>
      <c r="Y41" s="7">
        <f t="shared" si="0"/>
        <v>40</v>
      </c>
    </row>
    <row r="42" spans="1:25">
      <c r="A42" s="7">
        <f>①会員名簿マスタ!B43</f>
        <v>1</v>
      </c>
      <c r="B42" s="7">
        <f>①会員名簿マスタ!C43</f>
        <v>6</v>
      </c>
      <c r="C42" s="65">
        <f>①会員名簿マスタ!D43</f>
        <v>7</v>
      </c>
      <c r="D42" s="65">
        <f>①会員名簿マスタ!E43</f>
        <v>0</v>
      </c>
      <c r="E42" s="7" t="str">
        <f>①会員名簿マスタ!F43</f>
        <v>冨松良紀</v>
      </c>
      <c r="F42" s="7"/>
      <c r="G42" s="7">
        <f>①会員名簿マスタ!B88</f>
        <v>1</v>
      </c>
      <c r="H42" s="7">
        <f>①会員名簿マスタ!C88</f>
        <v>12</v>
      </c>
      <c r="I42" s="65">
        <f>①会員名簿マスタ!D88</f>
        <v>11</v>
      </c>
      <c r="J42" s="65">
        <f>①会員名簿マスタ!E88</f>
        <v>0</v>
      </c>
      <c r="K42" s="7" t="str">
        <f>①会員名簿マスタ!F88</f>
        <v>丸茂治彦</v>
      </c>
      <c r="L42" s="7"/>
      <c r="M42" s="7">
        <f>①会員名簿マスタ!B133</f>
        <v>2</v>
      </c>
      <c r="N42" s="7">
        <f>①会員名簿マスタ!C133</f>
        <v>7</v>
      </c>
      <c r="O42" s="65">
        <f>①会員名簿マスタ!D133</f>
        <v>4</v>
      </c>
      <c r="P42" s="65">
        <f>①会員名簿マスタ!E133</f>
        <v>0</v>
      </c>
      <c r="Q42" s="7" t="str">
        <f>①会員名簿マスタ!F133</f>
        <v>関根伸成</v>
      </c>
      <c r="R42" s="7"/>
      <c r="S42" s="7">
        <f>①会員名簿マスタ!B178</f>
        <v>2</v>
      </c>
      <c r="T42" s="106">
        <f>①会員名簿マスタ!C178</f>
        <v>12</v>
      </c>
      <c r="U42" s="107">
        <f>①会員名簿マスタ!D178</f>
        <v>5</v>
      </c>
      <c r="V42" s="107">
        <f>①会員名簿マスタ!E178</f>
        <v>0</v>
      </c>
      <c r="W42" s="106" t="str">
        <f>①会員名簿マスタ!F178</f>
        <v>三浦豊治</v>
      </c>
      <c r="X42" s="7"/>
      <c r="Y42" s="7">
        <f t="shared" si="0"/>
        <v>41</v>
      </c>
    </row>
    <row r="43" spans="1:25">
      <c r="A43" s="7">
        <f>①会員名簿マスタ!B44</f>
        <v>1</v>
      </c>
      <c r="B43" s="7">
        <f>①会員名簿マスタ!C44</f>
        <v>7</v>
      </c>
      <c r="C43" s="65">
        <f>①会員名簿マスタ!D44</f>
        <v>1</v>
      </c>
      <c r="D43" s="65" t="str">
        <f>①会員名簿マスタ!E44</f>
        <v>●</v>
      </c>
      <c r="E43" s="7" t="str">
        <f>①会員名簿マスタ!F44</f>
        <v>山合行之</v>
      </c>
      <c r="F43" s="7"/>
      <c r="G43" s="7">
        <f>①会員名簿マスタ!B89</f>
        <v>1</v>
      </c>
      <c r="H43" s="7">
        <f>①会員名簿マスタ!C89</f>
        <v>12</v>
      </c>
      <c r="I43" s="65">
        <f>①会員名簿マスタ!D89</f>
        <v>12</v>
      </c>
      <c r="J43" s="65">
        <f>①会員名簿マスタ!E89</f>
        <v>0</v>
      </c>
      <c r="K43" s="7" t="str">
        <f>①会員名簿マスタ!F89</f>
        <v>山岸靖子</v>
      </c>
      <c r="L43" s="7"/>
      <c r="M43" s="7">
        <f>①会員名簿マスタ!B134</f>
        <v>2</v>
      </c>
      <c r="N43" s="7">
        <f>①会員名簿マスタ!C134</f>
        <v>7</v>
      </c>
      <c r="O43" s="65">
        <f>①会員名簿マスタ!D134</f>
        <v>5</v>
      </c>
      <c r="P43" s="65">
        <f>①会員名簿マスタ!E134</f>
        <v>0</v>
      </c>
      <c r="Q43" s="7" t="str">
        <f>①会員名簿マスタ!F134</f>
        <v>吉田千恵子</v>
      </c>
      <c r="R43" s="7"/>
      <c r="S43" s="7">
        <f>①会員名簿マスタ!B179</f>
        <v>2</v>
      </c>
      <c r="T43" s="106">
        <f>①会員名簿マスタ!C179</f>
        <v>12</v>
      </c>
      <c r="U43" s="107">
        <f>①会員名簿マスタ!D179</f>
        <v>6</v>
      </c>
      <c r="V43" s="107">
        <f>①会員名簿マスタ!E179</f>
        <v>0</v>
      </c>
      <c r="W43" s="106" t="str">
        <f>①会員名簿マスタ!F179</f>
        <v>水内美治</v>
      </c>
      <c r="X43" s="7"/>
      <c r="Y43" s="7">
        <f t="shared" si="0"/>
        <v>42</v>
      </c>
    </row>
    <row r="44" spans="1:25">
      <c r="A44" s="7">
        <f>①会員名簿マスタ!B45</f>
        <v>1</v>
      </c>
      <c r="B44" s="7">
        <f>①会員名簿マスタ!C45</f>
        <v>7</v>
      </c>
      <c r="C44" s="65">
        <f>①会員名簿マスタ!D45</f>
        <v>2</v>
      </c>
      <c r="D44" s="65">
        <f>①会員名簿マスタ!E45</f>
        <v>0</v>
      </c>
      <c r="E44" s="7" t="str">
        <f>①会員名簿マスタ!F45</f>
        <v>鈴木啓次</v>
      </c>
      <c r="F44" s="7"/>
      <c r="G44" s="7">
        <f>①会員名簿マスタ!B90</f>
        <v>1</v>
      </c>
      <c r="H44" s="7">
        <f>①会員名簿マスタ!C90</f>
        <v>12</v>
      </c>
      <c r="I44" s="65">
        <f>①会員名簿マスタ!D90</f>
        <v>13</v>
      </c>
      <c r="J44" s="65">
        <f>①会員名簿マスタ!E90</f>
        <v>0</v>
      </c>
      <c r="K44" s="7" t="str">
        <f>①会員名簿マスタ!F90</f>
        <v>高橋昭仁</v>
      </c>
      <c r="L44" s="7"/>
      <c r="M44" s="7">
        <f>①会員名簿マスタ!B135</f>
        <v>2</v>
      </c>
      <c r="N44" s="7">
        <f>①会員名簿マスタ!C135</f>
        <v>7</v>
      </c>
      <c r="O44" s="65">
        <f>①会員名簿マスタ!D135</f>
        <v>6</v>
      </c>
      <c r="P44" s="65">
        <f>①会員名簿マスタ!E135</f>
        <v>0</v>
      </c>
      <c r="Q44" s="7" t="str">
        <f>①会員名簿マスタ!F135</f>
        <v>手塚文子</v>
      </c>
      <c r="R44" s="7"/>
      <c r="S44" s="7">
        <f>①会員名簿マスタ!B180</f>
        <v>2</v>
      </c>
      <c r="T44" s="106">
        <f>①会員名簿マスタ!C180</f>
        <v>12</v>
      </c>
      <c r="U44" s="107">
        <f>①会員名簿マスタ!D180</f>
        <v>7</v>
      </c>
      <c r="V44" s="107">
        <f>①会員名簿マスタ!E180</f>
        <v>0</v>
      </c>
      <c r="W44" s="106" t="str">
        <f>①会員名簿マスタ!F180</f>
        <v>長沼千賀子</v>
      </c>
      <c r="X44" s="7"/>
      <c r="Y44" s="7">
        <f t="shared" si="0"/>
        <v>43</v>
      </c>
    </row>
    <row r="45" spans="1:25">
      <c r="A45" s="7">
        <f>①会員名簿マスタ!B46</f>
        <v>1</v>
      </c>
      <c r="B45" s="7">
        <f>①会員名簿マスタ!C46</f>
        <v>7</v>
      </c>
      <c r="C45" s="65">
        <f>①会員名簿マスタ!D46</f>
        <v>3</v>
      </c>
      <c r="D45" s="65">
        <f>①会員名簿マスタ!E46</f>
        <v>0</v>
      </c>
      <c r="E45" s="7" t="str">
        <f>①会員名簿マスタ!F46</f>
        <v>宮野正子</v>
      </c>
      <c r="F45" s="7"/>
      <c r="G45" s="7">
        <f>①会員名簿マスタ!B91</f>
        <v>1</v>
      </c>
      <c r="H45" s="7">
        <f>①会員名簿マスタ!C91</f>
        <v>12</v>
      </c>
      <c r="I45" s="65">
        <f>①会員名簿マスタ!D91</f>
        <v>14</v>
      </c>
      <c r="J45" s="65">
        <f>①会員名簿マスタ!E91</f>
        <v>0</v>
      </c>
      <c r="K45" s="7" t="str">
        <f>①会員名簿マスタ!F91</f>
        <v>雨海正男</v>
      </c>
      <c r="L45" s="7"/>
      <c r="M45" s="7">
        <f>①会員名簿マスタ!B136</f>
        <v>2</v>
      </c>
      <c r="N45" s="7">
        <f>①会員名簿マスタ!C136</f>
        <v>7</v>
      </c>
      <c r="O45" s="65">
        <f>①会員名簿マスタ!D136</f>
        <v>7</v>
      </c>
      <c r="P45" s="65">
        <f>①会員名簿マスタ!E136</f>
        <v>0</v>
      </c>
      <c r="Q45" s="7" t="str">
        <f>①会員名簿マスタ!F136</f>
        <v>星川ツル</v>
      </c>
      <c r="R45" s="7"/>
      <c r="S45" s="7">
        <f>①会員名簿マスタ!B181</f>
        <v>2</v>
      </c>
      <c r="T45" s="106">
        <f>①会員名簿マスタ!C181</f>
        <v>12</v>
      </c>
      <c r="U45" s="107">
        <f>①会員名簿マスタ!D181</f>
        <v>8</v>
      </c>
      <c r="V45" s="107" t="str">
        <f>①会員名簿マスタ!E181</f>
        <v>●</v>
      </c>
      <c r="W45" s="106" t="str">
        <f>①会員名簿マスタ!F181</f>
        <v>中原真一</v>
      </c>
      <c r="X45" s="7"/>
      <c r="Y45" s="7">
        <f t="shared" si="0"/>
        <v>44</v>
      </c>
    </row>
    <row r="46" spans="1:25">
      <c r="A46" s="7">
        <f>①会員名簿マスタ!B47</f>
        <v>1</v>
      </c>
      <c r="B46" s="7">
        <f>①会員名簿マスタ!C47</f>
        <v>7</v>
      </c>
      <c r="C46" s="65">
        <f>①会員名簿マスタ!D47</f>
        <v>4</v>
      </c>
      <c r="D46" s="65">
        <f>①会員名簿マスタ!E47</f>
        <v>0</v>
      </c>
      <c r="E46" s="7" t="str">
        <f>①会員名簿マスタ!F47</f>
        <v>小野怜子</v>
      </c>
      <c r="F46" s="7"/>
      <c r="G46" s="7">
        <f>①会員名簿マスタ!B92</f>
        <v>1</v>
      </c>
      <c r="H46" s="7">
        <f>①会員名簿マスタ!C92</f>
        <v>12</v>
      </c>
      <c r="I46" s="65">
        <f>①会員名簿マスタ!D92</f>
        <v>15</v>
      </c>
      <c r="J46" s="65">
        <f>①会員名簿マスタ!E92</f>
        <v>0</v>
      </c>
      <c r="K46" s="7" t="str">
        <f>①会員名簿マスタ!F92</f>
        <v>高橋博満</v>
      </c>
      <c r="L46" s="7"/>
      <c r="M46" s="7">
        <f>①会員名簿マスタ!B137</f>
        <v>2</v>
      </c>
      <c r="N46" s="7">
        <f>①会員名簿マスタ!C137</f>
        <v>7</v>
      </c>
      <c r="O46" s="65">
        <f>①会員名簿マスタ!D137</f>
        <v>8</v>
      </c>
      <c r="P46" s="65">
        <f>①会員名簿マスタ!E137</f>
        <v>0</v>
      </c>
      <c r="Q46" s="7" t="str">
        <f>①会員名簿マスタ!F137</f>
        <v>小原友美</v>
      </c>
      <c r="R46" s="7"/>
      <c r="S46" s="7">
        <f>①会員名簿マスタ!B182</f>
        <v>2</v>
      </c>
      <c r="T46" s="106">
        <f>①会員名簿マスタ!C182</f>
        <v>12</v>
      </c>
      <c r="U46" s="107">
        <f>①会員名簿マスタ!D182</f>
        <v>9</v>
      </c>
      <c r="V46" s="107">
        <f>①会員名簿マスタ!E182</f>
        <v>0</v>
      </c>
      <c r="W46" s="106" t="str">
        <f>①会員名簿マスタ!F182</f>
        <v>菅野吉幸</v>
      </c>
      <c r="X46" s="7"/>
      <c r="Y46" s="7">
        <f t="shared" si="0"/>
        <v>45</v>
      </c>
    </row>
  </sheetData>
  <phoneticPr fontId="1"/>
  <pageMargins left="0.7" right="0.7" top="0.75" bottom="0.75" header="0.3" footer="0.3"/>
  <pageSetup paperSize="9" scale="8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7C83D-A7D6-45B2-8B0D-3C2813ED720E}">
  <sheetPr>
    <pageSetUpPr fitToPage="1"/>
  </sheetPr>
  <dimension ref="A1:K187"/>
  <sheetViews>
    <sheetView topLeftCell="A8" zoomScaleNormal="100" zoomScaleSheetLayoutView="115" workbookViewId="0">
      <selection activeCell="F28" sqref="F28"/>
    </sheetView>
  </sheetViews>
  <sheetFormatPr defaultColWidth="8.75" defaultRowHeight="13.5"/>
  <cols>
    <col min="1" max="1" width="4.625" customWidth="1"/>
    <col min="2" max="2" width="4.125" customWidth="1"/>
    <col min="3" max="3" width="4.625" customWidth="1"/>
    <col min="4" max="4" width="7.5" customWidth="1"/>
    <col min="5" max="5" width="7.5" hidden="1" customWidth="1"/>
    <col min="6" max="6" width="19" style="3" customWidth="1"/>
    <col min="7" max="7" width="13.75" style="12" customWidth="1"/>
    <col min="8" max="8" width="8.25" style="12" bestFit="1" customWidth="1"/>
    <col min="9" max="9" width="15" style="3" bestFit="1" customWidth="1"/>
    <col min="10" max="10" width="30" bestFit="1" customWidth="1"/>
  </cols>
  <sheetData>
    <row r="1" spans="1:11" ht="40.5" customHeight="1">
      <c r="A1" s="110" t="s">
        <v>582</v>
      </c>
      <c r="B1" s="110"/>
      <c r="C1" s="110"/>
      <c r="D1" s="110"/>
      <c r="E1" s="110"/>
      <c r="F1" s="110"/>
      <c r="G1" s="110"/>
      <c r="H1" s="110"/>
      <c r="I1" s="78"/>
      <c r="J1" s="78"/>
    </row>
    <row r="2" spans="1:11" s="2" customFormat="1" ht="21" customHeight="1">
      <c r="A2" s="4" t="s">
        <v>187</v>
      </c>
      <c r="B2" s="4" t="s">
        <v>188</v>
      </c>
      <c r="C2" s="4" t="s">
        <v>185</v>
      </c>
      <c r="D2" s="4" t="s">
        <v>370</v>
      </c>
      <c r="E2" s="4" t="s">
        <v>380</v>
      </c>
      <c r="F2" s="4" t="s">
        <v>173</v>
      </c>
      <c r="G2" s="4" t="s">
        <v>509</v>
      </c>
      <c r="H2" s="4" t="s">
        <v>510</v>
      </c>
      <c r="I2" s="4"/>
      <c r="J2" s="4" t="s">
        <v>186</v>
      </c>
    </row>
    <row r="3" spans="1:11" s="1" customFormat="1" ht="15" customHeight="1">
      <c r="A3" s="40">
        <f>ROW()-2</f>
        <v>1</v>
      </c>
      <c r="B3" s="41">
        <f>①会員名簿マスタ!B3</f>
        <v>1</v>
      </c>
      <c r="C3" s="41">
        <f>①会員名簿マスタ!C3</f>
        <v>1</v>
      </c>
      <c r="D3" s="42">
        <f>IF(AND(B2=B3,C2=C3),D2+1,1)</f>
        <v>1</v>
      </c>
      <c r="E3" s="42"/>
      <c r="F3" s="43" t="str">
        <f>①会員名簿マスタ!F3</f>
        <v>中村芳朗</v>
      </c>
      <c r="G3" s="16">
        <v>1000</v>
      </c>
      <c r="H3" s="79">
        <v>45851</v>
      </c>
      <c r="I3" s="5"/>
      <c r="J3" s="113"/>
      <c r="K3" s="56"/>
    </row>
    <row r="4" spans="1:11" s="1" customFormat="1" ht="15" customHeight="1">
      <c r="A4" s="40">
        <f t="shared" ref="A4:A67" si="0">ROW()-2</f>
        <v>2</v>
      </c>
      <c r="B4" s="40">
        <f>①会員名簿マスタ!B4</f>
        <v>1</v>
      </c>
      <c r="C4" s="40">
        <f>①会員名簿マスタ!C4</f>
        <v>1</v>
      </c>
      <c r="D4" s="42">
        <f>IF(AND(B3=B4,C3=C4),D3+1,1)</f>
        <v>2</v>
      </c>
      <c r="E4" s="42"/>
      <c r="F4" s="43" t="str">
        <f>①会員名簿マスタ!F4</f>
        <v>中村治子</v>
      </c>
      <c r="G4" s="16">
        <v>1000</v>
      </c>
      <c r="H4" s="79">
        <v>45851</v>
      </c>
      <c r="I4" s="5"/>
      <c r="J4" s="113"/>
      <c r="K4" s="56"/>
    </row>
    <row r="5" spans="1:11" s="1" customFormat="1" ht="15" customHeight="1">
      <c r="A5" s="40">
        <f t="shared" si="0"/>
        <v>3</v>
      </c>
      <c r="B5" s="40">
        <f>①会員名簿マスタ!B5</f>
        <v>1</v>
      </c>
      <c r="C5" s="40">
        <f>①会員名簿マスタ!C5</f>
        <v>1</v>
      </c>
      <c r="D5" s="42">
        <f t="shared" ref="D5:D67" si="1">IF(AND(B4=B5,C4=C5),D4+1,1)</f>
        <v>3</v>
      </c>
      <c r="E5" s="47"/>
      <c r="F5" s="43" t="str">
        <f>①会員名簿マスタ!F5</f>
        <v>松川正士</v>
      </c>
      <c r="G5" s="15">
        <v>5000</v>
      </c>
      <c r="H5" s="79">
        <v>45851</v>
      </c>
      <c r="I5" s="5"/>
      <c r="J5" s="113"/>
      <c r="K5" s="56"/>
    </row>
    <row r="6" spans="1:11" s="1" customFormat="1" ht="15" customHeight="1">
      <c r="A6" s="40">
        <f t="shared" si="0"/>
        <v>4</v>
      </c>
      <c r="B6" s="40">
        <f>①会員名簿マスタ!B6</f>
        <v>1</v>
      </c>
      <c r="C6" s="40">
        <f>①会員名簿マスタ!C6</f>
        <v>1</v>
      </c>
      <c r="D6" s="42">
        <f t="shared" si="1"/>
        <v>4</v>
      </c>
      <c r="E6" s="42"/>
      <c r="F6" s="43" t="str">
        <f>①会員名簿マスタ!F6</f>
        <v>和田薪</v>
      </c>
      <c r="G6" s="15">
        <v>3000</v>
      </c>
      <c r="H6" s="79">
        <v>45851</v>
      </c>
      <c r="I6" s="5"/>
      <c r="J6" s="114"/>
      <c r="K6" s="56"/>
    </row>
    <row r="7" spans="1:11" s="1" customFormat="1" ht="15" customHeight="1">
      <c r="A7" s="40">
        <f t="shared" si="0"/>
        <v>5</v>
      </c>
      <c r="B7" s="40">
        <f>①会員名簿マスタ!B7</f>
        <v>1</v>
      </c>
      <c r="C7" s="40">
        <f>①会員名簿マスタ!C7</f>
        <v>1</v>
      </c>
      <c r="D7" s="42">
        <f t="shared" si="1"/>
        <v>5</v>
      </c>
      <c r="E7" s="42"/>
      <c r="F7" s="43" t="str">
        <f>①会員名簿マスタ!F7</f>
        <v>平井進</v>
      </c>
      <c r="G7" s="15">
        <v>5000</v>
      </c>
      <c r="H7" s="79">
        <v>45851</v>
      </c>
      <c r="I7" s="5"/>
      <c r="J7" s="115"/>
      <c r="K7" s="56"/>
    </row>
    <row r="8" spans="1:11" s="1" customFormat="1" ht="15" customHeight="1">
      <c r="A8" s="40">
        <f t="shared" si="0"/>
        <v>6</v>
      </c>
      <c r="B8" s="40">
        <f>①会員名簿マスタ!B8</f>
        <v>1</v>
      </c>
      <c r="C8" s="40">
        <f>①会員名簿マスタ!C8</f>
        <v>1</v>
      </c>
      <c r="D8" s="42">
        <f t="shared" si="1"/>
        <v>6</v>
      </c>
      <c r="E8" s="47"/>
      <c r="F8" s="43" t="str">
        <f>①会員名簿マスタ!F8</f>
        <v>長谷川聡</v>
      </c>
      <c r="G8" s="68"/>
      <c r="H8" s="79">
        <v>45851</v>
      </c>
      <c r="I8" s="6"/>
      <c r="J8" s="116"/>
      <c r="K8" s="56"/>
    </row>
    <row r="9" spans="1:11" s="1" customFormat="1" ht="15" customHeight="1">
      <c r="A9" s="40">
        <f t="shared" si="0"/>
        <v>7</v>
      </c>
      <c r="B9" s="40">
        <f>①会員名簿マスタ!B9</f>
        <v>1</v>
      </c>
      <c r="C9" s="40">
        <f>①会員名簿マスタ!C9</f>
        <v>1</v>
      </c>
      <c r="D9" s="42">
        <f t="shared" si="1"/>
        <v>7</v>
      </c>
      <c r="E9" s="42"/>
      <c r="F9" s="43" t="str">
        <f>①会員名簿マスタ!F9</f>
        <v>粟飯原功</v>
      </c>
      <c r="G9" s="15">
        <v>10000</v>
      </c>
      <c r="H9" s="79">
        <v>45851</v>
      </c>
      <c r="I9" s="6"/>
      <c r="J9" s="113"/>
      <c r="K9" s="56"/>
    </row>
    <row r="10" spans="1:11" s="1" customFormat="1" ht="15" customHeight="1">
      <c r="A10" s="40">
        <f t="shared" si="0"/>
        <v>8</v>
      </c>
      <c r="B10" s="40">
        <f>①会員名簿マスタ!B10</f>
        <v>1</v>
      </c>
      <c r="C10" s="40">
        <f>①会員名簿マスタ!C10</f>
        <v>1</v>
      </c>
      <c r="D10" s="42">
        <f t="shared" si="1"/>
        <v>8</v>
      </c>
      <c r="E10" s="42"/>
      <c r="F10" s="43" t="str">
        <f>①会員名簿マスタ!F10</f>
        <v>高橋正</v>
      </c>
      <c r="G10" s="15">
        <v>5000</v>
      </c>
      <c r="H10" s="79">
        <v>45851</v>
      </c>
      <c r="I10" s="6"/>
      <c r="J10" s="117"/>
      <c r="K10" s="56"/>
    </row>
    <row r="11" spans="1:11" s="1" customFormat="1" ht="15" customHeight="1">
      <c r="A11" s="40">
        <f t="shared" si="0"/>
        <v>9</v>
      </c>
      <c r="B11" s="40">
        <f>①会員名簿マスタ!B11</f>
        <v>1</v>
      </c>
      <c r="C11" s="40">
        <f>①会員名簿マスタ!C11</f>
        <v>1</v>
      </c>
      <c r="D11" s="42">
        <f t="shared" si="1"/>
        <v>9</v>
      </c>
      <c r="E11" s="50" t="s">
        <v>381</v>
      </c>
      <c r="F11" s="124" t="str">
        <f>①会員名簿マスタ!F11</f>
        <v>林信行</v>
      </c>
      <c r="G11" s="15">
        <v>5000</v>
      </c>
      <c r="H11" s="79">
        <v>45851</v>
      </c>
      <c r="I11" s="6"/>
      <c r="J11" s="113"/>
      <c r="K11" s="56"/>
    </row>
    <row r="12" spans="1:11" s="1" customFormat="1" ht="15" customHeight="1">
      <c r="A12" s="40">
        <f t="shared" si="0"/>
        <v>10</v>
      </c>
      <c r="B12" s="41">
        <f>①会員名簿マスタ!B12</f>
        <v>1</v>
      </c>
      <c r="C12" s="41">
        <f>①会員名簿マスタ!C12</f>
        <v>2</v>
      </c>
      <c r="D12" s="42">
        <f t="shared" si="1"/>
        <v>1</v>
      </c>
      <c r="E12" s="42"/>
      <c r="F12" s="43" t="str">
        <f>①会員名簿マスタ!F12</f>
        <v>紺野建設</v>
      </c>
      <c r="G12" s="15">
        <v>10000</v>
      </c>
      <c r="H12" s="79">
        <v>45851</v>
      </c>
      <c r="I12" s="6"/>
      <c r="J12" s="113"/>
      <c r="K12" s="56"/>
    </row>
    <row r="13" spans="1:11" s="1" customFormat="1" ht="15" customHeight="1">
      <c r="A13" s="40">
        <f t="shared" si="0"/>
        <v>11</v>
      </c>
      <c r="B13" s="40">
        <f>①会員名簿マスタ!B13</f>
        <v>1</v>
      </c>
      <c r="C13" s="40">
        <f>①会員名簿マスタ!C13</f>
        <v>2</v>
      </c>
      <c r="D13" s="42">
        <f t="shared" si="1"/>
        <v>2</v>
      </c>
      <c r="E13" s="42"/>
      <c r="F13" s="43" t="str">
        <f>①会員名簿マスタ!F13</f>
        <v>遠山悦子</v>
      </c>
      <c r="G13" s="15">
        <v>3000</v>
      </c>
      <c r="H13" s="79">
        <v>45851</v>
      </c>
      <c r="I13" s="6"/>
      <c r="J13" s="113"/>
      <c r="K13" s="56"/>
    </row>
    <row r="14" spans="1:11" s="1" customFormat="1" ht="15" customHeight="1">
      <c r="A14" s="40">
        <f t="shared" si="0"/>
        <v>12</v>
      </c>
      <c r="B14" s="111">
        <f>①会員名簿マスタ!B14</f>
        <v>1</v>
      </c>
      <c r="C14" s="111">
        <f>①会員名簿マスタ!C14</f>
        <v>2</v>
      </c>
      <c r="D14" s="42">
        <f t="shared" si="1"/>
        <v>3</v>
      </c>
      <c r="E14" s="42"/>
      <c r="F14" s="43" t="str">
        <f>①会員名簿マスタ!F14</f>
        <v>高瀬一</v>
      </c>
      <c r="G14" s="15">
        <v>3000</v>
      </c>
      <c r="H14" s="79">
        <v>45851</v>
      </c>
      <c r="I14" s="5"/>
      <c r="J14" s="113"/>
      <c r="K14" s="56"/>
    </row>
    <row r="15" spans="1:11" s="1" customFormat="1" ht="15" customHeight="1">
      <c r="A15" s="40">
        <f t="shared" si="0"/>
        <v>13</v>
      </c>
      <c r="B15" s="40">
        <f>①会員名簿マスタ!B15</f>
        <v>1</v>
      </c>
      <c r="C15" s="40">
        <f>①会員名簿マスタ!C15</f>
        <v>2</v>
      </c>
      <c r="D15" s="42">
        <f t="shared" si="1"/>
        <v>4</v>
      </c>
      <c r="E15" s="47"/>
      <c r="F15" s="124" t="str">
        <f>①会員名簿マスタ!F15</f>
        <v>齋藤勇</v>
      </c>
      <c r="G15" s="15">
        <v>10000</v>
      </c>
      <c r="H15" s="79">
        <v>45851</v>
      </c>
      <c r="I15" s="5"/>
      <c r="J15" s="113"/>
      <c r="K15" s="56"/>
    </row>
    <row r="16" spans="1:11" s="1" customFormat="1" ht="15" customHeight="1">
      <c r="A16" s="40">
        <f t="shared" si="0"/>
        <v>14</v>
      </c>
      <c r="B16" s="40">
        <f>①会員名簿マスタ!B16</f>
        <v>1</v>
      </c>
      <c r="C16" s="40">
        <f>①会員名簿マスタ!C16</f>
        <v>2</v>
      </c>
      <c r="D16" s="42">
        <f t="shared" si="1"/>
        <v>5</v>
      </c>
      <c r="E16" s="50" t="s">
        <v>381</v>
      </c>
      <c r="F16" s="43" t="str">
        <f>①会員名簿マスタ!F16</f>
        <v>鍋田益男</v>
      </c>
      <c r="G16" s="15">
        <v>3000</v>
      </c>
      <c r="H16" s="79">
        <v>45851</v>
      </c>
      <c r="I16" s="5"/>
      <c r="J16" s="113"/>
      <c r="K16" s="56"/>
    </row>
    <row r="17" spans="1:11" s="1" customFormat="1" ht="15" customHeight="1">
      <c r="A17" s="40">
        <f t="shared" si="0"/>
        <v>15</v>
      </c>
      <c r="B17" s="40">
        <f>①会員名簿マスタ!B17</f>
        <v>1</v>
      </c>
      <c r="C17" s="40">
        <f>①会員名簿マスタ!C17</f>
        <v>2</v>
      </c>
      <c r="D17" s="42">
        <f t="shared" si="1"/>
        <v>6</v>
      </c>
      <c r="E17" s="47"/>
      <c r="F17" s="43" t="str">
        <f>①会員名簿マスタ!F17</f>
        <v>マミークリーニング</v>
      </c>
      <c r="G17" s="68"/>
      <c r="H17" s="79">
        <v>45851</v>
      </c>
      <c r="I17" s="5"/>
      <c r="J17" s="113"/>
      <c r="K17" s="56"/>
    </row>
    <row r="18" spans="1:11" s="1" customFormat="1" ht="15" customHeight="1">
      <c r="A18" s="40">
        <f t="shared" si="0"/>
        <v>16</v>
      </c>
      <c r="B18" s="40">
        <f>①会員名簿マスタ!B18</f>
        <v>1</v>
      </c>
      <c r="C18" s="40">
        <f>①会員名簿マスタ!C18</f>
        <v>2</v>
      </c>
      <c r="D18" s="42">
        <f t="shared" si="1"/>
        <v>7</v>
      </c>
      <c r="E18" s="42"/>
      <c r="F18" s="43" t="str">
        <f>①会員名簿マスタ!F18</f>
        <v>佐藤清</v>
      </c>
      <c r="G18" s="15">
        <v>10000</v>
      </c>
      <c r="H18" s="79">
        <v>45851</v>
      </c>
      <c r="I18" s="5"/>
      <c r="J18" s="113"/>
      <c r="K18" s="56"/>
    </row>
    <row r="19" spans="1:11" s="1" customFormat="1" ht="15" customHeight="1">
      <c r="A19" s="40">
        <f t="shared" si="0"/>
        <v>17</v>
      </c>
      <c r="B19" s="40">
        <f>①会員名簿マスタ!B19</f>
        <v>1</v>
      </c>
      <c r="C19" s="40">
        <f>①会員名簿マスタ!C19</f>
        <v>2</v>
      </c>
      <c r="D19" s="42">
        <f t="shared" si="1"/>
        <v>8</v>
      </c>
      <c r="E19" s="42"/>
      <c r="F19" s="43" t="str">
        <f>①会員名簿マスタ!F19</f>
        <v>戸村則登</v>
      </c>
      <c r="G19" s="15">
        <v>3000</v>
      </c>
      <c r="H19" s="79">
        <v>45851</v>
      </c>
      <c r="I19" s="5"/>
      <c r="J19" s="113"/>
      <c r="K19" s="56"/>
    </row>
    <row r="20" spans="1:11" s="1" customFormat="1" ht="15" customHeight="1">
      <c r="A20" s="40">
        <f t="shared" si="0"/>
        <v>18</v>
      </c>
      <c r="B20" s="41">
        <f>①会員名簿マスタ!B20</f>
        <v>1</v>
      </c>
      <c r="C20" s="41">
        <f>①会員名簿マスタ!C20</f>
        <v>3</v>
      </c>
      <c r="D20" s="42">
        <f t="shared" si="1"/>
        <v>1</v>
      </c>
      <c r="E20" s="42"/>
      <c r="F20" s="124" t="str">
        <f>①会員名簿マスタ!F20</f>
        <v>佐久間明</v>
      </c>
      <c r="G20" s="15">
        <v>10000</v>
      </c>
      <c r="H20" s="79">
        <v>45851</v>
      </c>
      <c r="I20" s="5"/>
      <c r="J20" s="113"/>
      <c r="K20" s="56"/>
    </row>
    <row r="21" spans="1:11" s="1" customFormat="1" ht="15" customHeight="1">
      <c r="A21" s="40">
        <f t="shared" si="0"/>
        <v>19</v>
      </c>
      <c r="B21" s="40">
        <f>①会員名簿マスタ!B21</f>
        <v>1</v>
      </c>
      <c r="C21" s="40">
        <f>①会員名簿マスタ!C21</f>
        <v>3</v>
      </c>
      <c r="D21" s="42">
        <f t="shared" si="1"/>
        <v>2</v>
      </c>
      <c r="E21" s="42"/>
      <c r="F21" s="43" t="str">
        <f>①会員名簿マスタ!F21</f>
        <v>鳥居スミヱ</v>
      </c>
      <c r="G21" s="15">
        <v>3000</v>
      </c>
      <c r="H21" s="79">
        <v>45851</v>
      </c>
      <c r="I21" s="5"/>
      <c r="J21" s="113"/>
      <c r="K21" s="56"/>
    </row>
    <row r="22" spans="1:11" s="1" customFormat="1" ht="15" customHeight="1">
      <c r="A22" s="40">
        <f t="shared" si="0"/>
        <v>20</v>
      </c>
      <c r="B22" s="111">
        <f>①会員名簿マスタ!B22</f>
        <v>1</v>
      </c>
      <c r="C22" s="111">
        <f>①会員名簿マスタ!C22</f>
        <v>3</v>
      </c>
      <c r="D22" s="42">
        <f t="shared" si="1"/>
        <v>3</v>
      </c>
      <c r="E22" s="42"/>
      <c r="F22" s="43" t="str">
        <f>①会員名簿マスタ!F22</f>
        <v>渋江康弘</v>
      </c>
      <c r="G22" s="15">
        <v>3000</v>
      </c>
      <c r="H22" s="79">
        <v>45851</v>
      </c>
      <c r="I22" s="5"/>
      <c r="J22" s="113"/>
      <c r="K22" s="56"/>
    </row>
    <row r="23" spans="1:11" s="1" customFormat="1" ht="15" customHeight="1">
      <c r="A23" s="40">
        <f t="shared" si="0"/>
        <v>21</v>
      </c>
      <c r="B23" s="40">
        <f>①会員名簿マスタ!B23</f>
        <v>1</v>
      </c>
      <c r="C23" s="40">
        <f>①会員名簿マスタ!C23</f>
        <v>3</v>
      </c>
      <c r="D23" s="42">
        <f t="shared" si="1"/>
        <v>4</v>
      </c>
      <c r="E23" s="47"/>
      <c r="F23" s="43" t="str">
        <f>①会員名簿マスタ!F23</f>
        <v>石岡明憲</v>
      </c>
      <c r="G23" s="15">
        <v>3000</v>
      </c>
      <c r="H23" s="79">
        <v>45851</v>
      </c>
      <c r="I23" s="5"/>
      <c r="J23" s="116"/>
      <c r="K23" s="56"/>
    </row>
    <row r="24" spans="1:11" s="1" customFormat="1" ht="15" customHeight="1">
      <c r="A24" s="40">
        <f t="shared" si="0"/>
        <v>22</v>
      </c>
      <c r="B24" s="40">
        <f>①会員名簿マスタ!B24</f>
        <v>1</v>
      </c>
      <c r="C24" s="40">
        <f>①会員名簿マスタ!C24</f>
        <v>3</v>
      </c>
      <c r="D24" s="42">
        <f t="shared" si="1"/>
        <v>5</v>
      </c>
      <c r="E24" s="47"/>
      <c r="F24" s="43" t="str">
        <f>①会員名簿マスタ!F24</f>
        <v>中華料理成都</v>
      </c>
      <c r="G24" s="15">
        <v>3000</v>
      </c>
      <c r="H24" s="79">
        <v>45851</v>
      </c>
      <c r="I24" s="5"/>
      <c r="J24" s="113"/>
      <c r="K24" s="56"/>
    </row>
    <row r="25" spans="1:11" s="1" customFormat="1" ht="15" customHeight="1">
      <c r="A25" s="40">
        <f t="shared" si="0"/>
        <v>23</v>
      </c>
      <c r="B25" s="40">
        <f>①会員名簿マスタ!B25</f>
        <v>1</v>
      </c>
      <c r="C25" s="40">
        <f>①会員名簿マスタ!C25</f>
        <v>3</v>
      </c>
      <c r="D25" s="42">
        <f t="shared" si="1"/>
        <v>6</v>
      </c>
      <c r="E25" s="42"/>
      <c r="F25" s="43" t="str">
        <f>①会員名簿マスタ!F25</f>
        <v>武藤親弘</v>
      </c>
      <c r="G25" s="15">
        <v>5000</v>
      </c>
      <c r="H25" s="79">
        <v>45851</v>
      </c>
      <c r="I25" s="5"/>
      <c r="J25" s="116"/>
      <c r="K25" s="56"/>
    </row>
    <row r="26" spans="1:11" s="1" customFormat="1" ht="15" customHeight="1">
      <c r="A26" s="40">
        <f t="shared" si="0"/>
        <v>24</v>
      </c>
      <c r="B26" s="40">
        <f>①会員名簿マスタ!B26</f>
        <v>1</v>
      </c>
      <c r="C26" s="40">
        <f>①会員名簿マスタ!C26</f>
        <v>3</v>
      </c>
      <c r="D26" s="42">
        <f t="shared" si="1"/>
        <v>7</v>
      </c>
      <c r="E26" s="42"/>
      <c r="F26" s="43" t="str">
        <f>①会員名簿マスタ!F26</f>
        <v>串一</v>
      </c>
      <c r="G26" s="15">
        <v>3000</v>
      </c>
      <c r="H26" s="79">
        <v>45851</v>
      </c>
      <c r="I26" s="5"/>
      <c r="J26" s="116"/>
      <c r="K26" s="56"/>
    </row>
    <row r="27" spans="1:11" s="1" customFormat="1" ht="15" customHeight="1">
      <c r="A27" s="40">
        <f t="shared" si="0"/>
        <v>25</v>
      </c>
      <c r="B27" s="40">
        <f>①会員名簿マスタ!B27</f>
        <v>1</v>
      </c>
      <c r="C27" s="40">
        <f>①会員名簿マスタ!C27</f>
        <v>3</v>
      </c>
      <c r="D27" s="42">
        <f t="shared" si="1"/>
        <v>8</v>
      </c>
      <c r="E27" s="50" t="s">
        <v>381</v>
      </c>
      <c r="F27" s="43" t="str">
        <f>①会員名簿マスタ!F27</f>
        <v>AJITO中村みどり</v>
      </c>
      <c r="G27" s="15">
        <v>3000</v>
      </c>
      <c r="H27" s="79">
        <v>45851</v>
      </c>
      <c r="I27" s="5"/>
      <c r="J27" s="113"/>
      <c r="K27" s="56"/>
    </row>
    <row r="28" spans="1:11" s="1" customFormat="1" ht="15" customHeight="1">
      <c r="A28" s="40">
        <f t="shared" si="0"/>
        <v>26</v>
      </c>
      <c r="B28" s="41">
        <f>①会員名簿マスタ!B28</f>
        <v>1</v>
      </c>
      <c r="C28" s="41">
        <f>①会員名簿マスタ!C28</f>
        <v>4</v>
      </c>
      <c r="D28" s="42">
        <f t="shared" si="1"/>
        <v>1</v>
      </c>
      <c r="E28" s="42"/>
      <c r="F28" s="43" t="str">
        <f>①会員名簿マスタ!F28</f>
        <v>澤登武文</v>
      </c>
      <c r="G28" s="16">
        <v>1000</v>
      </c>
      <c r="H28" s="79">
        <v>45851</v>
      </c>
      <c r="I28" s="5"/>
      <c r="J28" s="116"/>
      <c r="K28" s="56"/>
    </row>
    <row r="29" spans="1:11" s="1" customFormat="1" ht="15" customHeight="1">
      <c r="A29" s="40">
        <f t="shared" si="0"/>
        <v>27</v>
      </c>
      <c r="B29" s="40">
        <f>①会員名簿マスタ!B29</f>
        <v>1</v>
      </c>
      <c r="C29" s="40">
        <f>①会員名簿マスタ!C29</f>
        <v>4</v>
      </c>
      <c r="D29" s="42">
        <f t="shared" si="1"/>
        <v>2</v>
      </c>
      <c r="E29" s="42"/>
      <c r="F29" s="124" t="str">
        <f>①会員名簿マスタ!F29</f>
        <v>秋山芳美</v>
      </c>
      <c r="G29" s="16">
        <v>1000</v>
      </c>
      <c r="H29" s="79">
        <v>45851</v>
      </c>
      <c r="I29" s="5"/>
      <c r="J29" s="113"/>
      <c r="K29" s="56"/>
    </row>
    <row r="30" spans="1:11" s="1" customFormat="1" ht="15" customHeight="1">
      <c r="A30" s="40">
        <f t="shared" si="0"/>
        <v>28</v>
      </c>
      <c r="B30" s="111">
        <f>①会員名簿マスタ!B30</f>
        <v>1</v>
      </c>
      <c r="C30" s="111">
        <f>①会員名簿マスタ!C30</f>
        <v>4</v>
      </c>
      <c r="D30" s="42">
        <f t="shared" si="1"/>
        <v>3</v>
      </c>
      <c r="E30" s="42"/>
      <c r="F30" s="43" t="str">
        <f>①会員名簿マスタ!F30</f>
        <v>櫻井治</v>
      </c>
      <c r="G30" s="16">
        <v>1000</v>
      </c>
      <c r="H30" s="79">
        <v>45851</v>
      </c>
      <c r="I30" s="5"/>
      <c r="J30" s="113"/>
      <c r="K30" s="56"/>
    </row>
    <row r="31" spans="1:11" s="1" customFormat="1" ht="15" customHeight="1">
      <c r="A31" s="40">
        <f t="shared" si="0"/>
        <v>29</v>
      </c>
      <c r="B31" s="40">
        <f>①会員名簿マスタ!B31</f>
        <v>1</v>
      </c>
      <c r="C31" s="40">
        <f>①会員名簿マスタ!C31</f>
        <v>4</v>
      </c>
      <c r="D31" s="42">
        <f t="shared" si="1"/>
        <v>4</v>
      </c>
      <c r="E31" s="42"/>
      <c r="F31" s="43" t="str">
        <f>①会員名簿マスタ!F31</f>
        <v>松永彰</v>
      </c>
      <c r="G31" s="16">
        <v>1000</v>
      </c>
      <c r="H31" s="79">
        <v>45851</v>
      </c>
      <c r="I31" s="5"/>
      <c r="J31" s="113"/>
      <c r="K31" s="56"/>
    </row>
    <row r="32" spans="1:11" s="1" customFormat="1" ht="15" customHeight="1">
      <c r="A32" s="40">
        <f t="shared" si="0"/>
        <v>30</v>
      </c>
      <c r="B32" s="40">
        <f>①会員名簿マスタ!B32</f>
        <v>1</v>
      </c>
      <c r="C32" s="40">
        <f>①会員名簿マスタ!C32</f>
        <v>4</v>
      </c>
      <c r="D32" s="42">
        <f t="shared" si="1"/>
        <v>5</v>
      </c>
      <c r="E32" s="42"/>
      <c r="F32" s="43" t="str">
        <f>①会員名簿マスタ!F32</f>
        <v>橋本勇</v>
      </c>
      <c r="G32" s="16">
        <v>1000</v>
      </c>
      <c r="H32" s="79">
        <v>45851</v>
      </c>
      <c r="I32" s="5"/>
      <c r="J32" s="113"/>
      <c r="K32" s="56"/>
    </row>
    <row r="33" spans="1:11" s="1" customFormat="1" ht="15" customHeight="1">
      <c r="A33" s="40">
        <f t="shared" si="0"/>
        <v>31</v>
      </c>
      <c r="B33" s="40">
        <f>①会員名簿マスタ!B33</f>
        <v>1</v>
      </c>
      <c r="C33" s="40">
        <f>①会員名簿マスタ!C33</f>
        <v>4</v>
      </c>
      <c r="D33" s="42">
        <f t="shared" si="1"/>
        <v>6</v>
      </c>
      <c r="E33" s="47"/>
      <c r="F33" s="43" t="str">
        <f>①会員名簿マスタ!F33</f>
        <v>瀧下なつみ</v>
      </c>
      <c r="G33" s="16">
        <v>1000</v>
      </c>
      <c r="H33" s="79">
        <v>45851</v>
      </c>
      <c r="I33" s="5"/>
      <c r="J33" s="113"/>
      <c r="K33" s="56"/>
    </row>
    <row r="34" spans="1:11" s="1" customFormat="1" ht="15" customHeight="1">
      <c r="A34" s="40">
        <f t="shared" si="0"/>
        <v>32</v>
      </c>
      <c r="B34" s="41">
        <f>①会員名簿マスタ!B34</f>
        <v>1</v>
      </c>
      <c r="C34" s="41">
        <f>①会員名簿マスタ!C34</f>
        <v>5</v>
      </c>
      <c r="D34" s="42">
        <f t="shared" si="1"/>
        <v>1</v>
      </c>
      <c r="E34" s="47"/>
      <c r="F34" s="43" t="str">
        <f>①会員名簿マスタ!F34</f>
        <v>鈴木洋一</v>
      </c>
      <c r="G34" s="122">
        <v>1000</v>
      </c>
      <c r="H34" s="79">
        <v>45851</v>
      </c>
      <c r="I34" s="5"/>
      <c r="J34" s="115"/>
      <c r="K34" s="56"/>
    </row>
    <row r="35" spans="1:11" s="1" customFormat="1" ht="15" customHeight="1">
      <c r="A35" s="40">
        <f t="shared" si="0"/>
        <v>33</v>
      </c>
      <c r="B35" s="51">
        <f>①会員名簿マスタ!B35</f>
        <v>1</v>
      </c>
      <c r="C35" s="51">
        <f>①会員名簿マスタ!C35</f>
        <v>5</v>
      </c>
      <c r="D35" s="42">
        <f t="shared" si="1"/>
        <v>2</v>
      </c>
      <c r="E35" s="50" t="s">
        <v>381</v>
      </c>
      <c r="F35" s="43" t="str">
        <f>①会員名簿マスタ!F35</f>
        <v>首藤睦</v>
      </c>
      <c r="G35" s="123">
        <v>5000</v>
      </c>
      <c r="H35" s="79">
        <v>45851</v>
      </c>
      <c r="I35" s="9"/>
      <c r="J35" s="117"/>
      <c r="K35" s="56"/>
    </row>
    <row r="36" spans="1:11" s="1" customFormat="1" ht="15" customHeight="1">
      <c r="A36" s="40">
        <f t="shared" si="0"/>
        <v>34</v>
      </c>
      <c r="B36" s="112">
        <f>①会員名簿マスタ!B36</f>
        <v>1</v>
      </c>
      <c r="C36" s="112">
        <f>①会員名簿マスタ!C36</f>
        <v>5</v>
      </c>
      <c r="D36" s="42">
        <f t="shared" si="1"/>
        <v>3</v>
      </c>
      <c r="E36" s="47"/>
      <c r="F36" s="43" t="str">
        <f>①会員名簿マスタ!F36</f>
        <v>大野誠治</v>
      </c>
      <c r="G36" s="123">
        <v>5000</v>
      </c>
      <c r="H36" s="79">
        <v>45851</v>
      </c>
      <c r="I36" s="8"/>
      <c r="J36" s="118"/>
      <c r="K36" s="56"/>
    </row>
    <row r="37" spans="1:11" s="1" customFormat="1" ht="15" customHeight="1">
      <c r="A37" s="40">
        <f t="shared" si="0"/>
        <v>35</v>
      </c>
      <c r="B37" s="52">
        <f>①会員名簿マスタ!B37</f>
        <v>1</v>
      </c>
      <c r="C37" s="52">
        <f>①会員名簿マスタ!C37</f>
        <v>6</v>
      </c>
      <c r="D37" s="42">
        <f t="shared" si="1"/>
        <v>1</v>
      </c>
      <c r="E37" s="47"/>
      <c r="F37" s="43" t="str">
        <f>①会員名簿マスタ!F37</f>
        <v>青山啓二</v>
      </c>
      <c r="G37" s="15">
        <v>10000</v>
      </c>
      <c r="H37" s="79">
        <v>45851</v>
      </c>
      <c r="I37" s="8"/>
      <c r="J37" s="118"/>
      <c r="K37" s="56"/>
    </row>
    <row r="38" spans="1:11" s="1" customFormat="1" ht="15" customHeight="1">
      <c r="A38" s="40">
        <f t="shared" si="0"/>
        <v>36</v>
      </c>
      <c r="B38" s="51">
        <f>①会員名簿マスタ!B38</f>
        <v>1</v>
      </c>
      <c r="C38" s="51">
        <f>①会員名簿マスタ!C38</f>
        <v>6</v>
      </c>
      <c r="D38" s="42">
        <f t="shared" si="1"/>
        <v>2</v>
      </c>
      <c r="E38" s="50" t="s">
        <v>381</v>
      </c>
      <c r="F38" s="43" t="str">
        <f>①会員名簿マスタ!F38</f>
        <v>西田善隆</v>
      </c>
      <c r="G38" s="15">
        <v>5000</v>
      </c>
      <c r="H38" s="79">
        <v>45851</v>
      </c>
      <c r="I38" s="8"/>
      <c r="J38" s="117"/>
      <c r="K38" s="56"/>
    </row>
    <row r="39" spans="1:11" s="1" customFormat="1" ht="15" customHeight="1">
      <c r="A39" s="40">
        <f t="shared" si="0"/>
        <v>37</v>
      </c>
      <c r="B39" s="112">
        <f>①会員名簿マスタ!B39</f>
        <v>1</v>
      </c>
      <c r="C39" s="112">
        <f>①会員名簿マスタ!C39</f>
        <v>6</v>
      </c>
      <c r="D39" s="42">
        <f t="shared" si="1"/>
        <v>3</v>
      </c>
      <c r="E39" s="47"/>
      <c r="F39" s="43" t="str">
        <f>①会員名簿マスタ!F39</f>
        <v>渡戸正志</v>
      </c>
      <c r="G39" s="15">
        <v>5000</v>
      </c>
      <c r="H39" s="79">
        <v>45851</v>
      </c>
      <c r="I39" s="8"/>
      <c r="J39" s="118"/>
      <c r="K39" s="56"/>
    </row>
    <row r="40" spans="1:11" s="1" customFormat="1" ht="15" customHeight="1">
      <c r="A40" s="40">
        <f t="shared" si="0"/>
        <v>38</v>
      </c>
      <c r="B40" s="51">
        <f>①会員名簿マスタ!B40</f>
        <v>1</v>
      </c>
      <c r="C40" s="51">
        <f>①会員名簿マスタ!C40</f>
        <v>6</v>
      </c>
      <c r="D40" s="42">
        <f t="shared" si="1"/>
        <v>4</v>
      </c>
      <c r="E40" s="50" t="s">
        <v>381</v>
      </c>
      <c r="F40" s="43" t="str">
        <f>①会員名簿マスタ!F40</f>
        <v>冨田剛</v>
      </c>
      <c r="G40" s="16">
        <v>1000</v>
      </c>
      <c r="H40" s="79">
        <v>45851</v>
      </c>
      <c r="I40" s="8"/>
      <c r="J40" s="118"/>
      <c r="K40" s="56"/>
    </row>
    <row r="41" spans="1:11" s="1" customFormat="1" ht="15" customHeight="1">
      <c r="A41" s="40">
        <f t="shared" si="0"/>
        <v>39</v>
      </c>
      <c r="B41" s="51">
        <f>①会員名簿マスタ!B41</f>
        <v>1</v>
      </c>
      <c r="C41" s="51">
        <f>①会員名簿マスタ!C41</f>
        <v>6</v>
      </c>
      <c r="D41" s="42">
        <f t="shared" si="1"/>
        <v>5</v>
      </c>
      <c r="E41" s="42"/>
      <c r="F41" s="43" t="str">
        <f>①会員名簿マスタ!F41</f>
        <v>堀井広樹</v>
      </c>
      <c r="G41" s="16">
        <v>1000</v>
      </c>
      <c r="H41" s="79">
        <v>45851</v>
      </c>
      <c r="I41" s="8"/>
      <c r="J41" s="118"/>
      <c r="K41" s="56"/>
    </row>
    <row r="42" spans="1:11" s="1" customFormat="1" ht="15" customHeight="1">
      <c r="A42" s="40">
        <f t="shared" si="0"/>
        <v>40</v>
      </c>
      <c r="B42" s="51">
        <f>①会員名簿マスタ!B42</f>
        <v>1</v>
      </c>
      <c r="C42" s="51">
        <f>①会員名簿マスタ!C42</f>
        <v>6</v>
      </c>
      <c r="D42" s="42">
        <f t="shared" si="1"/>
        <v>6</v>
      </c>
      <c r="E42" s="47"/>
      <c r="F42" s="43" t="str">
        <f>①会員名簿マスタ!F42</f>
        <v>菊池崇広</v>
      </c>
      <c r="G42" s="16">
        <v>1000</v>
      </c>
      <c r="H42" s="79">
        <v>45851</v>
      </c>
      <c r="I42" s="8"/>
      <c r="J42" s="115"/>
      <c r="K42" s="56"/>
    </row>
    <row r="43" spans="1:11" s="1" customFormat="1" ht="15" customHeight="1">
      <c r="A43" s="40">
        <f t="shared" si="0"/>
        <v>41</v>
      </c>
      <c r="B43" s="51">
        <f>①会員名簿マスタ!B43</f>
        <v>1</v>
      </c>
      <c r="C43" s="51">
        <f>①会員名簿マスタ!C43</f>
        <v>6</v>
      </c>
      <c r="D43" s="42">
        <f t="shared" si="1"/>
        <v>7</v>
      </c>
      <c r="E43" s="42"/>
      <c r="F43" s="43" t="str">
        <f>①会員名簿マスタ!F43</f>
        <v>冨松良紀</v>
      </c>
      <c r="G43" s="15">
        <v>3000</v>
      </c>
      <c r="H43" s="79">
        <v>45851</v>
      </c>
      <c r="I43" s="10"/>
      <c r="J43" s="115"/>
      <c r="K43" s="56"/>
    </row>
    <row r="44" spans="1:11" s="1" customFormat="1" ht="15" customHeight="1">
      <c r="A44" s="40">
        <f t="shared" si="0"/>
        <v>42</v>
      </c>
      <c r="B44" s="41">
        <f>①会員名簿マスタ!B44</f>
        <v>1</v>
      </c>
      <c r="C44" s="41">
        <f>①会員名簿マスタ!C44</f>
        <v>7</v>
      </c>
      <c r="D44" s="42">
        <f t="shared" si="1"/>
        <v>1</v>
      </c>
      <c r="E44" s="42"/>
      <c r="F44" s="43" t="str">
        <f>①会員名簿マスタ!F44</f>
        <v>山合行之</v>
      </c>
      <c r="G44" s="15">
        <v>2000</v>
      </c>
      <c r="H44" s="79">
        <v>45851</v>
      </c>
      <c r="I44" s="5"/>
      <c r="J44" s="116"/>
      <c r="K44" s="56"/>
    </row>
    <row r="45" spans="1:11" s="1" customFormat="1" ht="15" customHeight="1">
      <c r="A45" s="40">
        <f t="shared" si="0"/>
        <v>43</v>
      </c>
      <c r="B45" s="40">
        <f>①会員名簿マスタ!B45</f>
        <v>1</v>
      </c>
      <c r="C45" s="40">
        <f>①会員名簿マスタ!C45</f>
        <v>7</v>
      </c>
      <c r="D45" s="42">
        <f t="shared" si="1"/>
        <v>2</v>
      </c>
      <c r="E45" s="47"/>
      <c r="F45" s="43" t="str">
        <f>①会員名簿マスタ!F45</f>
        <v>鈴木啓次</v>
      </c>
      <c r="G45" s="16">
        <v>1000</v>
      </c>
      <c r="H45" s="79">
        <v>45851</v>
      </c>
      <c r="I45" s="5"/>
      <c r="J45" s="116"/>
      <c r="K45" s="56"/>
    </row>
    <row r="46" spans="1:11" s="1" customFormat="1" ht="15" customHeight="1">
      <c r="A46" s="40">
        <f t="shared" si="0"/>
        <v>44</v>
      </c>
      <c r="B46" s="40">
        <f>①会員名簿マスタ!B46</f>
        <v>1</v>
      </c>
      <c r="C46" s="40">
        <f>①会員名簿マスタ!C46</f>
        <v>7</v>
      </c>
      <c r="D46" s="42">
        <f t="shared" si="1"/>
        <v>3</v>
      </c>
      <c r="E46" s="47"/>
      <c r="F46" s="43" t="str">
        <f>①会員名簿マスタ!F46</f>
        <v>宮野正子</v>
      </c>
      <c r="G46" s="15">
        <v>3000</v>
      </c>
      <c r="H46" s="79">
        <v>45851</v>
      </c>
      <c r="I46" s="5"/>
      <c r="J46" s="116"/>
      <c r="K46" s="56"/>
    </row>
    <row r="47" spans="1:11" s="1" customFormat="1" ht="15" customHeight="1">
      <c r="A47" s="40">
        <f t="shared" si="0"/>
        <v>45</v>
      </c>
      <c r="B47" s="40">
        <f>①会員名簿マスタ!B47</f>
        <v>1</v>
      </c>
      <c r="C47" s="40">
        <f>①会員名簿マスタ!C47</f>
        <v>7</v>
      </c>
      <c r="D47" s="42">
        <f t="shared" si="1"/>
        <v>4</v>
      </c>
      <c r="E47" s="42"/>
      <c r="F47" s="43" t="str">
        <f>①会員名簿マスタ!F47</f>
        <v>小野怜子</v>
      </c>
      <c r="G47" s="16">
        <v>1000</v>
      </c>
      <c r="H47" s="79">
        <v>45851</v>
      </c>
      <c r="I47" s="5"/>
      <c r="J47" s="115"/>
      <c r="K47" s="56"/>
    </row>
    <row r="48" spans="1:11" s="1" customFormat="1" ht="15" customHeight="1">
      <c r="A48" s="40">
        <f t="shared" si="0"/>
        <v>46</v>
      </c>
      <c r="B48" s="40">
        <f>①会員名簿マスタ!B48</f>
        <v>1</v>
      </c>
      <c r="C48" s="40">
        <f>①会員名簿マスタ!C48</f>
        <v>7</v>
      </c>
      <c r="D48" s="42">
        <f t="shared" si="1"/>
        <v>5</v>
      </c>
      <c r="E48" s="50" t="s">
        <v>381</v>
      </c>
      <c r="F48" s="43" t="str">
        <f>①会員名簿マスタ!F48</f>
        <v>中村未紀</v>
      </c>
      <c r="G48" s="16">
        <v>1000</v>
      </c>
      <c r="H48" s="79">
        <v>45851</v>
      </c>
      <c r="I48" s="5"/>
      <c r="J48" s="116"/>
      <c r="K48" s="56"/>
    </row>
    <row r="49" spans="1:11" s="1" customFormat="1" ht="15" customHeight="1">
      <c r="A49" s="40">
        <f t="shared" si="0"/>
        <v>47</v>
      </c>
      <c r="B49" s="41">
        <f>①会員名簿マスタ!B49</f>
        <v>1</v>
      </c>
      <c r="C49" s="41">
        <f>①会員名簿マスタ!C49</f>
        <v>8</v>
      </c>
      <c r="D49" s="42">
        <f t="shared" si="1"/>
        <v>1</v>
      </c>
      <c r="E49" s="42"/>
      <c r="F49" s="43" t="str">
        <f>①会員名簿マスタ!F49</f>
        <v>齋藤良一</v>
      </c>
      <c r="G49" s="15">
        <v>5000</v>
      </c>
      <c r="H49" s="79">
        <v>45851</v>
      </c>
      <c r="I49" s="5"/>
      <c r="J49" s="116"/>
      <c r="K49" s="56"/>
    </row>
    <row r="50" spans="1:11" s="1" customFormat="1" ht="15" customHeight="1">
      <c r="A50" s="40">
        <f t="shared" si="0"/>
        <v>48</v>
      </c>
      <c r="B50" s="40">
        <f>①会員名簿マスタ!B50</f>
        <v>1</v>
      </c>
      <c r="C50" s="40">
        <f>①会員名簿マスタ!C50</f>
        <v>8</v>
      </c>
      <c r="D50" s="42">
        <f t="shared" si="1"/>
        <v>2</v>
      </c>
      <c r="E50" s="47"/>
      <c r="F50" s="43" t="str">
        <f>①会員名簿マスタ!F50</f>
        <v>齋藤和枝</v>
      </c>
      <c r="G50" s="15">
        <v>2000</v>
      </c>
      <c r="H50" s="79">
        <v>45851</v>
      </c>
      <c r="I50" s="5"/>
      <c r="J50" s="115"/>
      <c r="K50" s="56"/>
    </row>
    <row r="51" spans="1:11" s="1" customFormat="1" ht="15" customHeight="1">
      <c r="A51" s="40">
        <f t="shared" si="0"/>
        <v>49</v>
      </c>
      <c r="B51" s="40">
        <f>①会員名簿マスタ!B51</f>
        <v>1</v>
      </c>
      <c r="C51" s="40">
        <f>①会員名簿マスタ!C51</f>
        <v>8</v>
      </c>
      <c r="D51" s="42">
        <f t="shared" si="1"/>
        <v>3</v>
      </c>
      <c r="E51" s="42"/>
      <c r="F51" s="43" t="str">
        <f>①会員名簿マスタ!F51</f>
        <v>溝口美代子</v>
      </c>
      <c r="G51" s="15">
        <v>5000</v>
      </c>
      <c r="H51" s="79">
        <v>45851</v>
      </c>
      <c r="I51" s="5"/>
      <c r="J51" s="116"/>
      <c r="K51" s="56"/>
    </row>
    <row r="52" spans="1:11" s="1" customFormat="1" ht="15" customHeight="1">
      <c r="A52" s="40">
        <f t="shared" si="0"/>
        <v>50</v>
      </c>
      <c r="B52" s="40">
        <f>①会員名簿マスタ!B52</f>
        <v>1</v>
      </c>
      <c r="C52" s="40">
        <f>①会員名簿マスタ!C52</f>
        <v>8</v>
      </c>
      <c r="D52" s="42">
        <f t="shared" si="1"/>
        <v>4</v>
      </c>
      <c r="E52" s="42"/>
      <c r="F52" s="43" t="str">
        <f>①会員名簿マスタ!F52</f>
        <v>宮川正子</v>
      </c>
      <c r="G52" s="68"/>
      <c r="H52" s="79">
        <v>45851</v>
      </c>
      <c r="I52" s="5"/>
      <c r="J52" s="116"/>
      <c r="K52" s="56"/>
    </row>
    <row r="53" spans="1:11" s="1" customFormat="1" ht="15" customHeight="1">
      <c r="A53" s="40">
        <f t="shared" si="0"/>
        <v>51</v>
      </c>
      <c r="B53" s="40">
        <f>①会員名簿マスタ!B53</f>
        <v>1</v>
      </c>
      <c r="C53" s="40">
        <f>①会員名簿マスタ!C53</f>
        <v>8</v>
      </c>
      <c r="D53" s="42">
        <f t="shared" si="1"/>
        <v>5</v>
      </c>
      <c r="E53" s="42"/>
      <c r="F53" s="43" t="str">
        <f>①会員名簿マスタ!F53</f>
        <v>佐々木由香里</v>
      </c>
      <c r="G53" s="15">
        <v>3000</v>
      </c>
      <c r="H53" s="79">
        <v>45851</v>
      </c>
      <c r="I53" s="5"/>
      <c r="J53" s="115"/>
      <c r="K53" s="56"/>
    </row>
    <row r="54" spans="1:11" s="1" customFormat="1" ht="15" customHeight="1">
      <c r="A54" s="40">
        <f t="shared" si="0"/>
        <v>52</v>
      </c>
      <c r="B54" s="40">
        <f>①会員名簿マスタ!B54</f>
        <v>1</v>
      </c>
      <c r="C54" s="40">
        <f>①会員名簿マスタ!C54</f>
        <v>8</v>
      </c>
      <c r="D54" s="42">
        <f t="shared" si="1"/>
        <v>6</v>
      </c>
      <c r="E54" s="47"/>
      <c r="F54" s="43" t="str">
        <f>①会員名簿マスタ!F54</f>
        <v>橘鷹裕介</v>
      </c>
      <c r="G54" s="15">
        <v>5000</v>
      </c>
      <c r="H54" s="79">
        <v>45851</v>
      </c>
      <c r="I54" s="5"/>
      <c r="J54" s="116"/>
      <c r="K54" s="56"/>
    </row>
    <row r="55" spans="1:11" s="1" customFormat="1" ht="15" customHeight="1">
      <c r="A55" s="40">
        <f t="shared" si="0"/>
        <v>53</v>
      </c>
      <c r="B55" s="40">
        <f>①会員名簿マスタ!B55</f>
        <v>1</v>
      </c>
      <c r="C55" s="40">
        <f>①会員名簿マスタ!C55</f>
        <v>8</v>
      </c>
      <c r="D55" s="42">
        <f t="shared" si="1"/>
        <v>7</v>
      </c>
      <c r="E55" s="50" t="s">
        <v>381</v>
      </c>
      <c r="F55" s="43" t="str">
        <f>①会員名簿マスタ!F55</f>
        <v>玉田義輝</v>
      </c>
      <c r="G55" s="15">
        <v>3000</v>
      </c>
      <c r="H55" s="79">
        <v>45851</v>
      </c>
      <c r="I55" s="5"/>
      <c r="J55" s="117"/>
      <c r="K55" s="56"/>
    </row>
    <row r="56" spans="1:11" s="1" customFormat="1" ht="15" customHeight="1">
      <c r="A56" s="40">
        <f t="shared" si="0"/>
        <v>54</v>
      </c>
      <c r="B56" s="41">
        <f>①会員名簿マスタ!B56</f>
        <v>1</v>
      </c>
      <c r="C56" s="41">
        <f>①会員名簿マスタ!C56</f>
        <v>9</v>
      </c>
      <c r="D56" s="42">
        <f t="shared" si="1"/>
        <v>1</v>
      </c>
      <c r="E56" s="42"/>
      <c r="F56" s="43" t="str">
        <f>①会員名簿マスタ!F56</f>
        <v>金子勲</v>
      </c>
      <c r="G56" s="15">
        <v>5000</v>
      </c>
      <c r="H56" s="79">
        <v>45851</v>
      </c>
      <c r="I56" s="45"/>
      <c r="J56" s="119"/>
      <c r="K56" s="56"/>
    </row>
    <row r="57" spans="1:11" s="1" customFormat="1" ht="15" customHeight="1">
      <c r="A57" s="40">
        <f t="shared" si="0"/>
        <v>55</v>
      </c>
      <c r="B57" s="40">
        <f>①会員名簿マスタ!B57</f>
        <v>1</v>
      </c>
      <c r="C57" s="40">
        <f>①会員名簿マスタ!C57</f>
        <v>9</v>
      </c>
      <c r="D57" s="42">
        <f t="shared" si="1"/>
        <v>2</v>
      </c>
      <c r="E57" s="50" t="s">
        <v>381</v>
      </c>
      <c r="F57" s="43" t="str">
        <f>①会員名簿マスタ!F57</f>
        <v>松本弘子</v>
      </c>
      <c r="G57" s="68"/>
      <c r="H57" s="79">
        <v>45851</v>
      </c>
      <c r="I57" s="45"/>
      <c r="J57" s="117"/>
      <c r="K57" s="56"/>
    </row>
    <row r="58" spans="1:11" s="11" customFormat="1" ht="15" customHeight="1">
      <c r="A58" s="40">
        <f t="shared" si="0"/>
        <v>56</v>
      </c>
      <c r="B58" s="51">
        <f>①会員名簿マスタ!B58</f>
        <v>1</v>
      </c>
      <c r="C58" s="51">
        <f>①会員名簿マスタ!C58</f>
        <v>9</v>
      </c>
      <c r="D58" s="42">
        <f t="shared" si="1"/>
        <v>3</v>
      </c>
      <c r="E58" s="47"/>
      <c r="F58" s="43" t="str">
        <f>①会員名簿マスタ!F58</f>
        <v>関口香奈</v>
      </c>
      <c r="G58" s="68"/>
      <c r="H58" s="79">
        <v>45851</v>
      </c>
      <c r="I58" s="45"/>
      <c r="J58" s="115"/>
      <c r="K58" s="66"/>
    </row>
    <row r="59" spans="1:11" s="1" customFormat="1" ht="15" customHeight="1">
      <c r="A59" s="40">
        <f t="shared" si="0"/>
        <v>57</v>
      </c>
      <c r="B59" s="40">
        <f>①会員名簿マスタ!B59</f>
        <v>1</v>
      </c>
      <c r="C59" s="40">
        <f>①会員名簿マスタ!C59</f>
        <v>9</v>
      </c>
      <c r="D59" s="42">
        <f t="shared" si="1"/>
        <v>4</v>
      </c>
      <c r="E59" s="42"/>
      <c r="F59" s="43" t="str">
        <f>①会員名簿マスタ!F59</f>
        <v>藤田範男</v>
      </c>
      <c r="G59" s="15">
        <v>5000</v>
      </c>
      <c r="H59" s="79">
        <v>45851</v>
      </c>
      <c r="I59" s="45"/>
      <c r="J59" s="113"/>
      <c r="K59" s="56"/>
    </row>
    <row r="60" spans="1:11" s="1" customFormat="1" ht="15" customHeight="1">
      <c r="A60" s="40">
        <f t="shared" si="0"/>
        <v>58</v>
      </c>
      <c r="B60" s="40">
        <f>①会員名簿マスタ!B60</f>
        <v>1</v>
      </c>
      <c r="C60" s="40">
        <f>①会員名簿マスタ!C60</f>
        <v>9</v>
      </c>
      <c r="D60" s="42">
        <f t="shared" si="1"/>
        <v>5</v>
      </c>
      <c r="E60" s="56"/>
      <c r="F60" s="43" t="str">
        <f>①会員名簿マスタ!F60</f>
        <v>前田清孝</v>
      </c>
      <c r="G60" s="15">
        <v>5000</v>
      </c>
      <c r="H60" s="79">
        <v>45851</v>
      </c>
      <c r="I60" s="45"/>
      <c r="J60" s="117"/>
      <c r="K60" s="56"/>
    </row>
    <row r="61" spans="1:11" s="1" customFormat="1" ht="15" customHeight="1">
      <c r="A61" s="40">
        <f t="shared" si="0"/>
        <v>59</v>
      </c>
      <c r="B61" s="40">
        <f>①会員名簿マスタ!B61</f>
        <v>1</v>
      </c>
      <c r="C61" s="40">
        <f>①会員名簿マスタ!C61</f>
        <v>9</v>
      </c>
      <c r="D61" s="42">
        <f t="shared" si="1"/>
        <v>6</v>
      </c>
      <c r="E61" s="42"/>
      <c r="F61" s="43" t="str">
        <f>①会員名簿マスタ!F61</f>
        <v>高島秀夫</v>
      </c>
      <c r="G61" s="15">
        <v>5000</v>
      </c>
      <c r="H61" s="79">
        <v>45851</v>
      </c>
      <c r="I61" s="45"/>
      <c r="J61" s="113"/>
      <c r="K61" s="56"/>
    </row>
    <row r="62" spans="1:11" s="1" customFormat="1" ht="15" customHeight="1">
      <c r="A62" s="40">
        <f t="shared" si="0"/>
        <v>60</v>
      </c>
      <c r="B62" s="40">
        <f>①会員名簿マスタ!B62</f>
        <v>1</v>
      </c>
      <c r="C62" s="40">
        <f>①会員名簿マスタ!C62</f>
        <v>9</v>
      </c>
      <c r="D62" s="42">
        <f t="shared" si="1"/>
        <v>7</v>
      </c>
      <c r="E62" s="42"/>
      <c r="F62" s="43" t="str">
        <f>①会員名簿マスタ!F62</f>
        <v>桐生勝巳</v>
      </c>
      <c r="G62" s="68"/>
      <c r="H62" s="79">
        <v>45851</v>
      </c>
      <c r="I62" s="45"/>
      <c r="J62" s="115"/>
      <c r="K62" s="56"/>
    </row>
    <row r="63" spans="1:11" s="1" customFormat="1" ht="15" customHeight="1">
      <c r="A63" s="40">
        <f t="shared" si="0"/>
        <v>61</v>
      </c>
      <c r="B63" s="40">
        <f>①会員名簿マスタ!B63</f>
        <v>1</v>
      </c>
      <c r="C63" s="40">
        <f>①会員名簿マスタ!C63</f>
        <v>9</v>
      </c>
      <c r="D63" s="42">
        <f t="shared" si="1"/>
        <v>8</v>
      </c>
      <c r="E63" s="47"/>
      <c r="F63" s="43" t="str">
        <f>①会員名簿マスタ!F63</f>
        <v>前田拓也</v>
      </c>
      <c r="G63" s="15">
        <v>3000</v>
      </c>
      <c r="H63" s="79">
        <v>45851</v>
      </c>
      <c r="I63" s="45"/>
      <c r="J63" s="115"/>
      <c r="K63" s="56"/>
    </row>
    <row r="64" spans="1:11" s="1" customFormat="1" ht="15" customHeight="1">
      <c r="A64" s="40">
        <f t="shared" si="0"/>
        <v>62</v>
      </c>
      <c r="B64" s="40">
        <f>①会員名簿マスタ!B64</f>
        <v>1</v>
      </c>
      <c r="C64" s="40">
        <f>①会員名簿マスタ!C64</f>
        <v>9</v>
      </c>
      <c r="D64" s="42">
        <f t="shared" si="1"/>
        <v>9</v>
      </c>
      <c r="E64" s="47"/>
      <c r="F64" s="43" t="str">
        <f>①会員名簿マスタ!F64</f>
        <v>竹本久子</v>
      </c>
      <c r="G64" s="68"/>
      <c r="H64" s="79">
        <v>45851</v>
      </c>
      <c r="I64" s="45"/>
      <c r="J64" s="119"/>
      <c r="K64" s="56"/>
    </row>
    <row r="65" spans="1:11" s="1" customFormat="1" ht="15" customHeight="1">
      <c r="A65" s="40">
        <f t="shared" si="0"/>
        <v>63</v>
      </c>
      <c r="B65" s="41">
        <f>①会員名簿マスタ!B65</f>
        <v>1</v>
      </c>
      <c r="C65" s="41">
        <f>①会員名簿マスタ!C65</f>
        <v>10</v>
      </c>
      <c r="D65" s="42">
        <f>IF(AND(B63=B65,C63=C65),D63+1,1)</f>
        <v>1</v>
      </c>
      <c r="E65" s="42"/>
      <c r="F65" s="43" t="str">
        <f>①会員名簿マスタ!F65</f>
        <v>須田昭</v>
      </c>
      <c r="G65" s="68"/>
      <c r="H65" s="79">
        <v>45851</v>
      </c>
      <c r="I65" s="45"/>
      <c r="J65" s="113"/>
      <c r="K65" s="56"/>
    </row>
    <row r="66" spans="1:11" s="1" customFormat="1" ht="15" customHeight="1">
      <c r="A66" s="40">
        <f t="shared" si="0"/>
        <v>64</v>
      </c>
      <c r="B66" s="40">
        <f>①会員名簿マスタ!B66</f>
        <v>1</v>
      </c>
      <c r="C66" s="40">
        <f>①会員名簿マスタ!C66</f>
        <v>10</v>
      </c>
      <c r="D66" s="42">
        <f t="shared" si="1"/>
        <v>2</v>
      </c>
      <c r="E66" s="47"/>
      <c r="F66" s="43" t="str">
        <f>①会員名簿マスタ!F66</f>
        <v>福寿早苗</v>
      </c>
      <c r="G66" s="15">
        <v>5000</v>
      </c>
      <c r="H66" s="79">
        <v>45851</v>
      </c>
      <c r="I66" s="45"/>
      <c r="J66" s="119"/>
      <c r="K66" s="56"/>
    </row>
    <row r="67" spans="1:11" s="1" customFormat="1" ht="15" customHeight="1">
      <c r="A67" s="40">
        <f t="shared" si="0"/>
        <v>65</v>
      </c>
      <c r="B67" s="40">
        <f>①会員名簿マスタ!B67</f>
        <v>1</v>
      </c>
      <c r="C67" s="40">
        <f>①会員名簿マスタ!C67</f>
        <v>10</v>
      </c>
      <c r="D67" s="42">
        <f t="shared" si="1"/>
        <v>3</v>
      </c>
      <c r="E67" s="50" t="s">
        <v>381</v>
      </c>
      <c r="F67" s="43" t="str">
        <f>①会員名簿マスタ!F67</f>
        <v>小山米子</v>
      </c>
      <c r="G67" s="15">
        <v>5000</v>
      </c>
      <c r="H67" s="79">
        <v>45851</v>
      </c>
      <c r="I67" s="45"/>
      <c r="J67" s="119"/>
      <c r="K67" s="56"/>
    </row>
    <row r="68" spans="1:11" s="1" customFormat="1" ht="15" customHeight="1">
      <c r="A68" s="40">
        <f t="shared" ref="A68:A131" si="2">ROW()-2</f>
        <v>66</v>
      </c>
      <c r="B68" s="40">
        <f>①会員名簿マスタ!B68</f>
        <v>1</v>
      </c>
      <c r="C68" s="40">
        <f>①会員名簿マスタ!C68</f>
        <v>10</v>
      </c>
      <c r="D68" s="42">
        <f t="shared" ref="D68:D128" si="3">IF(AND(B67=B68,C67=C68),D67+1,1)</f>
        <v>4</v>
      </c>
      <c r="E68" s="47"/>
      <c r="F68" s="43" t="str">
        <f>①会員名簿マスタ!F68</f>
        <v>須田公子</v>
      </c>
      <c r="G68" s="15">
        <v>3000</v>
      </c>
      <c r="H68" s="79">
        <v>45851</v>
      </c>
      <c r="I68" s="45"/>
      <c r="J68" s="120"/>
      <c r="K68" s="56"/>
    </row>
    <row r="69" spans="1:11" s="1" customFormat="1" ht="15" customHeight="1">
      <c r="A69" s="40">
        <f t="shared" si="2"/>
        <v>67</v>
      </c>
      <c r="B69" s="41">
        <f>①会員名簿マスタ!B69</f>
        <v>1</v>
      </c>
      <c r="C69" s="41">
        <f>①会員名簿マスタ!C69</f>
        <v>11</v>
      </c>
      <c r="D69" s="42">
        <f t="shared" si="3"/>
        <v>1</v>
      </c>
      <c r="E69" s="47"/>
      <c r="F69" s="43" t="str">
        <f>①会員名簿マスタ!F69</f>
        <v>渡邊芳彦</v>
      </c>
      <c r="G69" s="16">
        <v>1000</v>
      </c>
      <c r="H69" s="79">
        <v>45851</v>
      </c>
      <c r="I69" s="68"/>
      <c r="J69" s="120"/>
      <c r="K69" s="56"/>
    </row>
    <row r="70" spans="1:11" s="1" customFormat="1" ht="15" customHeight="1">
      <c r="A70" s="40">
        <f t="shared" si="2"/>
        <v>68</v>
      </c>
      <c r="B70" s="111">
        <f>①会員名簿マスタ!B70</f>
        <v>1</v>
      </c>
      <c r="C70" s="111">
        <f>①会員名簿マスタ!C70</f>
        <v>11</v>
      </c>
      <c r="D70" s="42">
        <f>IF(AND(B68=B70,C68=C70),D68+1,1)</f>
        <v>1</v>
      </c>
      <c r="E70" s="42"/>
      <c r="F70" s="43" t="str">
        <f>①会員名簿マスタ!F70</f>
        <v>乾タツ子</v>
      </c>
      <c r="G70" s="16">
        <v>1000</v>
      </c>
      <c r="H70" s="79">
        <v>45851</v>
      </c>
      <c r="I70" s="45"/>
      <c r="J70" s="113"/>
      <c r="K70" s="56"/>
    </row>
    <row r="71" spans="1:11" s="1" customFormat="1" ht="15" customHeight="1">
      <c r="A71" s="40">
        <f t="shared" si="2"/>
        <v>69</v>
      </c>
      <c r="B71" s="40">
        <f>①会員名簿マスタ!B71</f>
        <v>1</v>
      </c>
      <c r="C71" s="40">
        <f>①会員名簿マスタ!C71</f>
        <v>11</v>
      </c>
      <c r="D71" s="42">
        <f t="shared" si="3"/>
        <v>2</v>
      </c>
      <c r="E71" s="42"/>
      <c r="F71" s="43" t="str">
        <f>①会員名簿マスタ!F71</f>
        <v>矢部謙三</v>
      </c>
      <c r="G71" s="16">
        <v>1000</v>
      </c>
      <c r="H71" s="79">
        <v>45851</v>
      </c>
      <c r="I71" s="45"/>
      <c r="J71" s="113"/>
      <c r="K71" s="56"/>
    </row>
    <row r="72" spans="1:11" s="1" customFormat="1" ht="15" customHeight="1">
      <c r="A72" s="40">
        <f t="shared" si="2"/>
        <v>70</v>
      </c>
      <c r="B72" s="40">
        <f>①会員名簿マスタ!B72</f>
        <v>1</v>
      </c>
      <c r="C72" s="40">
        <f>①会員名簿マスタ!C72</f>
        <v>11</v>
      </c>
      <c r="D72" s="42">
        <f t="shared" si="3"/>
        <v>3</v>
      </c>
      <c r="E72" s="42"/>
      <c r="F72" s="43" t="str">
        <f>①会員名簿マスタ!F72</f>
        <v>千葉幸代</v>
      </c>
      <c r="G72" s="68"/>
      <c r="H72" s="79">
        <v>45851</v>
      </c>
      <c r="I72" s="45"/>
      <c r="J72" s="113"/>
      <c r="K72" s="56"/>
    </row>
    <row r="73" spans="1:11" s="1" customFormat="1" ht="15" customHeight="1">
      <c r="A73" s="40">
        <f t="shared" si="2"/>
        <v>71</v>
      </c>
      <c r="B73" s="40">
        <f>①会員名簿マスタ!B73</f>
        <v>1</v>
      </c>
      <c r="C73" s="40">
        <f>①会員名簿マスタ!C73</f>
        <v>11</v>
      </c>
      <c r="D73" s="42">
        <f t="shared" si="3"/>
        <v>4</v>
      </c>
      <c r="E73" s="47"/>
      <c r="F73" s="43" t="str">
        <f>①会員名簿マスタ!F73</f>
        <v>杉澤知美</v>
      </c>
      <c r="G73" s="16">
        <v>1000</v>
      </c>
      <c r="H73" s="79">
        <v>45851</v>
      </c>
      <c r="I73" s="45"/>
      <c r="J73" s="113"/>
      <c r="K73" s="56"/>
    </row>
    <row r="74" spans="1:11" s="1" customFormat="1" ht="15" customHeight="1">
      <c r="A74" s="40">
        <f t="shared" si="2"/>
        <v>72</v>
      </c>
      <c r="B74" s="40">
        <f>①会員名簿マスタ!B74</f>
        <v>1</v>
      </c>
      <c r="C74" s="40">
        <f>①会員名簿マスタ!C74</f>
        <v>11</v>
      </c>
      <c r="D74" s="42">
        <f t="shared" si="3"/>
        <v>5</v>
      </c>
      <c r="E74" s="47"/>
      <c r="F74" s="43" t="str">
        <f>①会員名簿マスタ!F74</f>
        <v>伊藤健二</v>
      </c>
      <c r="G74" s="16">
        <v>1000</v>
      </c>
      <c r="H74" s="79">
        <v>45851</v>
      </c>
      <c r="I74" s="45"/>
      <c r="J74" s="113"/>
      <c r="K74" s="56"/>
    </row>
    <row r="75" spans="1:11" s="1" customFormat="1" ht="15" customHeight="1">
      <c r="A75" s="40">
        <f t="shared" si="2"/>
        <v>73</v>
      </c>
      <c r="B75" s="40">
        <f>①会員名簿マスタ!B75</f>
        <v>1</v>
      </c>
      <c r="C75" s="40">
        <f>①会員名簿マスタ!C75</f>
        <v>11</v>
      </c>
      <c r="D75" s="42">
        <f t="shared" si="3"/>
        <v>6</v>
      </c>
      <c r="E75" s="50" t="s">
        <v>381</v>
      </c>
      <c r="F75" s="43" t="str">
        <f>①会員名簿マスタ!F75</f>
        <v>荒井照男</v>
      </c>
      <c r="G75" s="16">
        <v>1000</v>
      </c>
      <c r="H75" s="79">
        <v>45851</v>
      </c>
      <c r="I75" s="57"/>
      <c r="J75" s="117"/>
      <c r="K75" s="56"/>
    </row>
    <row r="76" spans="1:11" s="1" customFormat="1" ht="15" customHeight="1">
      <c r="A76" s="40">
        <f t="shared" si="2"/>
        <v>74</v>
      </c>
      <c r="B76" s="40">
        <f>①会員名簿マスタ!B76</f>
        <v>1</v>
      </c>
      <c r="C76" s="40">
        <f>①会員名簿マスタ!C76</f>
        <v>11</v>
      </c>
      <c r="D76" s="42">
        <f t="shared" si="3"/>
        <v>7</v>
      </c>
      <c r="E76" s="42"/>
      <c r="F76" s="43" t="str">
        <f>①会員名簿マスタ!F76</f>
        <v>佐々木宏子</v>
      </c>
      <c r="G76" s="16">
        <v>1000</v>
      </c>
      <c r="H76" s="79">
        <v>45851</v>
      </c>
      <c r="I76" s="45"/>
      <c r="J76" s="113"/>
      <c r="K76" s="56"/>
    </row>
    <row r="77" spans="1:11" s="1" customFormat="1" ht="15" customHeight="1">
      <c r="A77" s="40">
        <f t="shared" si="2"/>
        <v>75</v>
      </c>
      <c r="B77" s="40">
        <f>①会員名簿マスタ!B77</f>
        <v>1</v>
      </c>
      <c r="C77" s="40">
        <f>①会員名簿マスタ!C77</f>
        <v>11</v>
      </c>
      <c r="D77" s="42">
        <f t="shared" si="3"/>
        <v>8</v>
      </c>
      <c r="E77" s="42"/>
      <c r="F77" s="43" t="str">
        <f>①会員名簿マスタ!F77</f>
        <v>佐々木雅浩</v>
      </c>
      <c r="G77" s="16">
        <v>1000</v>
      </c>
      <c r="H77" s="79">
        <v>45851</v>
      </c>
      <c r="I77" s="57"/>
      <c r="J77" s="113"/>
      <c r="K77" s="56"/>
    </row>
    <row r="78" spans="1:11" s="1" customFormat="1" ht="15" customHeight="1">
      <c r="A78" s="40">
        <f t="shared" si="2"/>
        <v>76</v>
      </c>
      <c r="B78" s="41">
        <f>①会員名簿マスタ!B78</f>
        <v>1</v>
      </c>
      <c r="C78" s="41">
        <f>①会員名簿マスタ!C78</f>
        <v>12</v>
      </c>
      <c r="D78" s="42">
        <f t="shared" si="3"/>
        <v>1</v>
      </c>
      <c r="E78" s="42"/>
      <c r="F78" s="43" t="str">
        <f>①会員名簿マスタ!F78</f>
        <v>森良枝</v>
      </c>
      <c r="G78" s="15">
        <v>3000</v>
      </c>
      <c r="H78" s="79">
        <v>45851</v>
      </c>
      <c r="I78" s="45"/>
      <c r="J78" s="115"/>
      <c r="K78" s="56"/>
    </row>
    <row r="79" spans="1:11" s="1" customFormat="1" ht="15" customHeight="1">
      <c r="A79" s="40">
        <f t="shared" si="2"/>
        <v>77</v>
      </c>
      <c r="B79" s="111">
        <f>①会員名簿マスタ!B79</f>
        <v>1</v>
      </c>
      <c r="C79" s="111">
        <f>①会員名簿マスタ!C79</f>
        <v>12</v>
      </c>
      <c r="D79" s="42">
        <f t="shared" si="3"/>
        <v>2</v>
      </c>
      <c r="E79" s="42"/>
      <c r="F79" s="43" t="str">
        <f>①会員名簿マスタ!F79</f>
        <v>千葉満</v>
      </c>
      <c r="G79" s="15">
        <v>2000</v>
      </c>
      <c r="H79" s="79">
        <v>45851</v>
      </c>
      <c r="I79" s="45"/>
      <c r="J79" s="119"/>
      <c r="K79" s="56"/>
    </row>
    <row r="80" spans="1:11" s="1" customFormat="1" ht="15" customHeight="1">
      <c r="A80" s="40">
        <f t="shared" si="2"/>
        <v>78</v>
      </c>
      <c r="B80" s="40">
        <f>①会員名簿マスタ!B80</f>
        <v>1</v>
      </c>
      <c r="C80" s="40">
        <f>①会員名簿マスタ!C80</f>
        <v>12</v>
      </c>
      <c r="D80" s="42">
        <f t="shared" si="3"/>
        <v>3</v>
      </c>
      <c r="E80" s="42"/>
      <c r="F80" s="43" t="str">
        <f>①会員名簿マスタ!F80</f>
        <v>鎌田智士</v>
      </c>
      <c r="G80" s="16">
        <v>1000</v>
      </c>
      <c r="H80" s="79">
        <v>45851</v>
      </c>
      <c r="I80" s="45"/>
      <c r="J80" s="115"/>
      <c r="K80" s="56"/>
    </row>
    <row r="81" spans="1:11" s="1" customFormat="1" ht="15" customHeight="1">
      <c r="A81" s="40">
        <f t="shared" si="2"/>
        <v>79</v>
      </c>
      <c r="B81" s="40">
        <f>①会員名簿マスタ!B81</f>
        <v>1</v>
      </c>
      <c r="C81" s="40">
        <f>①会員名簿マスタ!C81</f>
        <v>12</v>
      </c>
      <c r="D81" s="42">
        <f t="shared" si="3"/>
        <v>4</v>
      </c>
      <c r="E81" s="42"/>
      <c r="F81" s="43" t="str">
        <f>①会員名簿マスタ!F81</f>
        <v>古川孝一</v>
      </c>
      <c r="G81" s="16">
        <v>1000</v>
      </c>
      <c r="H81" s="79">
        <v>45851</v>
      </c>
      <c r="I81" s="45"/>
      <c r="J81" s="113"/>
      <c r="K81" s="56"/>
    </row>
    <row r="82" spans="1:11" s="1" customFormat="1" ht="15" customHeight="1">
      <c r="A82" s="40">
        <f t="shared" si="2"/>
        <v>80</v>
      </c>
      <c r="B82" s="40">
        <f>①会員名簿マスタ!B82</f>
        <v>1</v>
      </c>
      <c r="C82" s="40">
        <f>①会員名簿マスタ!C82</f>
        <v>12</v>
      </c>
      <c r="D82" s="42">
        <f t="shared" si="3"/>
        <v>5</v>
      </c>
      <c r="E82" s="42"/>
      <c r="F82" s="43" t="str">
        <f>①会員名簿マスタ!F82</f>
        <v>杉森正博</v>
      </c>
      <c r="G82" s="16">
        <v>1000</v>
      </c>
      <c r="H82" s="79">
        <v>45851</v>
      </c>
      <c r="I82" s="45"/>
      <c r="J82" s="119"/>
      <c r="K82" s="56"/>
    </row>
    <row r="83" spans="1:11" s="1" customFormat="1" ht="15" customHeight="1">
      <c r="A83" s="40">
        <f t="shared" si="2"/>
        <v>81</v>
      </c>
      <c r="B83" s="40">
        <f>①会員名簿マスタ!B83</f>
        <v>1</v>
      </c>
      <c r="C83" s="40">
        <f>①会員名簿マスタ!C83</f>
        <v>12</v>
      </c>
      <c r="D83" s="42">
        <f t="shared" si="3"/>
        <v>6</v>
      </c>
      <c r="E83" s="42"/>
      <c r="F83" s="43" t="str">
        <f>①会員名簿マスタ!F83</f>
        <v>山口明良</v>
      </c>
      <c r="G83" s="15">
        <v>2000</v>
      </c>
      <c r="H83" s="79">
        <v>45851</v>
      </c>
      <c r="I83" s="45"/>
      <c r="J83" s="119"/>
      <c r="K83" s="56"/>
    </row>
    <row r="84" spans="1:11" s="1" customFormat="1" ht="15" customHeight="1">
      <c r="A84" s="40">
        <f t="shared" si="2"/>
        <v>82</v>
      </c>
      <c r="B84" s="40">
        <f>①会員名簿マスタ!B84</f>
        <v>1</v>
      </c>
      <c r="C84" s="40">
        <f>①会員名簿マスタ!C84</f>
        <v>12</v>
      </c>
      <c r="D84" s="42">
        <f t="shared" si="3"/>
        <v>7</v>
      </c>
      <c r="E84" s="42"/>
      <c r="F84" s="43" t="str">
        <f>①会員名簿マスタ!F84</f>
        <v>齋藤耕平</v>
      </c>
      <c r="G84" s="15">
        <v>5000</v>
      </c>
      <c r="H84" s="79">
        <v>45851</v>
      </c>
      <c r="I84" s="57"/>
      <c r="J84" s="119"/>
      <c r="K84" s="56"/>
    </row>
    <row r="85" spans="1:11" s="1" customFormat="1" ht="15" customHeight="1">
      <c r="A85" s="40">
        <f t="shared" si="2"/>
        <v>83</v>
      </c>
      <c r="B85" s="40">
        <f>①会員名簿マスタ!B85</f>
        <v>1</v>
      </c>
      <c r="C85" s="40">
        <f>①会員名簿マスタ!C85</f>
        <v>12</v>
      </c>
      <c r="D85" s="42">
        <f t="shared" si="3"/>
        <v>8</v>
      </c>
      <c r="E85" s="42"/>
      <c r="F85" s="43" t="str">
        <f>①会員名簿マスタ!F85</f>
        <v>小田切幸男</v>
      </c>
      <c r="G85" s="16">
        <v>1000</v>
      </c>
      <c r="H85" s="79">
        <v>45851</v>
      </c>
      <c r="I85" s="45"/>
      <c r="J85" s="115"/>
      <c r="K85" s="56"/>
    </row>
    <row r="86" spans="1:11" s="1" customFormat="1" ht="15" customHeight="1">
      <c r="A86" s="40">
        <f t="shared" si="2"/>
        <v>84</v>
      </c>
      <c r="B86" s="40">
        <f>①会員名簿マスタ!B86</f>
        <v>1</v>
      </c>
      <c r="C86" s="40">
        <f>①会員名簿マスタ!C86</f>
        <v>12</v>
      </c>
      <c r="D86" s="42">
        <f t="shared" si="3"/>
        <v>9</v>
      </c>
      <c r="E86" s="42"/>
      <c r="F86" s="43" t="str">
        <f>①会員名簿マスタ!F86</f>
        <v>矢畑進</v>
      </c>
      <c r="G86" s="15">
        <v>2000</v>
      </c>
      <c r="H86" s="79">
        <v>45851</v>
      </c>
      <c r="I86" s="45"/>
      <c r="J86" s="119"/>
      <c r="K86" s="56"/>
    </row>
    <row r="87" spans="1:11" s="1" customFormat="1" ht="15" customHeight="1">
      <c r="A87" s="40">
        <f t="shared" si="2"/>
        <v>85</v>
      </c>
      <c r="B87" s="40">
        <f>①会員名簿マスタ!B87</f>
        <v>1</v>
      </c>
      <c r="C87" s="40">
        <f>①会員名簿マスタ!C87</f>
        <v>12</v>
      </c>
      <c r="D87" s="42">
        <f t="shared" si="3"/>
        <v>10</v>
      </c>
      <c r="E87" s="42"/>
      <c r="F87" s="43" t="str">
        <f>①会員名簿マスタ!F87</f>
        <v>杉山</v>
      </c>
      <c r="G87" s="16">
        <v>1000</v>
      </c>
      <c r="H87" s="79">
        <v>45851</v>
      </c>
      <c r="I87" s="45"/>
      <c r="J87" s="119"/>
      <c r="K87" s="56"/>
    </row>
    <row r="88" spans="1:11" s="1" customFormat="1" ht="15" customHeight="1">
      <c r="A88" s="40">
        <f t="shared" si="2"/>
        <v>86</v>
      </c>
      <c r="B88" s="40">
        <f>①会員名簿マスタ!B88</f>
        <v>1</v>
      </c>
      <c r="C88" s="40">
        <f>①会員名簿マスタ!C88</f>
        <v>12</v>
      </c>
      <c r="D88" s="42">
        <f t="shared" si="3"/>
        <v>11</v>
      </c>
      <c r="E88" s="42"/>
      <c r="F88" s="43" t="str">
        <f>①会員名簿マスタ!F88</f>
        <v>丸茂治彦</v>
      </c>
      <c r="G88" s="16">
        <v>1000</v>
      </c>
      <c r="H88" s="79">
        <v>45851</v>
      </c>
      <c r="I88" s="49"/>
      <c r="J88" s="119"/>
      <c r="K88" s="56"/>
    </row>
    <row r="89" spans="1:11" s="1" customFormat="1" ht="15" customHeight="1">
      <c r="A89" s="40">
        <f t="shared" si="2"/>
        <v>87</v>
      </c>
      <c r="B89" s="40">
        <f>①会員名簿マスタ!B89</f>
        <v>1</v>
      </c>
      <c r="C89" s="40">
        <f>①会員名簿マスタ!C89</f>
        <v>12</v>
      </c>
      <c r="D89" s="42">
        <f t="shared" si="3"/>
        <v>12</v>
      </c>
      <c r="E89" s="47"/>
      <c r="F89" s="43" t="str">
        <f>①会員名簿マスタ!F89</f>
        <v>山岸靖子</v>
      </c>
      <c r="G89" s="16">
        <v>1000</v>
      </c>
      <c r="H89" s="79">
        <v>45851</v>
      </c>
      <c r="I89" s="49"/>
      <c r="J89" s="119"/>
      <c r="K89" s="56"/>
    </row>
    <row r="90" spans="1:11" s="1" customFormat="1" ht="15" customHeight="1">
      <c r="A90" s="40">
        <f t="shared" si="2"/>
        <v>88</v>
      </c>
      <c r="B90" s="40">
        <f>①会員名簿マスタ!B90</f>
        <v>1</v>
      </c>
      <c r="C90" s="40">
        <f>①会員名簿マスタ!C90</f>
        <v>12</v>
      </c>
      <c r="D90" s="42">
        <f t="shared" si="3"/>
        <v>13</v>
      </c>
      <c r="E90" s="50" t="s">
        <v>381</v>
      </c>
      <c r="F90" s="43" t="str">
        <f>①会員名簿マスタ!F90</f>
        <v>高橋昭仁</v>
      </c>
      <c r="G90" s="15">
        <v>3000</v>
      </c>
      <c r="H90" s="79">
        <v>45851</v>
      </c>
      <c r="I90" s="45"/>
      <c r="J90" s="119"/>
      <c r="K90" s="56"/>
    </row>
    <row r="91" spans="1:11" s="1" customFormat="1" ht="15" customHeight="1">
      <c r="A91" s="40">
        <f t="shared" si="2"/>
        <v>89</v>
      </c>
      <c r="B91" s="40">
        <f>①会員名簿マスタ!B91</f>
        <v>1</v>
      </c>
      <c r="C91" s="40">
        <f>①会員名簿マスタ!C91</f>
        <v>12</v>
      </c>
      <c r="D91" s="42">
        <f t="shared" si="3"/>
        <v>14</v>
      </c>
      <c r="E91" s="42"/>
      <c r="F91" s="43" t="str">
        <f>①会員名簿マスタ!F91</f>
        <v>雨海正男</v>
      </c>
      <c r="G91" s="16">
        <v>1000</v>
      </c>
      <c r="H91" s="79">
        <v>45851</v>
      </c>
      <c r="I91" s="45"/>
      <c r="J91" s="119"/>
      <c r="K91" s="56"/>
    </row>
    <row r="92" spans="1:11" s="1" customFormat="1" ht="15" customHeight="1">
      <c r="A92" s="40">
        <f t="shared" si="2"/>
        <v>90</v>
      </c>
      <c r="B92" s="40">
        <f>①会員名簿マスタ!B92</f>
        <v>1</v>
      </c>
      <c r="C92" s="40">
        <f>①会員名簿マスタ!C92</f>
        <v>12</v>
      </c>
      <c r="D92" s="42">
        <f t="shared" si="3"/>
        <v>15</v>
      </c>
      <c r="E92" s="47"/>
      <c r="F92" s="43" t="str">
        <f>①会員名簿マスタ!F92</f>
        <v>高橋博満</v>
      </c>
      <c r="G92" s="15">
        <v>2000</v>
      </c>
      <c r="H92" s="79">
        <v>45851</v>
      </c>
      <c r="I92" s="45"/>
      <c r="J92" s="115"/>
      <c r="K92" s="56"/>
    </row>
    <row r="93" spans="1:11" s="1" customFormat="1" ht="15" customHeight="1">
      <c r="A93" s="40">
        <f t="shared" si="2"/>
        <v>91</v>
      </c>
      <c r="B93" s="41">
        <f>①会員名簿マスタ!B93</f>
        <v>2</v>
      </c>
      <c r="C93" s="41">
        <f>①会員名簿マスタ!C93</f>
        <v>1</v>
      </c>
      <c r="D93" s="42">
        <f t="shared" si="3"/>
        <v>1</v>
      </c>
      <c r="E93" s="42"/>
      <c r="F93" s="43" t="str">
        <f>①会員名簿マスタ!F93</f>
        <v>森田眞由美</v>
      </c>
      <c r="G93" s="15">
        <v>3000</v>
      </c>
      <c r="H93" s="79">
        <v>45851</v>
      </c>
      <c r="I93" s="45"/>
      <c r="J93" s="120"/>
      <c r="K93" s="56"/>
    </row>
    <row r="94" spans="1:11" s="1" customFormat="1" ht="15" customHeight="1">
      <c r="A94" s="40">
        <f t="shared" si="2"/>
        <v>92</v>
      </c>
      <c r="B94" s="40">
        <f>①会員名簿マスタ!B94</f>
        <v>2</v>
      </c>
      <c r="C94" s="40">
        <f>①会員名簿マスタ!C94</f>
        <v>1</v>
      </c>
      <c r="D94" s="42">
        <f t="shared" si="3"/>
        <v>2</v>
      </c>
      <c r="E94" s="50" t="s">
        <v>381</v>
      </c>
      <c r="F94" s="43" t="str">
        <f>①会員名簿マスタ!F94</f>
        <v>森田章裕</v>
      </c>
      <c r="G94" s="15">
        <v>3000</v>
      </c>
      <c r="H94" s="79">
        <v>45851</v>
      </c>
      <c r="I94" s="45"/>
      <c r="J94" s="119"/>
      <c r="K94" s="56"/>
    </row>
    <row r="95" spans="1:11" s="1" customFormat="1" ht="15" customHeight="1">
      <c r="A95" s="40">
        <f t="shared" si="2"/>
        <v>93</v>
      </c>
      <c r="B95" s="40">
        <f>①会員名簿マスタ!B95</f>
        <v>2</v>
      </c>
      <c r="C95" s="40">
        <f>①会員名簿マスタ!C95</f>
        <v>1</v>
      </c>
      <c r="D95" s="42">
        <f t="shared" si="3"/>
        <v>3</v>
      </c>
      <c r="E95" s="47"/>
      <c r="F95" s="43" t="str">
        <f>①会員名簿マスタ!F95</f>
        <v>小澤正行</v>
      </c>
      <c r="G95" s="15">
        <v>3000</v>
      </c>
      <c r="H95" s="79">
        <v>45851</v>
      </c>
      <c r="I95" s="45"/>
      <c r="J95" s="119"/>
      <c r="K95" s="56"/>
    </row>
    <row r="96" spans="1:11" s="1" customFormat="1" ht="15" customHeight="1">
      <c r="A96" s="40">
        <f t="shared" si="2"/>
        <v>94</v>
      </c>
      <c r="B96" s="40">
        <f>①会員名簿マスタ!B96</f>
        <v>2</v>
      </c>
      <c r="C96" s="40">
        <f>①会員名簿マスタ!C96</f>
        <v>1</v>
      </c>
      <c r="D96" s="42">
        <f t="shared" si="3"/>
        <v>4</v>
      </c>
      <c r="E96" s="47"/>
      <c r="F96" s="43" t="str">
        <f>①会員名簿マスタ!F96</f>
        <v>福島紀一</v>
      </c>
      <c r="G96" s="15">
        <v>5000</v>
      </c>
      <c r="H96" s="79">
        <v>45851</v>
      </c>
      <c r="I96" s="45"/>
      <c r="J96" s="119"/>
      <c r="K96" s="56"/>
    </row>
    <row r="97" spans="1:11" s="1" customFormat="1" ht="15" customHeight="1">
      <c r="A97" s="40">
        <f t="shared" si="2"/>
        <v>95</v>
      </c>
      <c r="B97" s="40">
        <f>①会員名簿マスタ!B97</f>
        <v>2</v>
      </c>
      <c r="C97" s="40">
        <f>①会員名簿マスタ!C97</f>
        <v>1</v>
      </c>
      <c r="D97" s="42">
        <f t="shared" si="3"/>
        <v>5</v>
      </c>
      <c r="E97" s="42"/>
      <c r="F97" s="43" t="str">
        <f>①会員名簿マスタ!F97</f>
        <v>名取眞代</v>
      </c>
      <c r="G97" s="15">
        <v>2000</v>
      </c>
      <c r="H97" s="79">
        <v>45851</v>
      </c>
      <c r="I97" s="60"/>
      <c r="J97" s="119"/>
      <c r="K97" s="56"/>
    </row>
    <row r="98" spans="1:11" s="1" customFormat="1" ht="15" customHeight="1">
      <c r="A98" s="40">
        <f t="shared" si="2"/>
        <v>96</v>
      </c>
      <c r="B98" s="40">
        <f>①会員名簿マスタ!B98</f>
        <v>2</v>
      </c>
      <c r="C98" s="40">
        <f>①会員名簿マスタ!C98</f>
        <v>1</v>
      </c>
      <c r="D98" s="42">
        <f t="shared" si="3"/>
        <v>6</v>
      </c>
      <c r="E98" s="42"/>
      <c r="F98" s="43" t="str">
        <f>①会員名簿マスタ!F98</f>
        <v>藤田将作</v>
      </c>
      <c r="G98" s="15">
        <v>3000</v>
      </c>
      <c r="H98" s="79">
        <v>45851</v>
      </c>
      <c r="I98" s="45"/>
      <c r="J98" s="117"/>
      <c r="K98" s="56"/>
    </row>
    <row r="99" spans="1:11" s="1" customFormat="1" ht="15" customHeight="1">
      <c r="A99" s="40">
        <f t="shared" si="2"/>
        <v>97</v>
      </c>
      <c r="B99" s="40">
        <f>①会員名簿マスタ!B99</f>
        <v>2</v>
      </c>
      <c r="C99" s="40">
        <f>①会員名簿マスタ!C99</f>
        <v>1</v>
      </c>
      <c r="D99" s="42">
        <f t="shared" si="3"/>
        <v>7</v>
      </c>
      <c r="E99" s="42"/>
      <c r="F99" s="43" t="str">
        <f>①会員名簿マスタ!F99</f>
        <v>滝本春香</v>
      </c>
      <c r="G99" s="15">
        <v>3000</v>
      </c>
      <c r="H99" s="79">
        <v>45851</v>
      </c>
      <c r="I99" s="45"/>
      <c r="J99" s="119"/>
      <c r="K99" s="56"/>
    </row>
    <row r="100" spans="1:11" s="1" customFormat="1" ht="15" customHeight="1">
      <c r="A100" s="40">
        <f t="shared" si="2"/>
        <v>98</v>
      </c>
      <c r="B100" s="41">
        <f>①会員名簿マスタ!B100</f>
        <v>2</v>
      </c>
      <c r="C100" s="41">
        <f>①会員名簿マスタ!C100</f>
        <v>2</v>
      </c>
      <c r="D100" s="42">
        <f t="shared" si="3"/>
        <v>1</v>
      </c>
      <c r="E100" s="42"/>
      <c r="F100" s="43" t="str">
        <f>①会員名簿マスタ!F100</f>
        <v>渡辺嘉久也</v>
      </c>
      <c r="G100" s="15">
        <v>5000</v>
      </c>
      <c r="H100" s="79">
        <v>45851</v>
      </c>
      <c r="I100" s="45"/>
      <c r="J100" s="119"/>
      <c r="K100" s="56"/>
    </row>
    <row r="101" spans="1:11" s="1" customFormat="1" ht="15" customHeight="1">
      <c r="A101" s="40">
        <f t="shared" si="2"/>
        <v>99</v>
      </c>
      <c r="B101" s="40">
        <f>①会員名簿マスタ!B101</f>
        <v>2</v>
      </c>
      <c r="C101" s="40">
        <f>①会員名簿マスタ!C101</f>
        <v>2</v>
      </c>
      <c r="D101" s="42">
        <f t="shared" si="3"/>
        <v>2</v>
      </c>
      <c r="E101" s="42"/>
      <c r="F101" s="43" t="str">
        <f>①会員名簿マスタ!F101</f>
        <v>佐野和弘</v>
      </c>
      <c r="G101" s="15">
        <v>5000</v>
      </c>
      <c r="H101" s="79">
        <v>45851</v>
      </c>
      <c r="I101" s="46"/>
      <c r="J101" s="117"/>
      <c r="K101" s="56"/>
    </row>
    <row r="102" spans="1:11" s="1" customFormat="1" ht="15" customHeight="1">
      <c r="A102" s="40">
        <f t="shared" si="2"/>
        <v>100</v>
      </c>
      <c r="B102" s="111">
        <f>①会員名簿マスタ!B102</f>
        <v>2</v>
      </c>
      <c r="C102" s="111">
        <f>①会員名簿マスタ!C102</f>
        <v>2</v>
      </c>
      <c r="D102" s="42">
        <f>IF(AND(B100=B102,C100=C102),D100+1,1)</f>
        <v>2</v>
      </c>
      <c r="E102" s="50" t="s">
        <v>381</v>
      </c>
      <c r="F102" s="43" t="str">
        <f>①会員名簿マスタ!F102</f>
        <v>橋本岳</v>
      </c>
      <c r="G102" s="15">
        <v>5000</v>
      </c>
      <c r="H102" s="79">
        <v>45851</v>
      </c>
      <c r="I102" s="45"/>
      <c r="J102" s="119"/>
      <c r="K102" s="56"/>
    </row>
    <row r="103" spans="1:11" s="1" customFormat="1" ht="15" customHeight="1">
      <c r="A103" s="40">
        <f t="shared" si="2"/>
        <v>101</v>
      </c>
      <c r="B103" s="40">
        <f>①会員名簿マスタ!B103</f>
        <v>2</v>
      </c>
      <c r="C103" s="40">
        <f>①会員名簿マスタ!C103</f>
        <v>2</v>
      </c>
      <c r="D103" s="42">
        <f t="shared" si="3"/>
        <v>3</v>
      </c>
      <c r="E103" s="47"/>
      <c r="F103" s="43" t="str">
        <f>①会員名簿マスタ!F103</f>
        <v>御薗節子</v>
      </c>
      <c r="G103" s="15">
        <v>2000</v>
      </c>
      <c r="H103" s="79">
        <v>45851</v>
      </c>
      <c r="I103" s="45"/>
      <c r="J103" s="115"/>
      <c r="K103" s="56"/>
    </row>
    <row r="104" spans="1:11" s="1" customFormat="1" ht="15" customHeight="1">
      <c r="A104" s="40">
        <f t="shared" si="2"/>
        <v>102</v>
      </c>
      <c r="B104" s="40">
        <f>①会員名簿マスタ!B104</f>
        <v>2</v>
      </c>
      <c r="C104" s="40">
        <f>①会員名簿マスタ!C104</f>
        <v>2</v>
      </c>
      <c r="D104" s="42">
        <f t="shared" si="3"/>
        <v>4</v>
      </c>
      <c r="E104" s="47"/>
      <c r="F104" s="43" t="str">
        <f>①会員名簿マスタ!F104</f>
        <v>小松誠</v>
      </c>
      <c r="G104" s="15">
        <v>10000</v>
      </c>
      <c r="H104" s="79">
        <v>45851</v>
      </c>
      <c r="I104" s="45"/>
      <c r="J104" s="119"/>
      <c r="K104" s="56"/>
    </row>
    <row r="105" spans="1:11" s="1" customFormat="1" ht="15" customHeight="1">
      <c r="A105" s="40">
        <f t="shared" si="2"/>
        <v>103</v>
      </c>
      <c r="B105" s="41">
        <f>①会員名簿マスタ!B105</f>
        <v>2</v>
      </c>
      <c r="C105" s="41">
        <f>①会員名簿マスタ!C105</f>
        <v>3</v>
      </c>
      <c r="D105" s="42">
        <f t="shared" si="3"/>
        <v>1</v>
      </c>
      <c r="E105" s="42"/>
      <c r="F105" s="43" t="str">
        <f>①会員名簿マスタ!F105</f>
        <v>霜村紀子</v>
      </c>
      <c r="G105" s="15">
        <v>2000</v>
      </c>
      <c r="H105" s="79">
        <v>45851</v>
      </c>
      <c r="I105" s="45"/>
      <c r="J105" s="119"/>
      <c r="K105" s="56"/>
    </row>
    <row r="106" spans="1:11" s="1" customFormat="1" ht="15" customHeight="1">
      <c r="A106" s="40">
        <f t="shared" si="2"/>
        <v>104</v>
      </c>
      <c r="B106" s="40">
        <f>①会員名簿マスタ!B106</f>
        <v>2</v>
      </c>
      <c r="C106" s="40">
        <f>①会員名簿マスタ!C106</f>
        <v>3</v>
      </c>
      <c r="D106" s="42">
        <f t="shared" si="3"/>
        <v>2</v>
      </c>
      <c r="E106" s="56"/>
      <c r="F106" s="43" t="str">
        <f>①会員名簿マスタ!F106</f>
        <v>吉田順子</v>
      </c>
      <c r="G106" s="15">
        <v>2000</v>
      </c>
      <c r="H106" s="79">
        <v>45851</v>
      </c>
      <c r="I106" s="45"/>
      <c r="J106" s="119"/>
      <c r="K106" s="56"/>
    </row>
    <row r="107" spans="1:11" s="1" customFormat="1" ht="15" customHeight="1">
      <c r="A107" s="40">
        <f t="shared" si="2"/>
        <v>105</v>
      </c>
      <c r="B107" s="111">
        <f>①会員名簿マスタ!B107</f>
        <v>2</v>
      </c>
      <c r="C107" s="111">
        <f>①会員名簿マスタ!C107</f>
        <v>3</v>
      </c>
      <c r="D107" s="42">
        <f t="shared" si="3"/>
        <v>3</v>
      </c>
      <c r="E107" s="42"/>
      <c r="F107" s="43" t="str">
        <f>①会員名簿マスタ!F107</f>
        <v>吉田初枝</v>
      </c>
      <c r="G107" s="15">
        <v>2000</v>
      </c>
      <c r="H107" s="79">
        <v>45851</v>
      </c>
      <c r="I107" s="45"/>
      <c r="J107" s="115"/>
      <c r="K107" s="56"/>
    </row>
    <row r="108" spans="1:11" s="1" customFormat="1" ht="15" customHeight="1">
      <c r="A108" s="40">
        <f t="shared" si="2"/>
        <v>106</v>
      </c>
      <c r="B108" s="40">
        <f>①会員名簿マスタ!B108</f>
        <v>2</v>
      </c>
      <c r="C108" s="40">
        <f>①会員名簿マスタ!C108</f>
        <v>3</v>
      </c>
      <c r="D108" s="42">
        <f t="shared" si="3"/>
        <v>4</v>
      </c>
      <c r="E108" s="47"/>
      <c r="F108" s="43" t="str">
        <f>①会員名簿マスタ!F108</f>
        <v>網倉潤子</v>
      </c>
      <c r="G108" s="68"/>
      <c r="H108" s="79">
        <v>45851</v>
      </c>
      <c r="I108" s="45"/>
      <c r="J108" s="115" t="s">
        <v>583</v>
      </c>
      <c r="K108" s="56"/>
    </row>
    <row r="109" spans="1:11" s="1" customFormat="1" ht="15" customHeight="1">
      <c r="A109" s="40">
        <f t="shared" si="2"/>
        <v>107</v>
      </c>
      <c r="B109" s="40">
        <f>①会員名簿マスタ!B109</f>
        <v>2</v>
      </c>
      <c r="C109" s="40">
        <f>①会員名簿マスタ!C109</f>
        <v>3</v>
      </c>
      <c r="D109" s="42">
        <f t="shared" si="3"/>
        <v>5</v>
      </c>
      <c r="E109" s="42"/>
      <c r="F109" s="43" t="str">
        <f>①会員名簿マスタ!F109</f>
        <v>上田千代</v>
      </c>
      <c r="G109" s="68"/>
      <c r="H109" s="79">
        <v>45851</v>
      </c>
      <c r="I109" s="45"/>
      <c r="J109" s="115" t="s">
        <v>583</v>
      </c>
      <c r="K109" s="56"/>
    </row>
    <row r="110" spans="1:11" s="1" customFormat="1" ht="15" customHeight="1">
      <c r="A110" s="40">
        <f t="shared" si="2"/>
        <v>108</v>
      </c>
      <c r="B110" s="40">
        <f>①会員名簿マスタ!B110</f>
        <v>2</v>
      </c>
      <c r="C110" s="40">
        <f>①会員名簿マスタ!C110</f>
        <v>3</v>
      </c>
      <c r="D110" s="42">
        <f t="shared" si="3"/>
        <v>6</v>
      </c>
      <c r="E110" s="42"/>
      <c r="F110" s="43" t="str">
        <f>①会員名簿マスタ!F110</f>
        <v>磯野真一</v>
      </c>
      <c r="G110" s="15">
        <v>3000</v>
      </c>
      <c r="H110" s="79">
        <v>45851</v>
      </c>
      <c r="I110" s="49"/>
      <c r="J110" s="121" t="s">
        <v>584</v>
      </c>
      <c r="K110" s="56"/>
    </row>
    <row r="111" spans="1:11" s="1" customFormat="1" ht="15" customHeight="1">
      <c r="A111" s="40">
        <f t="shared" si="2"/>
        <v>109</v>
      </c>
      <c r="B111" s="41">
        <f>①会員名簿マスタ!B111</f>
        <v>2</v>
      </c>
      <c r="C111" s="41">
        <f>①会員名簿マスタ!C111</f>
        <v>4</v>
      </c>
      <c r="D111" s="42">
        <f t="shared" si="3"/>
        <v>1</v>
      </c>
      <c r="E111" s="47"/>
      <c r="F111" s="43" t="str">
        <f>①会員名簿マスタ!F111</f>
        <v>岩垂晴夫</v>
      </c>
      <c r="G111" s="15">
        <v>5000</v>
      </c>
      <c r="H111" s="79">
        <v>45851</v>
      </c>
      <c r="I111" s="49"/>
      <c r="J111" s="117"/>
      <c r="K111" s="56"/>
    </row>
    <row r="112" spans="1:11" s="1" customFormat="1" ht="15" customHeight="1">
      <c r="A112" s="40">
        <f t="shared" si="2"/>
        <v>110</v>
      </c>
      <c r="B112" s="111">
        <f>①会員名簿マスタ!B112</f>
        <v>2</v>
      </c>
      <c r="C112" s="111">
        <f>①会員名簿マスタ!C112</f>
        <v>4</v>
      </c>
      <c r="D112" s="42">
        <f t="shared" si="3"/>
        <v>2</v>
      </c>
      <c r="E112" s="47"/>
      <c r="F112" s="43" t="str">
        <f>①会員名簿マスタ!F112</f>
        <v>斉田芳久</v>
      </c>
      <c r="G112" s="15">
        <v>3000</v>
      </c>
      <c r="H112" s="79">
        <v>45851</v>
      </c>
      <c r="I112" s="45"/>
      <c r="J112" s="119"/>
      <c r="K112" s="56"/>
    </row>
    <row r="113" spans="1:11" s="1" customFormat="1" ht="15" customHeight="1">
      <c r="A113" s="40">
        <f t="shared" si="2"/>
        <v>111</v>
      </c>
      <c r="B113" s="40">
        <f>①会員名簿マスタ!B113</f>
        <v>2</v>
      </c>
      <c r="C113" s="40">
        <f>①会員名簿マスタ!C113</f>
        <v>4</v>
      </c>
      <c r="D113" s="42">
        <f t="shared" si="3"/>
        <v>3</v>
      </c>
      <c r="E113" s="42"/>
      <c r="F113" s="43" t="str">
        <f>①会員名簿マスタ!F113</f>
        <v>安藤豊美</v>
      </c>
      <c r="G113" s="15">
        <v>2000</v>
      </c>
      <c r="H113" s="79">
        <v>45851</v>
      </c>
      <c r="I113" s="45"/>
      <c r="J113" s="119"/>
      <c r="K113" s="56"/>
    </row>
    <row r="114" spans="1:11" s="1" customFormat="1" ht="15" customHeight="1">
      <c r="A114" s="40">
        <f t="shared" si="2"/>
        <v>112</v>
      </c>
      <c r="B114" s="40">
        <f>①会員名簿マスタ!B114</f>
        <v>2</v>
      </c>
      <c r="C114" s="40">
        <f>①会員名簿マスタ!C114</f>
        <v>4</v>
      </c>
      <c r="D114" s="42">
        <f t="shared" si="3"/>
        <v>4</v>
      </c>
      <c r="E114" s="47"/>
      <c r="F114" s="43" t="str">
        <f>①会員名簿マスタ!F114</f>
        <v>濱名誠</v>
      </c>
      <c r="G114" s="15">
        <v>2000</v>
      </c>
      <c r="H114" s="79">
        <v>45851</v>
      </c>
      <c r="I114" s="49"/>
      <c r="J114" s="119"/>
      <c r="K114" s="56"/>
    </row>
    <row r="115" spans="1:11" s="1" customFormat="1" ht="15" customHeight="1">
      <c r="A115" s="40">
        <f t="shared" si="2"/>
        <v>113</v>
      </c>
      <c r="B115" s="40">
        <f>①会員名簿マスタ!B115</f>
        <v>2</v>
      </c>
      <c r="C115" s="40">
        <f>①会員名簿マスタ!C115</f>
        <v>4</v>
      </c>
      <c r="D115" s="42">
        <f t="shared" si="3"/>
        <v>5</v>
      </c>
      <c r="E115" s="42"/>
      <c r="F115" s="43" t="str">
        <f>①会員名簿マスタ!F115</f>
        <v>佐藤シズエ</v>
      </c>
      <c r="G115" s="15">
        <v>3000</v>
      </c>
      <c r="H115" s="79">
        <v>45851</v>
      </c>
      <c r="I115" s="45"/>
      <c r="J115" s="117"/>
      <c r="K115" s="56"/>
    </row>
    <row r="116" spans="1:11" s="1" customFormat="1" ht="15" customHeight="1">
      <c r="A116" s="40">
        <f t="shared" si="2"/>
        <v>114</v>
      </c>
      <c r="B116" s="41">
        <f>①会員名簿マスタ!B116</f>
        <v>2</v>
      </c>
      <c r="C116" s="41">
        <f>①会員名簿マスタ!C116</f>
        <v>5</v>
      </c>
      <c r="D116" s="42">
        <f t="shared" si="3"/>
        <v>1</v>
      </c>
      <c r="E116" s="50" t="s">
        <v>381</v>
      </c>
      <c r="F116" s="43" t="str">
        <f>①会員名簿マスタ!F116</f>
        <v>森原智</v>
      </c>
      <c r="G116" s="15">
        <v>3000</v>
      </c>
      <c r="H116" s="79">
        <v>45851</v>
      </c>
      <c r="I116" s="45"/>
      <c r="J116" s="117"/>
      <c r="K116" s="56"/>
    </row>
    <row r="117" spans="1:11" s="1" customFormat="1" ht="15" customHeight="1">
      <c r="A117" s="40">
        <f t="shared" si="2"/>
        <v>115</v>
      </c>
      <c r="B117" s="111">
        <f>①会員名簿マスタ!B117</f>
        <v>2</v>
      </c>
      <c r="C117" s="111">
        <f>①会員名簿マスタ!C117</f>
        <v>5</v>
      </c>
      <c r="D117" s="42">
        <f t="shared" si="3"/>
        <v>2</v>
      </c>
      <c r="E117" s="42"/>
      <c r="F117" s="43" t="str">
        <f>①会員名簿マスタ!F117</f>
        <v>岡本三七子</v>
      </c>
      <c r="G117" s="15">
        <v>3000</v>
      </c>
      <c r="H117" s="79">
        <v>45851</v>
      </c>
      <c r="I117" s="45"/>
      <c r="J117" s="119"/>
      <c r="K117" s="56"/>
    </row>
    <row r="118" spans="1:11" s="1" customFormat="1" ht="15" customHeight="1">
      <c r="A118" s="40">
        <f t="shared" si="2"/>
        <v>116</v>
      </c>
      <c r="B118" s="40">
        <f>①会員名簿マスタ!B118</f>
        <v>2</v>
      </c>
      <c r="C118" s="40">
        <f>①会員名簿マスタ!C118</f>
        <v>5</v>
      </c>
      <c r="D118" s="42">
        <f t="shared" si="3"/>
        <v>3</v>
      </c>
      <c r="E118" s="42"/>
      <c r="F118" s="43" t="str">
        <f>①会員名簿マスタ!F118</f>
        <v>佐々木誠</v>
      </c>
      <c r="G118" s="15">
        <v>10000</v>
      </c>
      <c r="H118" s="79">
        <v>45851</v>
      </c>
      <c r="I118" s="45"/>
      <c r="J118" s="119"/>
      <c r="K118" s="56"/>
    </row>
    <row r="119" spans="1:11" s="1" customFormat="1" ht="15" customHeight="1">
      <c r="A119" s="40">
        <f t="shared" si="2"/>
        <v>117</v>
      </c>
      <c r="B119" s="40">
        <f>①会員名簿マスタ!B119</f>
        <v>2</v>
      </c>
      <c r="C119" s="40">
        <f>①会員名簿マスタ!C119</f>
        <v>5</v>
      </c>
      <c r="D119" s="42">
        <f t="shared" si="3"/>
        <v>4</v>
      </c>
      <c r="E119" s="42"/>
      <c r="F119" s="43" t="str">
        <f>①会員名簿マスタ!F119</f>
        <v>鹿野絵里子</v>
      </c>
      <c r="G119" s="16">
        <v>1000</v>
      </c>
      <c r="H119" s="79">
        <v>45851</v>
      </c>
      <c r="I119" s="45"/>
      <c r="J119" s="113"/>
      <c r="K119" s="56"/>
    </row>
    <row r="120" spans="1:11" s="1" customFormat="1" ht="15" customHeight="1">
      <c r="A120" s="40">
        <f t="shared" si="2"/>
        <v>118</v>
      </c>
      <c r="B120" s="40">
        <f>①会員名簿マスタ!B120</f>
        <v>2</v>
      </c>
      <c r="C120" s="40">
        <f>①会員名簿マスタ!C120</f>
        <v>5</v>
      </c>
      <c r="D120" s="42">
        <f t="shared" si="3"/>
        <v>5</v>
      </c>
      <c r="E120" s="56"/>
      <c r="F120" s="43" t="str">
        <f>①会員名簿マスタ!F120</f>
        <v>田口英弼</v>
      </c>
      <c r="G120" s="15">
        <v>3000</v>
      </c>
      <c r="H120" s="79">
        <v>45851</v>
      </c>
      <c r="I120" s="45"/>
      <c r="J120" s="119"/>
      <c r="K120" s="56"/>
    </row>
    <row r="121" spans="1:11" s="1" customFormat="1" ht="15" customHeight="1">
      <c r="A121" s="40">
        <f t="shared" si="2"/>
        <v>119</v>
      </c>
      <c r="B121" s="40">
        <f>①会員名簿マスタ!B121</f>
        <v>2</v>
      </c>
      <c r="C121" s="40">
        <f>①会員名簿マスタ!C121</f>
        <v>5</v>
      </c>
      <c r="D121" s="42">
        <f t="shared" si="3"/>
        <v>6</v>
      </c>
      <c r="E121" s="47"/>
      <c r="F121" s="43" t="str">
        <f>①会員名簿マスタ!F121</f>
        <v>倉邉雅光</v>
      </c>
      <c r="G121" s="15">
        <v>5000</v>
      </c>
      <c r="H121" s="79">
        <v>45851</v>
      </c>
      <c r="I121" s="45"/>
      <c r="J121" s="115"/>
      <c r="K121" s="56"/>
    </row>
    <row r="122" spans="1:11" s="1" customFormat="1" ht="15" customHeight="1">
      <c r="A122" s="40">
        <f t="shared" si="2"/>
        <v>120</v>
      </c>
      <c r="B122" s="40">
        <f>①会員名簿マスタ!B122</f>
        <v>2</v>
      </c>
      <c r="C122" s="40">
        <f>①会員名簿マスタ!C122</f>
        <v>5</v>
      </c>
      <c r="D122" s="42">
        <f t="shared" si="3"/>
        <v>7</v>
      </c>
      <c r="E122" s="50" t="s">
        <v>381</v>
      </c>
      <c r="F122" s="43" t="str">
        <f>①会員名簿マスタ!F122</f>
        <v>三井雅子</v>
      </c>
      <c r="G122" s="15">
        <v>5000</v>
      </c>
      <c r="H122" s="79">
        <v>45851</v>
      </c>
      <c r="I122" s="45"/>
      <c r="J122" s="117"/>
      <c r="K122" s="56"/>
    </row>
    <row r="123" spans="1:11" s="1" customFormat="1" ht="15" customHeight="1">
      <c r="A123" s="40">
        <f t="shared" si="2"/>
        <v>121</v>
      </c>
      <c r="B123" s="40">
        <f>①会員名簿マスタ!B123</f>
        <v>2</v>
      </c>
      <c r="C123" s="40">
        <f>①会員名簿マスタ!C123</f>
        <v>5</v>
      </c>
      <c r="D123" s="42">
        <f t="shared" si="3"/>
        <v>8</v>
      </c>
      <c r="E123" s="42"/>
      <c r="F123" s="43" t="str">
        <f>①会員名簿マスタ!F123</f>
        <v>勇士時生</v>
      </c>
      <c r="G123" s="15">
        <v>5000</v>
      </c>
      <c r="H123" s="79">
        <v>45851</v>
      </c>
      <c r="I123" s="45"/>
      <c r="J123" s="119"/>
      <c r="K123" s="56"/>
    </row>
    <row r="124" spans="1:11" s="1" customFormat="1" ht="15" customHeight="1">
      <c r="A124" s="40">
        <f t="shared" si="2"/>
        <v>122</v>
      </c>
      <c r="B124" s="41">
        <f>①会員名簿マスタ!B124</f>
        <v>2</v>
      </c>
      <c r="C124" s="41">
        <f>①会員名簿マスタ!C124</f>
        <v>6</v>
      </c>
      <c r="D124" s="42">
        <f t="shared" si="3"/>
        <v>1</v>
      </c>
      <c r="E124" s="47"/>
      <c r="F124" s="43" t="str">
        <f>①会員名簿マスタ!F124</f>
        <v>小林弘子</v>
      </c>
      <c r="G124" s="15">
        <v>3000</v>
      </c>
      <c r="H124" s="79">
        <v>45851</v>
      </c>
      <c r="I124" s="45"/>
      <c r="J124" s="119"/>
      <c r="K124" s="56"/>
    </row>
    <row r="125" spans="1:11" s="1" customFormat="1" ht="15" customHeight="1">
      <c r="A125" s="40">
        <f t="shared" si="2"/>
        <v>123</v>
      </c>
      <c r="B125" s="40">
        <f>①会員名簿マスタ!B125</f>
        <v>2</v>
      </c>
      <c r="C125" s="40">
        <f>①会員名簿マスタ!C125</f>
        <v>6</v>
      </c>
      <c r="D125" s="42">
        <f t="shared" si="3"/>
        <v>2</v>
      </c>
      <c r="E125" s="50"/>
      <c r="F125" s="43" t="str">
        <f>①会員名簿マスタ!F125</f>
        <v>宮下忠夫</v>
      </c>
      <c r="G125" s="15">
        <v>3000</v>
      </c>
      <c r="H125" s="79">
        <v>45851</v>
      </c>
      <c r="I125" s="57"/>
      <c r="J125" s="119"/>
      <c r="K125" s="56" t="s">
        <v>479</v>
      </c>
    </row>
    <row r="126" spans="1:11" s="1" customFormat="1" ht="15" customHeight="1">
      <c r="A126" s="40">
        <f t="shared" si="2"/>
        <v>124</v>
      </c>
      <c r="B126" s="111">
        <f>①会員名簿マスタ!B126</f>
        <v>2</v>
      </c>
      <c r="C126" s="111">
        <f>①会員名簿マスタ!C126</f>
        <v>6</v>
      </c>
      <c r="D126" s="42">
        <f>IF(AND(B124=B126,C124=C126),D124+1,1)</f>
        <v>2</v>
      </c>
      <c r="E126" s="42"/>
      <c r="F126" s="43" t="str">
        <f>①会員名簿マスタ!F126</f>
        <v>黒部綾</v>
      </c>
      <c r="G126" s="15">
        <v>3000</v>
      </c>
      <c r="H126" s="79">
        <v>45851</v>
      </c>
      <c r="I126" s="45"/>
      <c r="J126" s="119"/>
      <c r="K126" s="56"/>
    </row>
    <row r="127" spans="1:11" s="1" customFormat="1" ht="15" customHeight="1">
      <c r="A127" s="40">
        <f t="shared" si="2"/>
        <v>125</v>
      </c>
      <c r="B127" s="40">
        <f>①会員名簿マスタ!B127</f>
        <v>2</v>
      </c>
      <c r="C127" s="40">
        <f>①会員名簿マスタ!C127</f>
        <v>6</v>
      </c>
      <c r="D127" s="42">
        <f t="shared" si="3"/>
        <v>3</v>
      </c>
      <c r="E127" s="56"/>
      <c r="F127" s="43" t="str">
        <f>①会員名簿マスタ!F127</f>
        <v>井波純一</v>
      </c>
      <c r="G127" s="15">
        <v>3000</v>
      </c>
      <c r="H127" s="79">
        <v>45851</v>
      </c>
      <c r="I127" s="45"/>
      <c r="J127" s="119"/>
      <c r="K127" s="56"/>
    </row>
    <row r="128" spans="1:11" s="1" customFormat="1" ht="15" customHeight="1">
      <c r="A128" s="40">
        <f t="shared" si="2"/>
        <v>126</v>
      </c>
      <c r="B128" s="40">
        <f>①会員名簿マスタ!B128</f>
        <v>2</v>
      </c>
      <c r="C128" s="40">
        <f>①会員名簿マスタ!C128</f>
        <v>6</v>
      </c>
      <c r="D128" s="42">
        <f t="shared" si="3"/>
        <v>4</v>
      </c>
      <c r="E128" s="50" t="s">
        <v>381</v>
      </c>
      <c r="F128" s="43" t="str">
        <f>①会員名簿マスタ!F128</f>
        <v>菊池之裕</v>
      </c>
      <c r="G128" s="15">
        <v>3000</v>
      </c>
      <c r="H128" s="79">
        <v>45851</v>
      </c>
      <c r="I128" s="45"/>
      <c r="J128" s="119"/>
      <c r="K128" s="56"/>
    </row>
    <row r="129" spans="1:11" s="1" customFormat="1" ht="15" customHeight="1">
      <c r="A129" s="40">
        <f t="shared" si="2"/>
        <v>127</v>
      </c>
      <c r="B129" s="40">
        <f>①会員名簿マスタ!B129</f>
        <v>2</v>
      </c>
      <c r="C129" s="40">
        <f>①会員名簿マスタ!C129</f>
        <v>6</v>
      </c>
      <c r="D129" s="42">
        <f t="shared" ref="D129:D182" si="4">IF(AND(B128=B129,C128=C129),D128+1,1)</f>
        <v>5</v>
      </c>
      <c r="E129" s="42"/>
      <c r="F129" s="43" t="str">
        <f>①会員名簿マスタ!F129</f>
        <v>佐合駿</v>
      </c>
      <c r="G129" s="68"/>
      <c r="H129" s="79">
        <v>45851</v>
      </c>
      <c r="I129" s="45"/>
      <c r="J129" s="119"/>
      <c r="K129" s="56"/>
    </row>
    <row r="130" spans="1:11" s="1" customFormat="1" ht="15" customHeight="1">
      <c r="A130" s="40">
        <f t="shared" si="2"/>
        <v>128</v>
      </c>
      <c r="B130" s="41">
        <f>①会員名簿マスタ!B130</f>
        <v>2</v>
      </c>
      <c r="C130" s="41">
        <f>①会員名簿マスタ!C130</f>
        <v>7</v>
      </c>
      <c r="D130" s="42">
        <f t="shared" si="4"/>
        <v>1</v>
      </c>
      <c r="E130" s="42"/>
      <c r="F130" s="43" t="str">
        <f>①会員名簿マスタ!F130</f>
        <v>冨山厚</v>
      </c>
      <c r="G130" s="15">
        <v>5000</v>
      </c>
      <c r="H130" s="79">
        <v>45851</v>
      </c>
      <c r="I130" s="45"/>
      <c r="J130" s="119"/>
      <c r="K130" s="56"/>
    </row>
    <row r="131" spans="1:11" s="1" customFormat="1" ht="15" customHeight="1">
      <c r="A131" s="40">
        <f t="shared" si="2"/>
        <v>129</v>
      </c>
      <c r="B131" s="40">
        <f>①会員名簿マスタ!B131</f>
        <v>2</v>
      </c>
      <c r="C131" s="40">
        <f>①会員名簿マスタ!C131</f>
        <v>7</v>
      </c>
      <c r="D131" s="42">
        <f t="shared" si="4"/>
        <v>2</v>
      </c>
      <c r="E131" s="47"/>
      <c r="F131" s="43" t="str">
        <f>①会員名簿マスタ!F131</f>
        <v>高橋則篤</v>
      </c>
      <c r="G131" s="15">
        <v>3000</v>
      </c>
      <c r="H131" s="79">
        <v>45851</v>
      </c>
      <c r="I131" s="45"/>
      <c r="J131" s="119"/>
      <c r="K131" s="56"/>
    </row>
    <row r="132" spans="1:11" s="1" customFormat="1" ht="15" customHeight="1">
      <c r="A132" s="40">
        <f t="shared" ref="A132:A182" si="5">ROW()-2</f>
        <v>130</v>
      </c>
      <c r="B132" s="111">
        <f>①会員名簿マスタ!B132</f>
        <v>2</v>
      </c>
      <c r="C132" s="111">
        <f>①会員名簿マスタ!C132</f>
        <v>7</v>
      </c>
      <c r="D132" s="42">
        <f t="shared" si="4"/>
        <v>3</v>
      </c>
      <c r="E132" s="42"/>
      <c r="F132" s="43" t="str">
        <f>①会員名簿マスタ!F132</f>
        <v>宗像進</v>
      </c>
      <c r="G132" s="15">
        <v>5000</v>
      </c>
      <c r="H132" s="79">
        <v>45851</v>
      </c>
      <c r="I132" s="45"/>
      <c r="J132" s="119"/>
      <c r="K132" s="56"/>
    </row>
    <row r="133" spans="1:11" s="1" customFormat="1" ht="15" customHeight="1">
      <c r="A133" s="40">
        <f t="shared" si="5"/>
        <v>131</v>
      </c>
      <c r="B133" s="40">
        <f>①会員名簿マスタ!B133</f>
        <v>2</v>
      </c>
      <c r="C133" s="40">
        <f>①会員名簿マスタ!C133</f>
        <v>7</v>
      </c>
      <c r="D133" s="42">
        <f t="shared" si="4"/>
        <v>4</v>
      </c>
      <c r="E133" s="42"/>
      <c r="F133" s="43" t="str">
        <f>①会員名簿マスタ!F133</f>
        <v>関根伸成</v>
      </c>
      <c r="G133" s="15">
        <v>3000</v>
      </c>
      <c r="H133" s="79">
        <v>45851</v>
      </c>
      <c r="I133" s="45"/>
      <c r="J133" s="120"/>
      <c r="K133" s="56"/>
    </row>
    <row r="134" spans="1:11" s="1" customFormat="1" ht="15" customHeight="1">
      <c r="A134" s="40">
        <f t="shared" si="5"/>
        <v>132</v>
      </c>
      <c r="B134" s="40">
        <f>①会員名簿マスタ!B134</f>
        <v>2</v>
      </c>
      <c r="C134" s="40">
        <f>①会員名簿マスタ!C134</f>
        <v>7</v>
      </c>
      <c r="D134" s="42">
        <f t="shared" si="4"/>
        <v>5</v>
      </c>
      <c r="E134" s="42"/>
      <c r="F134" s="43" t="str">
        <f>①会員名簿マスタ!F134</f>
        <v>吉田千恵子</v>
      </c>
      <c r="G134" s="15">
        <v>3000</v>
      </c>
      <c r="H134" s="79">
        <v>45851</v>
      </c>
      <c r="I134" s="45"/>
      <c r="J134" s="115"/>
      <c r="K134" s="56"/>
    </row>
    <row r="135" spans="1:11" s="1" customFormat="1" ht="15" customHeight="1">
      <c r="A135" s="40">
        <f t="shared" si="5"/>
        <v>133</v>
      </c>
      <c r="B135" s="40">
        <f>①会員名簿マスタ!B135</f>
        <v>2</v>
      </c>
      <c r="C135" s="40">
        <f>①会員名簿マスタ!C135</f>
        <v>7</v>
      </c>
      <c r="D135" s="42">
        <f t="shared" si="4"/>
        <v>6</v>
      </c>
      <c r="E135" s="42"/>
      <c r="F135" s="43" t="str">
        <f>①会員名簿マスタ!F135</f>
        <v>手塚文子</v>
      </c>
      <c r="G135" s="15">
        <v>2000</v>
      </c>
      <c r="H135" s="79">
        <v>45851</v>
      </c>
      <c r="I135" s="45"/>
      <c r="J135" s="120"/>
      <c r="K135" s="56"/>
    </row>
    <row r="136" spans="1:11" s="1" customFormat="1" ht="15" customHeight="1">
      <c r="A136" s="40">
        <f t="shared" si="5"/>
        <v>134</v>
      </c>
      <c r="B136" s="40">
        <f>①会員名簿マスタ!B136</f>
        <v>2</v>
      </c>
      <c r="C136" s="40">
        <f>①会員名簿マスタ!C136</f>
        <v>7</v>
      </c>
      <c r="D136" s="42">
        <f t="shared" si="4"/>
        <v>7</v>
      </c>
      <c r="E136" s="47"/>
      <c r="F136" s="43" t="str">
        <f>①会員名簿マスタ!F136</f>
        <v>星川ツル</v>
      </c>
      <c r="G136" s="15">
        <v>3000</v>
      </c>
      <c r="H136" s="79">
        <v>45851</v>
      </c>
      <c r="I136" s="45"/>
      <c r="J136" s="120"/>
      <c r="K136" s="56"/>
    </row>
    <row r="137" spans="1:11" s="1" customFormat="1" ht="15" customHeight="1">
      <c r="A137" s="40">
        <f t="shared" si="5"/>
        <v>135</v>
      </c>
      <c r="B137" s="40">
        <f>①会員名簿マスタ!B137</f>
        <v>2</v>
      </c>
      <c r="C137" s="40">
        <f>①会員名簿マスタ!C137</f>
        <v>7</v>
      </c>
      <c r="D137" s="42">
        <f t="shared" si="4"/>
        <v>8</v>
      </c>
      <c r="E137" s="42"/>
      <c r="F137" s="43" t="str">
        <f>①会員名簿マスタ!F137</f>
        <v>小原友美</v>
      </c>
      <c r="G137" s="15">
        <v>2000</v>
      </c>
      <c r="H137" s="79">
        <v>45851</v>
      </c>
      <c r="I137" s="45"/>
      <c r="J137" s="115"/>
      <c r="K137" s="56"/>
    </row>
    <row r="138" spans="1:11" s="1" customFormat="1" ht="15" customHeight="1">
      <c r="A138" s="40">
        <f t="shared" si="5"/>
        <v>136</v>
      </c>
      <c r="B138" s="40">
        <f>①会員名簿マスタ!B138</f>
        <v>2</v>
      </c>
      <c r="C138" s="40">
        <f>①会員名簿マスタ!C138</f>
        <v>7</v>
      </c>
      <c r="D138" s="42">
        <f t="shared" si="4"/>
        <v>9</v>
      </c>
      <c r="E138" s="50" t="s">
        <v>381</v>
      </c>
      <c r="F138" s="43" t="str">
        <f>①会員名簿マスタ!F138</f>
        <v>藤谷健太</v>
      </c>
      <c r="G138" s="15">
        <v>3000</v>
      </c>
      <c r="H138" s="79">
        <v>45851</v>
      </c>
      <c r="I138" s="60"/>
      <c r="J138" s="121"/>
      <c r="K138" s="56"/>
    </row>
    <row r="139" spans="1:11" s="1" customFormat="1" ht="15" customHeight="1">
      <c r="A139" s="40">
        <f t="shared" si="5"/>
        <v>137</v>
      </c>
      <c r="B139" s="41">
        <f>①会員名簿マスタ!B139</f>
        <v>2</v>
      </c>
      <c r="C139" s="41">
        <f>①会員名簿マスタ!C139</f>
        <v>8</v>
      </c>
      <c r="D139" s="42">
        <f t="shared" si="4"/>
        <v>1</v>
      </c>
      <c r="E139" s="42"/>
      <c r="F139" s="43" t="str">
        <f>①会員名簿マスタ!F139</f>
        <v>佐藤和朗</v>
      </c>
      <c r="G139" s="15">
        <v>5000</v>
      </c>
      <c r="H139" s="79">
        <v>45851</v>
      </c>
      <c r="I139" s="45"/>
      <c r="J139" s="120"/>
      <c r="K139" s="56"/>
    </row>
    <row r="140" spans="1:11" s="1" customFormat="1" ht="15" customHeight="1">
      <c r="A140" s="40">
        <f t="shared" si="5"/>
        <v>138</v>
      </c>
      <c r="B140" s="40">
        <f>①会員名簿マスタ!B140</f>
        <v>2</v>
      </c>
      <c r="C140" s="40">
        <f>①会員名簿マスタ!C140</f>
        <v>8</v>
      </c>
      <c r="D140" s="42">
        <f t="shared" si="4"/>
        <v>2</v>
      </c>
      <c r="E140" s="47"/>
      <c r="F140" s="43" t="str">
        <f>①会員名簿マスタ!F140</f>
        <v>爲廣哲朗</v>
      </c>
      <c r="G140" s="15">
        <v>5000</v>
      </c>
      <c r="H140" s="79">
        <v>45851</v>
      </c>
      <c r="I140" s="45"/>
      <c r="J140" s="120"/>
      <c r="K140" s="56"/>
    </row>
    <row r="141" spans="1:11" s="1" customFormat="1" ht="15" customHeight="1">
      <c r="A141" s="40">
        <f t="shared" si="5"/>
        <v>139</v>
      </c>
      <c r="B141" s="111">
        <f>①会員名簿マスタ!B141</f>
        <v>2</v>
      </c>
      <c r="C141" s="111">
        <f>①会員名簿マスタ!C141</f>
        <v>8</v>
      </c>
      <c r="D141" s="42">
        <f t="shared" si="4"/>
        <v>3</v>
      </c>
      <c r="E141" s="42"/>
      <c r="F141" s="43" t="str">
        <f>①会員名簿マスタ!F141</f>
        <v>中根佳江</v>
      </c>
      <c r="G141" s="15">
        <v>3000</v>
      </c>
      <c r="H141" s="79">
        <v>45851</v>
      </c>
      <c r="I141" s="45"/>
      <c r="J141" s="120"/>
      <c r="K141" s="56"/>
    </row>
    <row r="142" spans="1:11" s="1" customFormat="1" ht="15" customHeight="1">
      <c r="A142" s="40">
        <f t="shared" si="5"/>
        <v>140</v>
      </c>
      <c r="B142" s="40">
        <f>①会員名簿マスタ!B142</f>
        <v>2</v>
      </c>
      <c r="C142" s="40">
        <f>①会員名簿マスタ!C142</f>
        <v>8</v>
      </c>
      <c r="D142" s="42">
        <f t="shared" si="4"/>
        <v>4</v>
      </c>
      <c r="E142" s="50" t="s">
        <v>381</v>
      </c>
      <c r="F142" s="43" t="str">
        <f>①会員名簿マスタ!F142</f>
        <v>大塚孝史</v>
      </c>
      <c r="G142" s="15">
        <v>3000</v>
      </c>
      <c r="H142" s="79">
        <v>45851</v>
      </c>
      <c r="I142" s="59"/>
      <c r="J142" s="119"/>
      <c r="K142" s="56"/>
    </row>
    <row r="143" spans="1:11" s="1" customFormat="1" ht="15" customHeight="1">
      <c r="A143" s="40">
        <f t="shared" si="5"/>
        <v>141</v>
      </c>
      <c r="B143" s="40">
        <f>①会員名簿マスタ!B143</f>
        <v>2</v>
      </c>
      <c r="C143" s="40">
        <f>①会員名簿マスタ!C143</f>
        <v>8</v>
      </c>
      <c r="D143" s="42">
        <f t="shared" si="4"/>
        <v>5</v>
      </c>
      <c r="E143" s="42"/>
      <c r="F143" s="43" t="str">
        <f>①会員名簿マスタ!F143</f>
        <v>鴨崎昶美</v>
      </c>
      <c r="G143" s="15">
        <v>2000</v>
      </c>
      <c r="H143" s="79">
        <v>45851</v>
      </c>
      <c r="I143" s="45"/>
      <c r="J143" s="119"/>
      <c r="K143" s="56"/>
    </row>
    <row r="144" spans="1:11" s="1" customFormat="1" ht="15" customHeight="1">
      <c r="A144" s="40">
        <f t="shared" si="5"/>
        <v>142</v>
      </c>
      <c r="B144" s="40">
        <f>①会員名簿マスタ!B144</f>
        <v>2</v>
      </c>
      <c r="C144" s="40">
        <f>①会員名簿マスタ!C144</f>
        <v>8</v>
      </c>
      <c r="D144" s="42">
        <f t="shared" si="4"/>
        <v>6</v>
      </c>
      <c r="E144" s="42"/>
      <c r="F144" s="43" t="str">
        <f>①会員名簿マスタ!F144</f>
        <v>杉本一久</v>
      </c>
      <c r="G144" s="15">
        <v>10000</v>
      </c>
      <c r="H144" s="79">
        <v>45851</v>
      </c>
      <c r="I144" s="45"/>
      <c r="J144" s="119"/>
      <c r="K144" s="56"/>
    </row>
    <row r="145" spans="1:11" s="1" customFormat="1" ht="15" customHeight="1">
      <c r="A145" s="40">
        <f t="shared" si="5"/>
        <v>143</v>
      </c>
      <c r="B145" s="41">
        <f>①会員名簿マスタ!B145</f>
        <v>2</v>
      </c>
      <c r="C145" s="41">
        <f>①会員名簿マスタ!C145</f>
        <v>9</v>
      </c>
      <c r="D145" s="42">
        <f t="shared" si="4"/>
        <v>1</v>
      </c>
      <c r="E145" s="42"/>
      <c r="F145" s="43" t="str">
        <f>①会員名簿マスタ!F145</f>
        <v>内山巧</v>
      </c>
      <c r="G145" s="15">
        <v>3000</v>
      </c>
      <c r="H145" s="79">
        <v>45851</v>
      </c>
      <c r="I145" s="45"/>
      <c r="J145" s="119"/>
      <c r="K145" s="56"/>
    </row>
    <row r="146" spans="1:11" s="1" customFormat="1" ht="15" customHeight="1">
      <c r="A146" s="40">
        <f t="shared" si="5"/>
        <v>144</v>
      </c>
      <c r="B146" s="40">
        <f>①会員名簿マスタ!B146</f>
        <v>2</v>
      </c>
      <c r="C146" s="40">
        <f>①会員名簿マスタ!C146</f>
        <v>9</v>
      </c>
      <c r="D146" s="42">
        <f t="shared" si="4"/>
        <v>2</v>
      </c>
      <c r="E146" s="47"/>
      <c r="F146" s="43" t="str">
        <f>①会員名簿マスタ!F146</f>
        <v>稲橋義治</v>
      </c>
      <c r="G146" s="15">
        <v>3000</v>
      </c>
      <c r="H146" s="79">
        <v>45851</v>
      </c>
      <c r="I146" s="45"/>
      <c r="J146" s="117"/>
      <c r="K146" s="56"/>
    </row>
    <row r="147" spans="1:11" s="1" customFormat="1" ht="15" customHeight="1">
      <c r="A147" s="40">
        <f t="shared" si="5"/>
        <v>145</v>
      </c>
      <c r="B147" s="40">
        <f>①会員名簿マスタ!B147</f>
        <v>2</v>
      </c>
      <c r="C147" s="40">
        <f>①会員名簿マスタ!C147</f>
        <v>9</v>
      </c>
      <c r="D147" s="42">
        <f t="shared" si="4"/>
        <v>3</v>
      </c>
      <c r="E147" s="47"/>
      <c r="F147" s="43" t="str">
        <f>①会員名簿マスタ!F147</f>
        <v>堀江善幸</v>
      </c>
      <c r="G147" s="15">
        <v>3000</v>
      </c>
      <c r="H147" s="79">
        <v>45851</v>
      </c>
      <c r="I147" s="45"/>
      <c r="J147" s="119"/>
      <c r="K147" s="56"/>
    </row>
    <row r="148" spans="1:11" s="1" customFormat="1" ht="15" customHeight="1">
      <c r="A148" s="40">
        <f t="shared" si="5"/>
        <v>146</v>
      </c>
      <c r="B148" s="40">
        <f>①会員名簿マスタ!B148</f>
        <v>2</v>
      </c>
      <c r="C148" s="40">
        <f>①会員名簿マスタ!C148</f>
        <v>9</v>
      </c>
      <c r="D148" s="42">
        <f t="shared" si="4"/>
        <v>4</v>
      </c>
      <c r="E148" s="42"/>
      <c r="F148" s="43" t="str">
        <f>①会員名簿マスタ!F148</f>
        <v>水内鶴男</v>
      </c>
      <c r="G148" s="15">
        <v>3000</v>
      </c>
      <c r="H148" s="79">
        <v>45851</v>
      </c>
      <c r="I148" s="57"/>
      <c r="J148" s="119"/>
      <c r="K148" s="56"/>
    </row>
    <row r="149" spans="1:11" s="1" customFormat="1" ht="15" customHeight="1">
      <c r="A149" s="40">
        <f t="shared" si="5"/>
        <v>147</v>
      </c>
      <c r="B149" s="111">
        <f>①会員名簿マスタ!B149</f>
        <v>2</v>
      </c>
      <c r="C149" s="111">
        <f>①会員名簿マスタ!C149</f>
        <v>9</v>
      </c>
      <c r="D149" s="42">
        <f t="shared" si="4"/>
        <v>5</v>
      </c>
      <c r="E149" s="47"/>
      <c r="F149" s="43" t="str">
        <f>①会員名簿マスタ!F149</f>
        <v>阿部治</v>
      </c>
      <c r="G149" s="15">
        <v>3000</v>
      </c>
      <c r="H149" s="79">
        <v>45851</v>
      </c>
      <c r="I149" s="45"/>
      <c r="J149" s="119"/>
      <c r="K149" s="56"/>
    </row>
    <row r="150" spans="1:11" s="1" customFormat="1" ht="15" customHeight="1">
      <c r="A150" s="40">
        <f t="shared" si="5"/>
        <v>148</v>
      </c>
      <c r="B150" s="40">
        <f>①会員名簿マスタ!B150</f>
        <v>2</v>
      </c>
      <c r="C150" s="40">
        <f>①会員名簿マスタ!C150</f>
        <v>9</v>
      </c>
      <c r="D150" s="42">
        <f t="shared" si="4"/>
        <v>6</v>
      </c>
      <c r="E150" s="50" t="s">
        <v>381</v>
      </c>
      <c r="F150" s="43" t="str">
        <f>①会員名簿マスタ!F150</f>
        <v>八子秀五郎</v>
      </c>
      <c r="G150" s="15">
        <v>3000</v>
      </c>
      <c r="H150" s="79">
        <v>45851</v>
      </c>
      <c r="I150" s="45"/>
      <c r="J150" s="119"/>
      <c r="K150" s="56"/>
    </row>
    <row r="151" spans="1:11" s="1" customFormat="1" ht="15" customHeight="1">
      <c r="A151" s="40">
        <f t="shared" si="5"/>
        <v>149</v>
      </c>
      <c r="B151" s="40">
        <f>①会員名簿マスタ!B151</f>
        <v>2</v>
      </c>
      <c r="C151" s="40">
        <f>①会員名簿マスタ!C151</f>
        <v>9</v>
      </c>
      <c r="D151" s="42">
        <f t="shared" si="4"/>
        <v>7</v>
      </c>
      <c r="E151" s="42"/>
      <c r="F151" s="43" t="str">
        <f>①会員名簿マスタ!F151</f>
        <v>小林晃</v>
      </c>
      <c r="G151" s="15">
        <v>3000</v>
      </c>
      <c r="H151" s="79">
        <v>45851</v>
      </c>
      <c r="I151" s="45"/>
      <c r="J151" s="119"/>
      <c r="K151" s="56"/>
    </row>
    <row r="152" spans="1:11" s="1" customFormat="1" ht="15" customHeight="1">
      <c r="A152" s="40">
        <f t="shared" si="5"/>
        <v>150</v>
      </c>
      <c r="B152" s="40">
        <f>①会員名簿マスタ!B152</f>
        <v>2</v>
      </c>
      <c r="C152" s="40">
        <f>①会員名簿マスタ!C152</f>
        <v>9</v>
      </c>
      <c r="D152" s="42">
        <f t="shared" si="4"/>
        <v>8</v>
      </c>
      <c r="E152" s="42"/>
      <c r="F152" s="43" t="str">
        <f>①会員名簿マスタ!F152</f>
        <v>鈴木眞寿美</v>
      </c>
      <c r="G152" s="15">
        <v>2000</v>
      </c>
      <c r="H152" s="79">
        <v>45851</v>
      </c>
      <c r="I152" s="45"/>
      <c r="J152" s="119"/>
      <c r="K152" s="56"/>
    </row>
    <row r="153" spans="1:11" s="1" customFormat="1" ht="15" customHeight="1">
      <c r="A153" s="40">
        <f t="shared" si="5"/>
        <v>151</v>
      </c>
      <c r="B153" s="41">
        <f>①会員名簿マスタ!B153</f>
        <v>2</v>
      </c>
      <c r="C153" s="41">
        <f>①会員名簿マスタ!C153</f>
        <v>10</v>
      </c>
      <c r="D153" s="42">
        <f t="shared" si="4"/>
        <v>1</v>
      </c>
      <c r="E153" s="42"/>
      <c r="F153" s="43" t="str">
        <f>①会員名簿マスタ!F153</f>
        <v>金井六平</v>
      </c>
      <c r="G153" s="15">
        <v>3000</v>
      </c>
      <c r="H153" s="79">
        <v>45851</v>
      </c>
      <c r="I153" s="45"/>
      <c r="J153" s="119"/>
      <c r="K153" s="56"/>
    </row>
    <row r="154" spans="1:11" s="1" customFormat="1" ht="15" customHeight="1">
      <c r="A154" s="40">
        <f t="shared" si="5"/>
        <v>152</v>
      </c>
      <c r="B154" s="40">
        <f>①会員名簿マスタ!B154</f>
        <v>2</v>
      </c>
      <c r="C154" s="40">
        <f>①会員名簿マスタ!C154</f>
        <v>10</v>
      </c>
      <c r="D154" s="42">
        <f t="shared" si="4"/>
        <v>2</v>
      </c>
      <c r="E154" s="56"/>
      <c r="F154" s="43" t="str">
        <f>①会員名簿マスタ!F154</f>
        <v>小池弘</v>
      </c>
      <c r="G154" s="15">
        <v>3000</v>
      </c>
      <c r="H154" s="79">
        <v>45851</v>
      </c>
      <c r="I154" s="45"/>
      <c r="J154" s="119"/>
      <c r="K154" s="56"/>
    </row>
    <row r="155" spans="1:11" s="1" customFormat="1" ht="15" customHeight="1">
      <c r="A155" s="40">
        <f t="shared" si="5"/>
        <v>153</v>
      </c>
      <c r="B155" s="40">
        <f>①会員名簿マスタ!B155</f>
        <v>2</v>
      </c>
      <c r="C155" s="40">
        <f>①会員名簿マスタ!C155</f>
        <v>10</v>
      </c>
      <c r="D155" s="42">
        <f t="shared" si="4"/>
        <v>3</v>
      </c>
      <c r="E155" s="42"/>
      <c r="F155" s="43" t="str">
        <f>①会員名簿マスタ!F155</f>
        <v>多和エイ子</v>
      </c>
      <c r="G155" s="15">
        <v>2000</v>
      </c>
      <c r="H155" s="79">
        <v>45851</v>
      </c>
      <c r="I155" s="45"/>
      <c r="J155" s="119"/>
      <c r="K155" s="56"/>
    </row>
    <row r="156" spans="1:11" s="1" customFormat="1" ht="15" customHeight="1">
      <c r="A156" s="40">
        <f t="shared" si="5"/>
        <v>154</v>
      </c>
      <c r="B156" s="40">
        <f>①会員名簿マスタ!B156</f>
        <v>2</v>
      </c>
      <c r="C156" s="40">
        <f>①会員名簿マスタ!C156</f>
        <v>10</v>
      </c>
      <c r="D156" s="42">
        <f t="shared" si="4"/>
        <v>4</v>
      </c>
      <c r="E156" s="47"/>
      <c r="F156" s="43" t="str">
        <f>①会員名簿マスタ!F156</f>
        <v>橋本尚弥</v>
      </c>
      <c r="G156" s="15">
        <v>3000</v>
      </c>
      <c r="H156" s="79">
        <v>45851</v>
      </c>
      <c r="I156" s="45"/>
      <c r="J156" s="119"/>
      <c r="K156" s="56"/>
    </row>
    <row r="157" spans="1:11" s="1" customFormat="1" ht="15" customHeight="1">
      <c r="A157" s="40">
        <f t="shared" si="5"/>
        <v>155</v>
      </c>
      <c r="B157" s="111">
        <f>①会員名簿マスタ!B157</f>
        <v>2</v>
      </c>
      <c r="C157" s="111">
        <f>①会員名簿マスタ!C157</f>
        <v>10</v>
      </c>
      <c r="D157" s="42">
        <f t="shared" si="4"/>
        <v>5</v>
      </c>
      <c r="E157" s="42"/>
      <c r="F157" s="43" t="str">
        <f>①会員名簿マスタ!F157</f>
        <v>藤巻明子</v>
      </c>
      <c r="G157" s="15">
        <v>2000</v>
      </c>
      <c r="H157" s="79">
        <v>45851</v>
      </c>
      <c r="I157" s="45"/>
      <c r="J157" s="119"/>
      <c r="K157" s="56"/>
    </row>
    <row r="158" spans="1:11" s="1" customFormat="1" ht="15" customHeight="1">
      <c r="A158" s="40">
        <f t="shared" si="5"/>
        <v>156</v>
      </c>
      <c r="B158" s="40">
        <f>①会員名簿マスタ!B158</f>
        <v>2</v>
      </c>
      <c r="C158" s="40">
        <f>①会員名簿マスタ!C158</f>
        <v>10</v>
      </c>
      <c r="D158" s="42">
        <f t="shared" si="4"/>
        <v>6</v>
      </c>
      <c r="E158" s="42"/>
      <c r="F158" s="43" t="str">
        <f>①会員名簿マスタ!F158</f>
        <v>鈴木由美子</v>
      </c>
      <c r="G158" s="16">
        <v>1000</v>
      </c>
      <c r="H158" s="79">
        <v>45851</v>
      </c>
      <c r="I158" s="45"/>
      <c r="J158" s="119"/>
      <c r="K158" s="56"/>
    </row>
    <row r="159" spans="1:11" s="1" customFormat="1" ht="15" customHeight="1">
      <c r="A159" s="40">
        <f t="shared" si="5"/>
        <v>157</v>
      </c>
      <c r="B159" s="40">
        <f>①会員名簿マスタ!B159</f>
        <v>2</v>
      </c>
      <c r="C159" s="40">
        <f>①会員名簿マスタ!C159</f>
        <v>10</v>
      </c>
      <c r="D159" s="42">
        <f t="shared" si="4"/>
        <v>7</v>
      </c>
      <c r="E159" s="47"/>
      <c r="F159" s="43" t="str">
        <f>①会員名簿マスタ!F159</f>
        <v>澤藤成穂</v>
      </c>
      <c r="G159" s="15">
        <v>3000</v>
      </c>
      <c r="H159" s="79">
        <v>45851</v>
      </c>
      <c r="I159" s="45"/>
      <c r="J159" s="119"/>
      <c r="K159" s="56"/>
    </row>
    <row r="160" spans="1:11" s="1" customFormat="1" ht="15" customHeight="1">
      <c r="A160" s="40">
        <f t="shared" si="5"/>
        <v>158</v>
      </c>
      <c r="B160" s="40">
        <f>①会員名簿マスタ!B160</f>
        <v>2</v>
      </c>
      <c r="C160" s="40">
        <f>①会員名簿マスタ!C160</f>
        <v>10</v>
      </c>
      <c r="D160" s="42">
        <f t="shared" si="4"/>
        <v>8</v>
      </c>
      <c r="E160" s="42"/>
      <c r="F160" s="43" t="str">
        <f>①会員名簿マスタ!F160</f>
        <v>中島京子</v>
      </c>
      <c r="G160" s="15">
        <v>3000</v>
      </c>
      <c r="H160" s="79">
        <v>45851</v>
      </c>
      <c r="I160" s="45"/>
      <c r="J160" s="119"/>
      <c r="K160" s="56"/>
    </row>
    <row r="161" spans="1:11" s="1" customFormat="1" ht="15" customHeight="1">
      <c r="A161" s="40">
        <f t="shared" si="5"/>
        <v>159</v>
      </c>
      <c r="B161" s="40">
        <f>①会員名簿マスタ!B161</f>
        <v>2</v>
      </c>
      <c r="C161" s="40">
        <f>①会員名簿マスタ!C161</f>
        <v>10</v>
      </c>
      <c r="D161" s="42">
        <f t="shared" si="4"/>
        <v>9</v>
      </c>
      <c r="E161" s="42"/>
      <c r="F161" s="43" t="str">
        <f>①会員名簿マスタ!F161</f>
        <v>軍司由利子</v>
      </c>
      <c r="G161" s="15">
        <v>3000</v>
      </c>
      <c r="H161" s="79">
        <v>45851</v>
      </c>
      <c r="I161" s="45"/>
      <c r="J161" s="119"/>
      <c r="K161" s="56"/>
    </row>
    <row r="162" spans="1:11" s="1" customFormat="1" ht="15" customHeight="1">
      <c r="A162" s="40">
        <f t="shared" si="5"/>
        <v>160</v>
      </c>
      <c r="B162" s="40">
        <f>①会員名簿マスタ!B162</f>
        <v>2</v>
      </c>
      <c r="C162" s="40">
        <f>①会員名簿マスタ!C162</f>
        <v>10</v>
      </c>
      <c r="D162" s="42">
        <f t="shared" si="4"/>
        <v>10</v>
      </c>
      <c r="E162" s="42"/>
      <c r="F162" s="43" t="str">
        <f>①会員名簿マスタ!F162</f>
        <v>内田純久</v>
      </c>
      <c r="G162" s="15">
        <v>3000</v>
      </c>
      <c r="H162" s="79">
        <v>45851</v>
      </c>
      <c r="I162" s="45"/>
      <c r="J162" s="119"/>
      <c r="K162" s="56"/>
    </row>
    <row r="163" spans="1:11" s="1" customFormat="1" ht="15" customHeight="1">
      <c r="A163" s="40">
        <f t="shared" si="5"/>
        <v>161</v>
      </c>
      <c r="B163" s="40">
        <f>①会員名簿マスタ!B163</f>
        <v>2</v>
      </c>
      <c r="C163" s="40">
        <f>①会員名簿マスタ!C163</f>
        <v>10</v>
      </c>
      <c r="D163" s="42">
        <f t="shared" si="4"/>
        <v>11</v>
      </c>
      <c r="E163" s="42"/>
      <c r="F163" s="43" t="str">
        <f>①会員名簿マスタ!F163</f>
        <v>稲葉政志</v>
      </c>
      <c r="G163" s="67"/>
      <c r="H163" s="79">
        <v>45851</v>
      </c>
      <c r="I163" s="45"/>
      <c r="J163" s="119"/>
      <c r="K163" s="56"/>
    </row>
    <row r="164" spans="1:11" s="1" customFormat="1" ht="15" customHeight="1">
      <c r="A164" s="40">
        <f t="shared" si="5"/>
        <v>162</v>
      </c>
      <c r="B164" s="41">
        <f>①会員名簿マスタ!B164</f>
        <v>2</v>
      </c>
      <c r="C164" s="41">
        <f>①会員名簿マスタ!C164</f>
        <v>11</v>
      </c>
      <c r="D164" s="42">
        <f t="shared" si="4"/>
        <v>1</v>
      </c>
      <c r="E164" s="42"/>
      <c r="F164" s="43" t="str">
        <f>①会員名簿マスタ!F164</f>
        <v>赤荻忠幸</v>
      </c>
      <c r="G164" s="15">
        <v>3000</v>
      </c>
      <c r="H164" s="79">
        <v>45851</v>
      </c>
      <c r="I164" s="45"/>
      <c r="J164" s="119"/>
      <c r="K164" s="56"/>
    </row>
    <row r="165" spans="1:11" s="1" customFormat="1" ht="15" customHeight="1">
      <c r="A165" s="40">
        <f t="shared" si="5"/>
        <v>163</v>
      </c>
      <c r="B165" s="40">
        <f>①会員名簿マスタ!B165</f>
        <v>2</v>
      </c>
      <c r="C165" s="40">
        <f>①会員名簿マスタ!C165</f>
        <v>11</v>
      </c>
      <c r="D165" s="42">
        <f t="shared" si="4"/>
        <v>2</v>
      </c>
      <c r="E165" s="47"/>
      <c r="F165" s="43" t="str">
        <f>①会員名簿マスタ!F165</f>
        <v>山下信子</v>
      </c>
      <c r="G165" s="15">
        <v>2000</v>
      </c>
      <c r="H165" s="79">
        <v>45851</v>
      </c>
      <c r="I165" s="45"/>
      <c r="J165" s="119"/>
      <c r="K165" s="56"/>
    </row>
    <row r="166" spans="1:11" s="1" customFormat="1" ht="15" customHeight="1">
      <c r="A166" s="40">
        <f t="shared" si="5"/>
        <v>164</v>
      </c>
      <c r="B166" s="40">
        <f>①会員名簿マスタ!B166</f>
        <v>2</v>
      </c>
      <c r="C166" s="40">
        <f>①会員名簿マスタ!C166</f>
        <v>11</v>
      </c>
      <c r="D166" s="42">
        <f t="shared" si="4"/>
        <v>3</v>
      </c>
      <c r="E166" s="50" t="s">
        <v>381</v>
      </c>
      <c r="F166" s="43" t="str">
        <f>①会員名簿マスタ!F166</f>
        <v>伊藤一樹</v>
      </c>
      <c r="G166" s="15">
        <v>3000</v>
      </c>
      <c r="H166" s="79">
        <v>45851</v>
      </c>
      <c r="I166" s="45"/>
      <c r="J166" s="119"/>
      <c r="K166" s="56"/>
    </row>
    <row r="167" spans="1:11" s="1" customFormat="1" ht="15" customHeight="1">
      <c r="A167" s="40">
        <f t="shared" si="5"/>
        <v>165</v>
      </c>
      <c r="B167" s="40">
        <f>①会員名簿マスタ!B167</f>
        <v>2</v>
      </c>
      <c r="C167" s="40">
        <f>①会員名簿マスタ!C167</f>
        <v>11</v>
      </c>
      <c r="D167" s="42">
        <f t="shared" si="4"/>
        <v>4</v>
      </c>
      <c r="E167" s="42"/>
      <c r="F167" s="43" t="str">
        <f>①会員名簿マスタ!F167</f>
        <v>志田武</v>
      </c>
      <c r="G167" s="15">
        <v>2000</v>
      </c>
      <c r="H167" s="79">
        <v>45851</v>
      </c>
      <c r="I167" s="45"/>
      <c r="J167" s="119"/>
      <c r="K167" s="56"/>
    </row>
    <row r="168" spans="1:11" s="1" customFormat="1" ht="15" customHeight="1">
      <c r="A168" s="40">
        <f t="shared" si="5"/>
        <v>166</v>
      </c>
      <c r="B168" s="111">
        <f>①会員名簿マスタ!B168</f>
        <v>2</v>
      </c>
      <c r="C168" s="111">
        <f>①会員名簿マスタ!C168</f>
        <v>11</v>
      </c>
      <c r="D168" s="42">
        <f>IF(AND(B166=B168,C166=C168),D166+1,1)</f>
        <v>4</v>
      </c>
      <c r="E168" s="42"/>
      <c r="F168" s="43" t="str">
        <f>①会員名簿マスタ!F168</f>
        <v>熊本義明</v>
      </c>
      <c r="G168" s="15">
        <v>3000</v>
      </c>
      <c r="H168" s="79">
        <v>45851</v>
      </c>
      <c r="I168" s="45"/>
      <c r="J168" s="117"/>
      <c r="K168" s="56"/>
    </row>
    <row r="169" spans="1:11" s="1" customFormat="1" ht="15" customHeight="1">
      <c r="A169" s="40">
        <f t="shared" si="5"/>
        <v>167</v>
      </c>
      <c r="B169" s="40">
        <f>①会員名簿マスタ!B169</f>
        <v>2</v>
      </c>
      <c r="C169" s="40">
        <f>①会員名簿マスタ!C169</f>
        <v>11</v>
      </c>
      <c r="D169" s="42">
        <f t="shared" si="4"/>
        <v>5</v>
      </c>
      <c r="E169" s="42"/>
      <c r="F169" s="43" t="str">
        <f>①会員名簿マスタ!F169</f>
        <v>三橋眞弓</v>
      </c>
      <c r="G169" s="15">
        <v>3000</v>
      </c>
      <c r="H169" s="79">
        <v>45851</v>
      </c>
      <c r="I169" s="45"/>
      <c r="J169" s="115"/>
      <c r="K169" s="56"/>
    </row>
    <row r="170" spans="1:11" s="1" customFormat="1" ht="15" customHeight="1">
      <c r="A170" s="40">
        <f t="shared" si="5"/>
        <v>168</v>
      </c>
      <c r="B170" s="40">
        <f>①会員名簿マスタ!B170</f>
        <v>2</v>
      </c>
      <c r="C170" s="40">
        <f>①会員名簿マスタ!C170</f>
        <v>11</v>
      </c>
      <c r="D170" s="42">
        <f t="shared" si="4"/>
        <v>6</v>
      </c>
      <c r="E170" s="42"/>
      <c r="F170" s="43" t="str">
        <f>①会員名簿マスタ!F170</f>
        <v>山田つるゑ</v>
      </c>
      <c r="G170" s="15">
        <v>3000</v>
      </c>
      <c r="H170" s="79">
        <v>45851</v>
      </c>
      <c r="I170" s="45"/>
      <c r="J170" s="119"/>
      <c r="K170" s="56"/>
    </row>
    <row r="171" spans="1:11" s="1" customFormat="1" ht="15" customHeight="1">
      <c r="A171" s="40">
        <f t="shared" si="5"/>
        <v>169</v>
      </c>
      <c r="B171" s="40">
        <f>①会員名簿マスタ!B171</f>
        <v>2</v>
      </c>
      <c r="C171" s="40">
        <f>①会員名簿マスタ!C171</f>
        <v>11</v>
      </c>
      <c r="D171" s="42">
        <f t="shared" si="4"/>
        <v>7</v>
      </c>
      <c r="E171" s="42"/>
      <c r="F171" s="43" t="str">
        <f>①会員名簿マスタ!F171</f>
        <v>渡邊俊郎</v>
      </c>
      <c r="G171" s="15">
        <v>3000</v>
      </c>
      <c r="H171" s="79">
        <v>45851</v>
      </c>
      <c r="I171" s="45"/>
      <c r="J171" s="115"/>
      <c r="K171" s="56"/>
    </row>
    <row r="172" spans="1:11" s="1" customFormat="1" ht="15" customHeight="1">
      <c r="A172" s="40">
        <f t="shared" si="5"/>
        <v>170</v>
      </c>
      <c r="B172" s="40">
        <f>①会員名簿マスタ!B172</f>
        <v>2</v>
      </c>
      <c r="C172" s="40">
        <f>①会員名簿マスタ!C172</f>
        <v>11</v>
      </c>
      <c r="D172" s="42">
        <f t="shared" si="4"/>
        <v>8</v>
      </c>
      <c r="E172" s="42"/>
      <c r="F172" s="43" t="str">
        <f>①会員名簿マスタ!F172</f>
        <v>松村和彦</v>
      </c>
      <c r="G172" s="15">
        <v>10000</v>
      </c>
      <c r="H172" s="79">
        <v>45851</v>
      </c>
      <c r="I172" s="45"/>
      <c r="J172" s="119"/>
      <c r="K172" s="56"/>
    </row>
    <row r="173" spans="1:11" s="1" customFormat="1" ht="15" customHeight="1">
      <c r="A173" s="40">
        <f t="shared" si="5"/>
        <v>171</v>
      </c>
      <c r="B173" s="40">
        <f>①会員名簿マスタ!B173</f>
        <v>2</v>
      </c>
      <c r="C173" s="40">
        <f>①会員名簿マスタ!C173</f>
        <v>11</v>
      </c>
      <c r="D173" s="42">
        <f t="shared" si="4"/>
        <v>9</v>
      </c>
      <c r="E173" s="42"/>
      <c r="F173" s="43" t="str">
        <f>①会員名簿マスタ!F173</f>
        <v>Mr.Fesus &amp; Mrs.Claudia</v>
      </c>
      <c r="G173" s="67"/>
      <c r="H173" s="79">
        <v>45851</v>
      </c>
      <c r="I173" s="45"/>
      <c r="J173" s="119"/>
      <c r="K173" s="56"/>
    </row>
    <row r="174" spans="1:11" s="1" customFormat="1" ht="15" customHeight="1">
      <c r="A174" s="40">
        <f t="shared" si="5"/>
        <v>172</v>
      </c>
      <c r="B174" s="41">
        <f>①会員名簿マスタ!B174</f>
        <v>2</v>
      </c>
      <c r="C174" s="41">
        <f>①会員名簿マスタ!C174</f>
        <v>12</v>
      </c>
      <c r="D174" s="42">
        <f t="shared" si="4"/>
        <v>1</v>
      </c>
      <c r="E174" s="47"/>
      <c r="F174" s="43" t="str">
        <f>①会員名簿マスタ!F174</f>
        <v>宮川雅之</v>
      </c>
      <c r="G174" s="15">
        <v>3000</v>
      </c>
      <c r="H174" s="79">
        <v>45851</v>
      </c>
      <c r="I174" s="45"/>
      <c r="J174" s="117"/>
      <c r="K174" s="56"/>
    </row>
    <row r="175" spans="1:11" s="1" customFormat="1" ht="15" customHeight="1">
      <c r="A175" s="40">
        <f t="shared" si="5"/>
        <v>173</v>
      </c>
      <c r="B175" s="40">
        <f>①会員名簿マスタ!B175</f>
        <v>2</v>
      </c>
      <c r="C175" s="40">
        <f>①会員名簿マスタ!C175</f>
        <v>12</v>
      </c>
      <c r="D175" s="42">
        <f t="shared" si="4"/>
        <v>2</v>
      </c>
      <c r="E175" s="50" t="s">
        <v>381</v>
      </c>
      <c r="F175" s="43" t="str">
        <f>①会員名簿マスタ!F175</f>
        <v>中島祐子</v>
      </c>
      <c r="G175" s="16">
        <v>1000</v>
      </c>
      <c r="H175" s="79">
        <v>45851</v>
      </c>
      <c r="I175" s="45"/>
      <c r="J175" s="119"/>
      <c r="K175" s="56"/>
    </row>
    <row r="176" spans="1:11" s="1" customFormat="1" ht="15" customHeight="1">
      <c r="A176" s="40">
        <f t="shared" si="5"/>
        <v>174</v>
      </c>
      <c r="B176" s="40">
        <f>①会員名簿マスタ!B176</f>
        <v>2</v>
      </c>
      <c r="C176" s="40">
        <f>①会員名簿マスタ!C176</f>
        <v>12</v>
      </c>
      <c r="D176" s="42">
        <f t="shared" si="4"/>
        <v>3</v>
      </c>
      <c r="E176" s="47"/>
      <c r="F176" s="43" t="str">
        <f>①会員名簿マスタ!F176</f>
        <v>西田裕亮</v>
      </c>
      <c r="G176" s="15">
        <v>2000</v>
      </c>
      <c r="H176" s="79">
        <v>45851</v>
      </c>
      <c r="I176" s="45"/>
      <c r="J176" s="119"/>
      <c r="K176" s="56"/>
    </row>
    <row r="177" spans="1:11" s="1" customFormat="1" ht="15" customHeight="1">
      <c r="A177" s="40">
        <f t="shared" si="5"/>
        <v>175</v>
      </c>
      <c r="B177" s="40">
        <f>①会員名簿マスタ!B177</f>
        <v>2</v>
      </c>
      <c r="C177" s="40">
        <f>①会員名簿マスタ!C177</f>
        <v>12</v>
      </c>
      <c r="D177" s="42">
        <f t="shared" si="4"/>
        <v>4</v>
      </c>
      <c r="E177" s="42"/>
      <c r="F177" s="43" t="str">
        <f>①会員名簿マスタ!F177</f>
        <v>菅原憲治</v>
      </c>
      <c r="G177" s="15">
        <v>3000</v>
      </c>
      <c r="H177" s="79">
        <v>45851</v>
      </c>
      <c r="I177" s="43"/>
      <c r="J177" s="119"/>
      <c r="K177" s="56"/>
    </row>
    <row r="178" spans="1:11" s="1" customFormat="1" ht="15" customHeight="1">
      <c r="A178" s="40">
        <f t="shared" si="5"/>
        <v>176</v>
      </c>
      <c r="B178" s="111">
        <f>①会員名簿マスタ!B178</f>
        <v>2</v>
      </c>
      <c r="C178" s="111">
        <f>①会員名簿マスタ!C178</f>
        <v>12</v>
      </c>
      <c r="D178" s="42">
        <f t="shared" si="4"/>
        <v>5</v>
      </c>
      <c r="E178" s="42"/>
      <c r="F178" s="43" t="str">
        <f>①会員名簿マスタ!F178</f>
        <v>三浦豊治</v>
      </c>
      <c r="G178" s="15">
        <v>2000</v>
      </c>
      <c r="H178" s="79">
        <v>45851</v>
      </c>
      <c r="I178" s="45"/>
      <c r="J178" s="119"/>
      <c r="K178" s="56"/>
    </row>
    <row r="179" spans="1:11" s="1" customFormat="1" ht="15" customHeight="1">
      <c r="A179" s="40">
        <f t="shared" si="5"/>
        <v>177</v>
      </c>
      <c r="B179" s="40">
        <f>①会員名簿マスタ!B179</f>
        <v>2</v>
      </c>
      <c r="C179" s="40">
        <f>①会員名簿マスタ!C179</f>
        <v>12</v>
      </c>
      <c r="D179" s="42">
        <f t="shared" si="4"/>
        <v>6</v>
      </c>
      <c r="E179" s="47"/>
      <c r="F179" s="43" t="str">
        <f>①会員名簿マスタ!F179</f>
        <v>水内美治</v>
      </c>
      <c r="G179" s="16">
        <v>1000</v>
      </c>
      <c r="H179" s="79">
        <v>45851</v>
      </c>
      <c r="I179" s="45"/>
      <c r="J179" s="119"/>
      <c r="K179" s="56"/>
    </row>
    <row r="180" spans="1:11" s="1" customFormat="1" ht="15" customHeight="1">
      <c r="A180" s="40">
        <f t="shared" si="5"/>
        <v>178</v>
      </c>
      <c r="B180" s="40">
        <f>①会員名簿マスタ!B180</f>
        <v>2</v>
      </c>
      <c r="C180" s="40">
        <f>①会員名簿マスタ!C180</f>
        <v>12</v>
      </c>
      <c r="D180" s="42">
        <f t="shared" si="4"/>
        <v>7</v>
      </c>
      <c r="E180" s="47"/>
      <c r="F180" s="43" t="str">
        <f>①会員名簿マスタ!F180</f>
        <v>長沼千賀子</v>
      </c>
      <c r="G180" s="15">
        <v>2000</v>
      </c>
      <c r="H180" s="79">
        <v>45851</v>
      </c>
      <c r="I180" s="45"/>
      <c r="J180" s="119"/>
      <c r="K180" s="56"/>
    </row>
    <row r="181" spans="1:11" s="1" customFormat="1" ht="15" customHeight="1">
      <c r="A181" s="40">
        <f t="shared" si="5"/>
        <v>179</v>
      </c>
      <c r="B181" s="40">
        <f>①会員名簿マスタ!B181</f>
        <v>2</v>
      </c>
      <c r="C181" s="40">
        <f>①会員名簿マスタ!C181</f>
        <v>12</v>
      </c>
      <c r="D181" s="42">
        <f t="shared" si="4"/>
        <v>8</v>
      </c>
      <c r="E181" s="42"/>
      <c r="F181" s="43" t="str">
        <f>①会員名簿マスタ!F181</f>
        <v>中原真一</v>
      </c>
      <c r="G181" s="15">
        <v>2000</v>
      </c>
      <c r="H181" s="79">
        <v>45851</v>
      </c>
      <c r="I181" s="45"/>
      <c r="J181" s="115"/>
      <c r="K181" s="56"/>
    </row>
    <row r="182" spans="1:11" s="1" customFormat="1" ht="15" customHeight="1">
      <c r="A182" s="40">
        <f t="shared" si="5"/>
        <v>180</v>
      </c>
      <c r="B182" s="40">
        <f>①会員名簿マスタ!B182</f>
        <v>2</v>
      </c>
      <c r="C182" s="40">
        <f>①会員名簿マスタ!C182</f>
        <v>12</v>
      </c>
      <c r="D182" s="42">
        <f t="shared" si="4"/>
        <v>9</v>
      </c>
      <c r="E182" s="42"/>
      <c r="F182" s="43" t="str">
        <f>①会員名簿マスタ!F182</f>
        <v>菅野吉幸</v>
      </c>
      <c r="G182" s="15">
        <v>5000</v>
      </c>
      <c r="H182" s="79">
        <v>45851</v>
      </c>
      <c r="I182" s="45"/>
      <c r="J182" s="117"/>
      <c r="K182" s="56"/>
    </row>
    <row r="183" spans="1:11">
      <c r="F183" s="3" t="s">
        <v>436</v>
      </c>
      <c r="G183" s="17">
        <f>SUM(G3:G182)</f>
        <v>537000</v>
      </c>
      <c r="H183" s="17"/>
    </row>
    <row r="184" spans="1:11" hidden="1">
      <c r="F184" s="3" t="s">
        <v>508</v>
      </c>
      <c r="G184" s="12">
        <v>3000</v>
      </c>
    </row>
    <row r="185" spans="1:11" hidden="1">
      <c r="F185" s="3" t="s">
        <v>212</v>
      </c>
      <c r="G185" s="17">
        <f>G183-G184</f>
        <v>534000</v>
      </c>
      <c r="H185" s="17"/>
    </row>
    <row r="187" spans="1:11">
      <c r="F187" s="3" t="s">
        <v>511</v>
      </c>
      <c r="G187" s="80">
        <f>SUMIFS(G$3:G$182,H$3:H$182,H187)</f>
        <v>537000</v>
      </c>
      <c r="H187" s="79">
        <v>45851</v>
      </c>
    </row>
  </sheetData>
  <autoFilter ref="G1:G183" xr:uid="{4227C83D-A7D6-45B2-8B0D-3C2813ED720E}"/>
  <mergeCells count="1">
    <mergeCell ref="A1:H1"/>
  </mergeCells>
  <phoneticPr fontId="1"/>
  <printOptions horizontalCentered="1" verticalCentered="1"/>
  <pageMargins left="1.1023622047244095" right="0.98425196850393704" top="0.98425196850393704" bottom="0.98425196850393704" header="0.51181102362204722" footer="0.51181102362204722"/>
  <pageSetup paperSize="9" fitToHeight="4" orientation="portrait" r:id="rId1"/>
  <headerFooter>
    <oddHeader>&amp;C&amp;A</oddHeader>
    <oddFooter>&amp;L&amp;"ＭＳ Ｐゴシック,標準"&amp;K000000&amp;Z&amp;F&amp;C&amp;"ＭＳ Ｐゴシック,標準"&amp;K000000&amp;P／&amp;N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76ADD-A028-453B-B0AC-DC64BC688772}">
  <dimension ref="A1:E253"/>
  <sheetViews>
    <sheetView tabSelected="1" view="pageBreakPreview" topLeftCell="A230" zoomScale="60" zoomScaleNormal="70" workbookViewId="0">
      <selection activeCell="G14" sqref="G14"/>
    </sheetView>
  </sheetViews>
  <sheetFormatPr defaultRowHeight="17.25"/>
  <cols>
    <col min="1" max="1" width="10.625" style="18" customWidth="1"/>
    <col min="2" max="2" width="43.125" style="18" customWidth="1"/>
    <col min="3" max="3" width="16.375" style="20" bestFit="1" customWidth="1"/>
    <col min="4" max="4" width="7.25" style="18" customWidth="1"/>
    <col min="5" max="16384" width="9" style="18"/>
  </cols>
  <sheetData>
    <row r="1" spans="1:5" ht="57.75" customHeight="1">
      <c r="A1" s="69"/>
      <c r="B1" s="70" t="s">
        <v>480</v>
      </c>
      <c r="C1" s="38"/>
      <c r="D1" s="19"/>
    </row>
    <row r="2" spans="1:5" ht="57.75" customHeight="1">
      <c r="A2" s="71" t="s">
        <v>585</v>
      </c>
      <c r="B2" s="39"/>
      <c r="C2" s="38" t="s">
        <v>439</v>
      </c>
      <c r="D2" s="19"/>
    </row>
    <row r="3" spans="1:5" s="22" customFormat="1" ht="30" customHeight="1">
      <c r="A3" s="21" t="s">
        <v>437</v>
      </c>
      <c r="B3" s="21" t="s">
        <v>441</v>
      </c>
      <c r="C3" s="21" t="s">
        <v>438</v>
      </c>
    </row>
    <row r="4" spans="1:5" s="26" customFormat="1" ht="30" customHeight="1">
      <c r="A4" s="24">
        <v>1</v>
      </c>
      <c r="B4" s="23" t="s">
        <v>175</v>
      </c>
      <c r="C4" s="24"/>
      <c r="D4" s="30"/>
    </row>
    <row r="5" spans="1:5" s="26" customFormat="1" ht="30" customHeight="1">
      <c r="A5" s="24">
        <f>COUNTA(A$4:A4)+1</f>
        <v>2</v>
      </c>
      <c r="B5" s="23" t="s">
        <v>376</v>
      </c>
      <c r="C5" s="24"/>
      <c r="D5" s="30"/>
    </row>
    <row r="6" spans="1:5" s="26" customFormat="1" ht="30" customHeight="1">
      <c r="A6" s="24">
        <f>COUNTA(A$4:A5)+1</f>
        <v>3</v>
      </c>
      <c r="B6" s="23" t="s">
        <v>176</v>
      </c>
      <c r="C6" s="24"/>
      <c r="D6" s="30"/>
    </row>
    <row r="7" spans="1:5" s="26" customFormat="1" ht="30" customHeight="1">
      <c r="A7" s="24">
        <f>COUNTA(A$4:A6)+1</f>
        <v>4</v>
      </c>
      <c r="B7" s="23" t="s">
        <v>177</v>
      </c>
      <c r="C7" s="24"/>
      <c r="D7" s="30"/>
    </row>
    <row r="8" spans="1:5" s="26" customFormat="1" ht="30" customHeight="1">
      <c r="A8" s="24">
        <f>COUNTA(A$4:A7)+1</f>
        <v>5</v>
      </c>
      <c r="B8" s="27" t="s">
        <v>178</v>
      </c>
      <c r="C8" s="28"/>
      <c r="D8" s="31"/>
    </row>
    <row r="9" spans="1:5" s="26" customFormat="1" ht="30" customHeight="1">
      <c r="A9" s="72"/>
      <c r="B9" s="74" t="s">
        <v>332</v>
      </c>
      <c r="C9" s="75"/>
      <c r="D9" s="31"/>
    </row>
    <row r="10" spans="1:5" s="26" customFormat="1" ht="30" customHeight="1">
      <c r="A10" s="24">
        <f>COUNTA(A$4:A9)+1</f>
        <v>6</v>
      </c>
      <c r="B10" s="27" t="s">
        <v>179</v>
      </c>
      <c r="C10" s="28"/>
      <c r="D10" s="31"/>
    </row>
    <row r="11" spans="1:5" s="26" customFormat="1" ht="30" customHeight="1">
      <c r="A11" s="24">
        <f>COUNTA(A$4:A10)+1</f>
        <v>7</v>
      </c>
      <c r="B11" s="27" t="s">
        <v>180</v>
      </c>
      <c r="C11" s="28"/>
      <c r="D11" s="31"/>
    </row>
    <row r="12" spans="1:5" s="26" customFormat="1" ht="30" customHeight="1">
      <c r="A12" s="24">
        <f>COUNTA(A$4:A11)+1</f>
        <v>8</v>
      </c>
      <c r="B12" s="27" t="s">
        <v>329</v>
      </c>
      <c r="C12" s="28"/>
      <c r="D12" s="31"/>
      <c r="E12" s="26">
        <f>A12</f>
        <v>8</v>
      </c>
    </row>
    <row r="13" spans="1:5" ht="57.75" customHeight="1">
      <c r="A13" s="69"/>
      <c r="B13" s="70" t="s">
        <v>481</v>
      </c>
      <c r="C13" s="38"/>
      <c r="D13" s="19"/>
    </row>
    <row r="14" spans="1:5" ht="57.75" customHeight="1">
      <c r="A14" s="71" t="s">
        <v>586</v>
      </c>
      <c r="B14" s="39"/>
      <c r="C14" s="38" t="s">
        <v>439</v>
      </c>
      <c r="D14" s="19"/>
    </row>
    <row r="15" spans="1:5" s="22" customFormat="1" ht="30" customHeight="1">
      <c r="A15" s="21" t="s">
        <v>437</v>
      </c>
      <c r="B15" s="21" t="str">
        <f>$B$3</f>
        <v>奉納者</v>
      </c>
      <c r="C15" s="21" t="s">
        <v>438</v>
      </c>
    </row>
    <row r="16" spans="1:5" s="26" customFormat="1" ht="30" customHeight="1">
      <c r="A16" s="24">
        <v>1</v>
      </c>
      <c r="B16" s="23" t="s">
        <v>181</v>
      </c>
      <c r="C16" s="24"/>
      <c r="D16" s="25"/>
    </row>
    <row r="17" spans="1:5" s="26" customFormat="1" ht="30" customHeight="1">
      <c r="A17" s="24">
        <f>COUNTA(A$16:A16)+1</f>
        <v>2</v>
      </c>
      <c r="B17" s="23" t="s">
        <v>282</v>
      </c>
      <c r="C17" s="24"/>
      <c r="D17" s="25"/>
    </row>
    <row r="18" spans="1:5" s="26" customFormat="1" ht="30" customHeight="1">
      <c r="A18" s="24">
        <f>COUNTA(A$16:A17)+1</f>
        <v>3</v>
      </c>
      <c r="B18" s="23" t="s">
        <v>182</v>
      </c>
      <c r="C18" s="24"/>
      <c r="D18" s="25"/>
    </row>
    <row r="19" spans="1:5" s="26" customFormat="1" ht="30" customHeight="1">
      <c r="A19" s="24">
        <f>COUNTA(A$16:A18)+1</f>
        <v>4</v>
      </c>
      <c r="B19" s="23" t="s">
        <v>183</v>
      </c>
      <c r="C19" s="24"/>
      <c r="D19" s="25"/>
    </row>
    <row r="20" spans="1:5" s="26" customFormat="1" ht="30" customHeight="1">
      <c r="A20" s="24">
        <f>COUNTA(A$16:A19)+1</f>
        <v>5</v>
      </c>
      <c r="B20" s="23" t="s">
        <v>184</v>
      </c>
      <c r="C20" s="24"/>
      <c r="D20" s="25"/>
    </row>
    <row r="21" spans="1:5" s="26" customFormat="1" ht="30" customHeight="1">
      <c r="A21" s="72"/>
      <c r="B21" s="73" t="s">
        <v>322</v>
      </c>
      <c r="C21" s="72"/>
      <c r="D21" s="25"/>
    </row>
    <row r="22" spans="1:5" s="26" customFormat="1" ht="30" customHeight="1">
      <c r="A22" s="24">
        <f>COUNTA(A$16:A21)+1</f>
        <v>6</v>
      </c>
      <c r="B22" s="23" t="s">
        <v>327</v>
      </c>
      <c r="C22" s="24"/>
      <c r="D22" s="25"/>
    </row>
    <row r="23" spans="1:5" s="26" customFormat="1" ht="30" customHeight="1">
      <c r="A23" s="24">
        <f>COUNTA(A$16:A22)+1</f>
        <v>7</v>
      </c>
      <c r="B23" s="23" t="s">
        <v>587</v>
      </c>
      <c r="C23" s="24"/>
      <c r="D23" s="25"/>
      <c r="E23" s="26">
        <f>A23</f>
        <v>7</v>
      </c>
    </row>
    <row r="24" spans="1:5" ht="57.75" customHeight="1">
      <c r="A24" s="69"/>
      <c r="B24" s="70" t="s">
        <v>482</v>
      </c>
      <c r="C24" s="38"/>
      <c r="D24" s="19"/>
    </row>
    <row r="25" spans="1:5" ht="57.75" customHeight="1">
      <c r="A25" s="71" t="s">
        <v>594</v>
      </c>
      <c r="B25" s="39"/>
      <c r="C25" s="38" t="s">
        <v>439</v>
      </c>
      <c r="D25" s="19"/>
    </row>
    <row r="26" spans="1:5" s="22" customFormat="1" ht="30" customHeight="1">
      <c r="A26" s="21" t="s">
        <v>437</v>
      </c>
      <c r="B26" s="21" t="str">
        <f>$B$3</f>
        <v>奉納者</v>
      </c>
      <c r="C26" s="21" t="s">
        <v>438</v>
      </c>
    </row>
    <row r="27" spans="1:5" s="26" customFormat="1" ht="30" customHeight="1">
      <c r="A27" s="24">
        <v>1</v>
      </c>
      <c r="B27" s="23" t="s">
        <v>190</v>
      </c>
      <c r="C27" s="24"/>
      <c r="D27" s="25"/>
    </row>
    <row r="28" spans="1:5" s="26" customFormat="1" ht="30" customHeight="1">
      <c r="A28" s="24">
        <f>COUNTA(A$27:A27)+1</f>
        <v>2</v>
      </c>
      <c r="B28" s="23" t="s">
        <v>341</v>
      </c>
      <c r="C28" s="24"/>
      <c r="D28" s="25"/>
    </row>
    <row r="29" spans="1:5" s="26" customFormat="1" ht="30" customHeight="1">
      <c r="A29" s="24">
        <f>COUNTA(A$27:A28)+1</f>
        <v>3</v>
      </c>
      <c r="B29" s="23" t="s">
        <v>283</v>
      </c>
      <c r="C29" s="24"/>
      <c r="D29" s="25"/>
    </row>
    <row r="30" spans="1:5" s="26" customFormat="1" ht="30" customHeight="1">
      <c r="A30" s="24">
        <f>COUNTA(A$27:A29)+1</f>
        <v>4</v>
      </c>
      <c r="B30" s="23" t="s">
        <v>191</v>
      </c>
      <c r="C30" s="24"/>
      <c r="D30" s="25"/>
    </row>
    <row r="31" spans="1:5" s="26" customFormat="1" ht="30" customHeight="1">
      <c r="A31" s="24">
        <f>COUNTA(A$27:A30)+1</f>
        <v>5</v>
      </c>
      <c r="B31" s="23" t="s">
        <v>192</v>
      </c>
      <c r="C31" s="24"/>
      <c r="D31" s="25"/>
    </row>
    <row r="32" spans="1:5" s="26" customFormat="1" ht="30" customHeight="1">
      <c r="A32" s="24">
        <f>COUNTA(A$27:A31)+1</f>
        <v>6</v>
      </c>
      <c r="B32" s="23" t="s">
        <v>371</v>
      </c>
      <c r="C32" s="24"/>
      <c r="D32" s="25"/>
    </row>
    <row r="33" spans="1:5" s="26" customFormat="1" ht="30" customHeight="1">
      <c r="A33" s="24">
        <f>COUNTA(A$27:A32)+1</f>
        <v>7</v>
      </c>
      <c r="B33" s="23" t="s">
        <v>193</v>
      </c>
      <c r="C33" s="24"/>
      <c r="D33" s="25"/>
    </row>
    <row r="34" spans="1:5" s="26" customFormat="1" ht="30" customHeight="1">
      <c r="A34" s="24">
        <f>COUNTA(A$27:A33)+1</f>
        <v>8</v>
      </c>
      <c r="B34" s="23" t="s">
        <v>280</v>
      </c>
      <c r="C34" s="24"/>
      <c r="D34" s="25"/>
      <c r="E34" s="26">
        <f>A34</f>
        <v>8</v>
      </c>
    </row>
    <row r="35" spans="1:5" ht="57.75" customHeight="1">
      <c r="A35" s="69"/>
      <c r="B35" s="70" t="s">
        <v>483</v>
      </c>
      <c r="C35" s="38"/>
      <c r="D35" s="19"/>
    </row>
    <row r="36" spans="1:5" ht="57.75" customHeight="1">
      <c r="A36" s="71" t="s">
        <v>593</v>
      </c>
      <c r="B36" s="39"/>
      <c r="C36" s="38" t="s">
        <v>439</v>
      </c>
      <c r="D36" s="19"/>
    </row>
    <row r="37" spans="1:5" s="22" customFormat="1" ht="30" customHeight="1">
      <c r="A37" s="21" t="s">
        <v>437</v>
      </c>
      <c r="B37" s="21" t="str">
        <f>$B$3</f>
        <v>奉納者</v>
      </c>
      <c r="C37" s="21" t="s">
        <v>438</v>
      </c>
    </row>
    <row r="38" spans="1:5" s="26" customFormat="1" ht="30" customHeight="1">
      <c r="A38" s="24">
        <v>1</v>
      </c>
      <c r="B38" s="23" t="s">
        <v>615</v>
      </c>
      <c r="C38" s="24"/>
      <c r="D38" s="25"/>
    </row>
    <row r="39" spans="1:5" s="26" customFormat="1" ht="30" customHeight="1">
      <c r="A39" s="24">
        <f>COUNTA(A$38:A38)+1</f>
        <v>2</v>
      </c>
      <c r="B39" s="125" t="s">
        <v>194</v>
      </c>
      <c r="C39" s="24"/>
      <c r="D39" s="25"/>
    </row>
    <row r="40" spans="1:5" s="26" customFormat="1" ht="30" customHeight="1">
      <c r="A40" s="24">
        <f>COUNTA(A$38:A39)+1</f>
        <v>3</v>
      </c>
      <c r="B40" s="23" t="s">
        <v>195</v>
      </c>
      <c r="C40" s="24"/>
      <c r="D40" s="25"/>
    </row>
    <row r="41" spans="1:5" s="26" customFormat="1" ht="30" customHeight="1">
      <c r="A41" s="24">
        <f>COUNTA(A$38:A40)+1</f>
        <v>4</v>
      </c>
      <c r="B41" s="23" t="s">
        <v>196</v>
      </c>
      <c r="C41" s="24"/>
      <c r="D41" s="25"/>
    </row>
    <row r="42" spans="1:5" s="26" customFormat="1" ht="30" customHeight="1">
      <c r="A42" s="24">
        <f>COUNTA(A$38:A41)+1</f>
        <v>5</v>
      </c>
      <c r="B42" s="23" t="s">
        <v>197</v>
      </c>
      <c r="C42" s="24"/>
      <c r="D42" s="25"/>
    </row>
    <row r="43" spans="1:5" s="26" customFormat="1" ht="30" customHeight="1">
      <c r="A43" s="24">
        <f>COUNTA(A$38:A42)+1</f>
        <v>6</v>
      </c>
      <c r="B43" s="32" t="s">
        <v>358</v>
      </c>
      <c r="C43" s="33"/>
      <c r="D43" s="34"/>
      <c r="E43" s="26">
        <f>A43</f>
        <v>6</v>
      </c>
    </row>
    <row r="44" spans="1:5" ht="57.75" customHeight="1">
      <c r="A44" s="69"/>
      <c r="B44" s="70" t="s">
        <v>484</v>
      </c>
      <c r="C44" s="38"/>
      <c r="D44" s="19"/>
    </row>
    <row r="45" spans="1:5" ht="57.75" customHeight="1">
      <c r="A45" s="71" t="s">
        <v>592</v>
      </c>
      <c r="B45" s="39"/>
      <c r="C45" s="38" t="s">
        <v>439</v>
      </c>
      <c r="D45" s="19"/>
    </row>
    <row r="46" spans="1:5" s="22" customFormat="1" ht="30" customHeight="1">
      <c r="A46" s="21" t="s">
        <v>437</v>
      </c>
      <c r="B46" s="21" t="str">
        <f>$B$3</f>
        <v>奉納者</v>
      </c>
      <c r="C46" s="21" t="s">
        <v>438</v>
      </c>
    </row>
    <row r="47" spans="1:5" s="26" customFormat="1" ht="30" customHeight="1">
      <c r="A47" s="24">
        <v>1</v>
      </c>
      <c r="B47" s="32" t="s">
        <v>339</v>
      </c>
      <c r="C47" s="33"/>
      <c r="D47" s="34"/>
    </row>
    <row r="48" spans="1:5" s="26" customFormat="1" ht="30" customHeight="1">
      <c r="A48" s="24">
        <f>COUNTA(A$47:A47)+1</f>
        <v>2</v>
      </c>
      <c r="B48" s="32" t="s">
        <v>198</v>
      </c>
      <c r="C48" s="33"/>
      <c r="D48" s="34"/>
    </row>
    <row r="49" spans="1:5" s="26" customFormat="1" ht="30" customHeight="1">
      <c r="A49" s="24">
        <f>COUNTA(A$47:A48)+1</f>
        <v>3</v>
      </c>
      <c r="B49" s="32" t="s">
        <v>199</v>
      </c>
      <c r="C49" s="33"/>
      <c r="D49" s="34"/>
      <c r="E49" s="26">
        <f>A49</f>
        <v>3</v>
      </c>
    </row>
    <row r="50" spans="1:5" ht="57.75" customHeight="1">
      <c r="A50" s="69"/>
      <c r="B50" s="70" t="s">
        <v>485</v>
      </c>
      <c r="C50" s="38"/>
      <c r="D50" s="19"/>
    </row>
    <row r="51" spans="1:5" ht="57.75" customHeight="1">
      <c r="A51" s="71" t="s">
        <v>591</v>
      </c>
      <c r="B51" s="39"/>
      <c r="C51" s="38" t="s">
        <v>439</v>
      </c>
      <c r="D51" s="19"/>
    </row>
    <row r="52" spans="1:5" s="22" customFormat="1" ht="30" customHeight="1">
      <c r="A52" s="21" t="s">
        <v>437</v>
      </c>
      <c r="B52" s="21" t="str">
        <f>$B$3</f>
        <v>奉納者</v>
      </c>
      <c r="C52" s="21" t="s">
        <v>438</v>
      </c>
    </row>
    <row r="53" spans="1:5" s="26" customFormat="1" ht="30" customHeight="1">
      <c r="A53" s="24">
        <v>1</v>
      </c>
      <c r="B53" s="32" t="s">
        <v>200</v>
      </c>
      <c r="C53" s="33"/>
      <c r="D53" s="34"/>
    </row>
    <row r="54" spans="1:5" s="26" customFormat="1" ht="30" customHeight="1">
      <c r="A54" s="24">
        <f>COUNTA(A$53:A53)+1</f>
        <v>2</v>
      </c>
      <c r="B54" s="32" t="s">
        <v>201</v>
      </c>
      <c r="C54" s="33"/>
      <c r="D54" s="34"/>
    </row>
    <row r="55" spans="1:5" s="26" customFormat="1" ht="30" customHeight="1">
      <c r="A55" s="24">
        <f>COUNTA(A$53:A54)+1</f>
        <v>3</v>
      </c>
      <c r="B55" s="32" t="s">
        <v>202</v>
      </c>
      <c r="C55" s="33"/>
      <c r="D55" s="34"/>
    </row>
    <row r="56" spans="1:5" s="26" customFormat="1" ht="30" customHeight="1">
      <c r="A56" s="24">
        <f>COUNTA(A$53:A55)+1</f>
        <v>4</v>
      </c>
      <c r="B56" s="32" t="s">
        <v>350</v>
      </c>
      <c r="C56" s="33"/>
      <c r="D56" s="34"/>
    </row>
    <row r="57" spans="1:5" s="26" customFormat="1" ht="30" customHeight="1">
      <c r="A57" s="24">
        <f>COUNTA(A$53:A56)+1</f>
        <v>5</v>
      </c>
      <c r="B57" s="32" t="s">
        <v>359</v>
      </c>
      <c r="C57" s="33"/>
      <c r="D57" s="34"/>
    </row>
    <row r="58" spans="1:5" s="26" customFormat="1" ht="30" customHeight="1">
      <c r="A58" s="24">
        <f>COUNTA(A$53:A57)+1</f>
        <v>6</v>
      </c>
      <c r="B58" s="32" t="s">
        <v>588</v>
      </c>
      <c r="C58" s="33"/>
      <c r="D58" s="34"/>
    </row>
    <row r="59" spans="1:5" s="26" customFormat="1" ht="30" customHeight="1">
      <c r="A59" s="24">
        <f>COUNTA(A$53:A58)+1</f>
        <v>7</v>
      </c>
      <c r="B59" s="32" t="s">
        <v>589</v>
      </c>
      <c r="C59" s="33"/>
      <c r="D59" s="34"/>
      <c r="E59" s="26">
        <f>A59</f>
        <v>7</v>
      </c>
    </row>
    <row r="60" spans="1:5" ht="57.75" customHeight="1">
      <c r="A60" s="69"/>
      <c r="B60" s="70" t="s">
        <v>486</v>
      </c>
      <c r="C60" s="38"/>
      <c r="D60" s="19"/>
    </row>
    <row r="61" spans="1:5" ht="57.75" customHeight="1">
      <c r="A61" s="71" t="s">
        <v>590</v>
      </c>
      <c r="B61" s="39"/>
      <c r="C61" s="38" t="s">
        <v>439</v>
      </c>
      <c r="D61" s="19"/>
    </row>
    <row r="62" spans="1:5" s="22" customFormat="1" ht="30" customHeight="1">
      <c r="A62" s="21" t="s">
        <v>437</v>
      </c>
      <c r="B62" s="21" t="str">
        <f>$B$3</f>
        <v>奉納者</v>
      </c>
      <c r="C62" s="21" t="s">
        <v>438</v>
      </c>
    </row>
    <row r="63" spans="1:5" s="26" customFormat="1" ht="30" customHeight="1">
      <c r="A63" s="24">
        <v>1</v>
      </c>
      <c r="B63" s="23" t="s">
        <v>203</v>
      </c>
      <c r="C63" s="24"/>
      <c r="D63" s="25"/>
    </row>
    <row r="64" spans="1:5" s="26" customFormat="1" ht="30" customHeight="1">
      <c r="A64" s="24">
        <f>COUNTA(A$63:A63)+1</f>
        <v>2</v>
      </c>
      <c r="B64" s="23" t="s">
        <v>204</v>
      </c>
      <c r="C64" s="24"/>
      <c r="D64" s="25"/>
    </row>
    <row r="65" spans="1:5" s="26" customFormat="1" ht="30" customHeight="1">
      <c r="A65" s="24">
        <f>COUNTA(A$63:A64)+1</f>
        <v>3</v>
      </c>
      <c r="B65" s="23" t="s">
        <v>388</v>
      </c>
      <c r="C65" s="24"/>
      <c r="D65" s="25"/>
    </row>
    <row r="66" spans="1:5" s="26" customFormat="1" ht="30" customHeight="1">
      <c r="A66" s="24">
        <f>COUNTA(A$63:A65)+1</f>
        <v>4</v>
      </c>
      <c r="B66" s="23" t="s">
        <v>205</v>
      </c>
      <c r="C66" s="24"/>
      <c r="D66" s="25"/>
    </row>
    <row r="67" spans="1:5" s="26" customFormat="1" ht="30" customHeight="1">
      <c r="A67" s="24">
        <f>COUNTA(A$63:A66)+1</f>
        <v>5</v>
      </c>
      <c r="B67" s="23" t="s">
        <v>398</v>
      </c>
      <c r="C67" s="24"/>
      <c r="D67" s="25"/>
      <c r="E67" s="26">
        <f>A67</f>
        <v>5</v>
      </c>
    </row>
    <row r="68" spans="1:5" ht="57.75" customHeight="1">
      <c r="A68" s="69"/>
      <c r="B68" s="70" t="s">
        <v>487</v>
      </c>
      <c r="C68" s="38"/>
      <c r="D68" s="19"/>
    </row>
    <row r="69" spans="1:5" ht="57.75" customHeight="1">
      <c r="A69" s="71" t="s">
        <v>595</v>
      </c>
      <c r="B69" s="39"/>
      <c r="C69" s="38" t="s">
        <v>439</v>
      </c>
      <c r="D69" s="19"/>
    </row>
    <row r="70" spans="1:5" s="22" customFormat="1" ht="30" customHeight="1">
      <c r="A70" s="21" t="s">
        <v>437</v>
      </c>
      <c r="B70" s="21" t="str">
        <f>$B$3</f>
        <v>奉納者</v>
      </c>
      <c r="C70" s="21" t="s">
        <v>438</v>
      </c>
    </row>
    <row r="71" spans="1:5" s="26" customFormat="1" ht="30" customHeight="1">
      <c r="A71" s="24">
        <v>1</v>
      </c>
      <c r="B71" s="23" t="s">
        <v>206</v>
      </c>
      <c r="C71" s="24"/>
      <c r="D71" s="25"/>
    </row>
    <row r="72" spans="1:5" s="26" customFormat="1" ht="30" customHeight="1">
      <c r="A72" s="24">
        <f>COUNTA(A$71:A71)+1</f>
        <v>2</v>
      </c>
      <c r="B72" s="125" t="s">
        <v>337</v>
      </c>
      <c r="C72" s="24"/>
      <c r="D72" s="25"/>
    </row>
    <row r="73" spans="1:5" s="26" customFormat="1" ht="30" customHeight="1">
      <c r="A73" s="24">
        <f>COUNTA(A$71:A72)+1</f>
        <v>3</v>
      </c>
      <c r="B73" s="23" t="s">
        <v>207</v>
      </c>
      <c r="C73" s="24"/>
      <c r="D73" s="25"/>
    </row>
    <row r="74" spans="1:5" s="26" customFormat="1" ht="30" customHeight="1">
      <c r="A74" s="72"/>
      <c r="B74" s="73" t="s">
        <v>208</v>
      </c>
      <c r="C74" s="72"/>
      <c r="D74" s="25"/>
    </row>
    <row r="75" spans="1:5" s="26" customFormat="1" ht="30" customHeight="1">
      <c r="A75" s="24">
        <f>COUNTA(A$71:A74)+1</f>
        <v>4</v>
      </c>
      <c r="B75" s="23" t="s">
        <v>507</v>
      </c>
      <c r="C75" s="24"/>
      <c r="D75" s="25"/>
    </row>
    <row r="76" spans="1:5" s="26" customFormat="1" ht="30" customHeight="1">
      <c r="A76" s="24">
        <f>COUNTA(A$71:A75)+1</f>
        <v>5</v>
      </c>
      <c r="B76" s="23" t="s">
        <v>342</v>
      </c>
      <c r="C76" s="24"/>
      <c r="D76" s="25"/>
    </row>
    <row r="77" spans="1:5" s="26" customFormat="1" ht="30" customHeight="1">
      <c r="A77" s="24">
        <f>COUNTA(A$71:A76)+1</f>
        <v>6</v>
      </c>
      <c r="B77" s="23" t="s">
        <v>314</v>
      </c>
      <c r="C77" s="24"/>
      <c r="D77" s="25"/>
      <c r="E77" s="26">
        <f>A77</f>
        <v>6</v>
      </c>
    </row>
    <row r="78" spans="1:5" ht="57.75" customHeight="1">
      <c r="A78" s="69"/>
      <c r="B78" s="70" t="s">
        <v>488</v>
      </c>
      <c r="C78" s="38"/>
      <c r="D78" s="19"/>
    </row>
    <row r="79" spans="1:5" ht="57.75" customHeight="1">
      <c r="A79" s="71" t="s">
        <v>596</v>
      </c>
      <c r="B79" s="39"/>
      <c r="C79" s="38" t="s">
        <v>439</v>
      </c>
      <c r="D79" s="19"/>
    </row>
    <row r="80" spans="1:5" s="22" customFormat="1" ht="30" customHeight="1">
      <c r="A80" s="21" t="s">
        <v>437</v>
      </c>
      <c r="B80" s="21" t="str">
        <f>$B$3</f>
        <v>奉納者</v>
      </c>
      <c r="C80" s="21" t="s">
        <v>438</v>
      </c>
    </row>
    <row r="81" spans="1:5" s="35" customFormat="1" ht="30" customHeight="1">
      <c r="A81" s="24">
        <v>1</v>
      </c>
      <c r="B81" s="125" t="s">
        <v>209</v>
      </c>
      <c r="C81" s="24"/>
      <c r="D81" s="25"/>
      <c r="E81" s="35" t="s">
        <v>478</v>
      </c>
    </row>
    <row r="82" spans="1:5" s="35" customFormat="1" ht="30" customHeight="1">
      <c r="A82" s="72"/>
      <c r="B82" s="127" t="s">
        <v>597</v>
      </c>
      <c r="C82" s="72"/>
      <c r="D82" s="36"/>
    </row>
    <row r="83" spans="1:5" s="35" customFormat="1" ht="30" customHeight="1">
      <c r="A83" s="72"/>
      <c r="B83" s="76" t="s">
        <v>389</v>
      </c>
      <c r="C83" s="72"/>
      <c r="D83" s="37"/>
    </row>
    <row r="84" spans="1:5" s="35" customFormat="1" ht="30" customHeight="1">
      <c r="A84" s="24">
        <f>COUNTA(A$81:A83)+1</f>
        <v>2</v>
      </c>
      <c r="B84" s="23" t="s">
        <v>210</v>
      </c>
      <c r="C84" s="24"/>
      <c r="D84" s="25"/>
    </row>
    <row r="85" spans="1:5" s="35" customFormat="1" ht="30" customHeight="1">
      <c r="A85" s="24">
        <f>COUNTA(A$81:A84)+1</f>
        <v>3</v>
      </c>
      <c r="B85" s="23" t="s">
        <v>211</v>
      </c>
      <c r="C85" s="24"/>
      <c r="D85" s="25"/>
    </row>
    <row r="86" spans="1:5" s="35" customFormat="1" ht="30" customHeight="1">
      <c r="A86" s="24">
        <f>COUNTA(A$81:A85)+1</f>
        <v>4</v>
      </c>
      <c r="B86" s="23" t="s">
        <v>212</v>
      </c>
      <c r="C86" s="24"/>
      <c r="D86" s="25"/>
    </row>
    <row r="87" spans="1:5" s="35" customFormat="1" ht="30" customHeight="1">
      <c r="A87" s="72"/>
      <c r="B87" s="73" t="s">
        <v>394</v>
      </c>
      <c r="C87" s="72"/>
      <c r="D87" s="25"/>
    </row>
    <row r="88" spans="1:5" s="35" customFormat="1" ht="30" customHeight="1">
      <c r="A88" s="24">
        <f>COUNTA(A$81:A87)+1</f>
        <v>5</v>
      </c>
      <c r="B88" s="23" t="s">
        <v>356</v>
      </c>
      <c r="C88" s="24"/>
      <c r="D88" s="25"/>
      <c r="E88" s="26">
        <f>A88</f>
        <v>5</v>
      </c>
    </row>
    <row r="89" spans="1:5" s="35" customFormat="1" ht="30" customHeight="1">
      <c r="A89" s="72"/>
      <c r="B89" s="73" t="s">
        <v>489</v>
      </c>
      <c r="C89" s="72"/>
      <c r="D89" s="25"/>
      <c r="E89" s="26"/>
    </row>
    <row r="90" spans="1:5" ht="57.75" customHeight="1">
      <c r="A90" s="69"/>
      <c r="B90" s="70" t="s">
        <v>490</v>
      </c>
      <c r="C90" s="38"/>
      <c r="D90" s="19"/>
    </row>
    <row r="91" spans="1:5" ht="57.75" customHeight="1">
      <c r="A91" s="71" t="s">
        <v>598</v>
      </c>
      <c r="B91" s="39"/>
      <c r="C91" s="38" t="s">
        <v>439</v>
      </c>
      <c r="D91" s="19"/>
    </row>
    <row r="92" spans="1:5" s="22" customFormat="1" ht="30" customHeight="1">
      <c r="A92" s="21" t="s">
        <v>437</v>
      </c>
      <c r="B92" s="21" t="str">
        <f>$B$3</f>
        <v>奉納者</v>
      </c>
      <c r="C92" s="21" t="s">
        <v>438</v>
      </c>
    </row>
    <row r="93" spans="1:5" s="26" customFormat="1" ht="30" customHeight="1">
      <c r="A93" s="72"/>
      <c r="B93" s="73" t="s">
        <v>333</v>
      </c>
      <c r="C93" s="72"/>
      <c r="D93" s="25"/>
    </row>
    <row r="94" spans="1:5" s="26" customFormat="1" ht="30" customHeight="1">
      <c r="A94" s="24">
        <v>1</v>
      </c>
      <c r="B94" s="23" t="s">
        <v>372</v>
      </c>
      <c r="C94" s="24"/>
      <c r="D94" s="25"/>
    </row>
    <row r="95" spans="1:5" s="26" customFormat="1" ht="30" customHeight="1">
      <c r="A95" s="24">
        <f>COUNTA(A$94:A94)+1</f>
        <v>2</v>
      </c>
      <c r="B95" s="23" t="s">
        <v>340</v>
      </c>
      <c r="C95" s="24"/>
      <c r="D95" s="25"/>
    </row>
    <row r="96" spans="1:5" s="26" customFormat="1" ht="30" customHeight="1">
      <c r="A96" s="24">
        <f>COUNTA(A$94:A95)+1</f>
        <v>3</v>
      </c>
      <c r="B96" s="23" t="s">
        <v>213</v>
      </c>
      <c r="C96" s="24"/>
      <c r="D96" s="25"/>
      <c r="E96" s="26">
        <f>A96</f>
        <v>3</v>
      </c>
    </row>
    <row r="97" spans="1:5" ht="57.75" customHeight="1">
      <c r="A97" s="69"/>
      <c r="B97" s="70" t="s">
        <v>491</v>
      </c>
      <c r="C97" s="38"/>
      <c r="D97" s="19"/>
    </row>
    <row r="98" spans="1:5" ht="57.75" customHeight="1">
      <c r="A98" s="71" t="s">
        <v>599</v>
      </c>
      <c r="B98" s="39"/>
      <c r="C98" s="38" t="s">
        <v>439</v>
      </c>
      <c r="D98" s="19"/>
    </row>
    <row r="99" spans="1:5" s="22" customFormat="1" ht="30" customHeight="1">
      <c r="A99" s="21" t="s">
        <v>437</v>
      </c>
      <c r="B99" s="21" t="str">
        <f>$B$3</f>
        <v>奉納者</v>
      </c>
      <c r="C99" s="21" t="s">
        <v>438</v>
      </c>
    </row>
    <row r="100" spans="1:5" s="26" customFormat="1" ht="30" customHeight="1">
      <c r="A100" s="128">
        <v>1</v>
      </c>
      <c r="B100" s="23" t="s">
        <v>214</v>
      </c>
      <c r="C100" s="24"/>
      <c r="D100" s="25"/>
    </row>
    <row r="101" spans="1:5" s="26" customFormat="1" ht="30" customHeight="1">
      <c r="A101" s="128">
        <f>COUNTA(A$100:A100)+1</f>
        <v>2</v>
      </c>
      <c r="B101" s="23" t="s">
        <v>316</v>
      </c>
      <c r="C101" s="24"/>
      <c r="D101" s="25"/>
    </row>
    <row r="102" spans="1:5" s="26" customFormat="1" ht="30" customHeight="1">
      <c r="A102" s="128">
        <f>COUNTA(A$100:A101)+1</f>
        <v>3</v>
      </c>
      <c r="B102" s="23" t="s">
        <v>215</v>
      </c>
      <c r="C102" s="24"/>
      <c r="D102" s="25"/>
    </row>
    <row r="103" spans="1:5" s="26" customFormat="1" ht="30" customHeight="1">
      <c r="A103" s="126"/>
      <c r="B103" s="73" t="s">
        <v>432</v>
      </c>
      <c r="C103" s="72"/>
      <c r="D103" s="25"/>
    </row>
    <row r="104" spans="1:5" s="26" customFormat="1" ht="30" customHeight="1">
      <c r="A104" s="128">
        <f>COUNTA(A$100:A103)+1</f>
        <v>4</v>
      </c>
      <c r="B104" s="23" t="s">
        <v>614</v>
      </c>
      <c r="C104" s="24"/>
      <c r="D104" s="25"/>
    </row>
    <row r="105" spans="1:5" s="26" customFormat="1" ht="30" customHeight="1">
      <c r="A105" s="128">
        <f>COUNTA(A$100:A104)+1</f>
        <v>5</v>
      </c>
      <c r="B105" s="23" t="s">
        <v>216</v>
      </c>
      <c r="C105" s="24"/>
      <c r="D105" s="25"/>
    </row>
    <row r="106" spans="1:5" s="26" customFormat="1" ht="30" customHeight="1">
      <c r="A106" s="128">
        <f>COUNTA(A$100:A105)+1</f>
        <v>6</v>
      </c>
      <c r="B106" s="23" t="s">
        <v>217</v>
      </c>
      <c r="C106" s="24"/>
      <c r="D106" s="25"/>
    </row>
    <row r="107" spans="1:5" s="26" customFormat="1" ht="30" customHeight="1">
      <c r="A107" s="128">
        <f>COUNTA(A$100:A106)+1</f>
        <v>7</v>
      </c>
      <c r="B107" s="23" t="s">
        <v>218</v>
      </c>
      <c r="C107" s="24"/>
      <c r="D107" s="25"/>
    </row>
    <row r="108" spans="1:5" s="26" customFormat="1" ht="30" customHeight="1">
      <c r="A108" s="128">
        <f>COUNTA(A$100:A107)+1</f>
        <v>8</v>
      </c>
      <c r="B108" s="23" t="s">
        <v>219</v>
      </c>
      <c r="C108" s="24"/>
      <c r="D108" s="25"/>
      <c r="E108" s="26">
        <f>A108</f>
        <v>8</v>
      </c>
    </row>
    <row r="109" spans="1:5" ht="57.75" customHeight="1">
      <c r="A109" s="69"/>
      <c r="B109" s="70" t="s">
        <v>492</v>
      </c>
      <c r="C109" s="38"/>
      <c r="D109" s="19"/>
    </row>
    <row r="110" spans="1:5" ht="57.75" customHeight="1">
      <c r="A110" s="71" t="s">
        <v>600</v>
      </c>
      <c r="B110" s="39"/>
      <c r="C110" s="38" t="s">
        <v>439</v>
      </c>
      <c r="D110" s="19"/>
    </row>
    <row r="111" spans="1:5" s="22" customFormat="1" ht="30" customHeight="1">
      <c r="A111" s="21" t="s">
        <v>437</v>
      </c>
      <c r="B111" s="21" t="str">
        <f>$B$3</f>
        <v>奉納者</v>
      </c>
      <c r="C111" s="21" t="s">
        <v>438</v>
      </c>
    </row>
    <row r="112" spans="1:5" s="26" customFormat="1" ht="30" customHeight="1">
      <c r="A112" s="24">
        <v>1</v>
      </c>
      <c r="B112" s="23" t="s">
        <v>220</v>
      </c>
      <c r="C112" s="24"/>
      <c r="D112" s="25"/>
    </row>
    <row r="113" spans="1:5" s="26" customFormat="1" ht="30" customHeight="1">
      <c r="A113" s="24">
        <f>COUNTA(A$112:A112)+1</f>
        <v>2</v>
      </c>
      <c r="B113" s="23" t="s">
        <v>343</v>
      </c>
      <c r="C113" s="24"/>
      <c r="D113" s="25"/>
    </row>
    <row r="114" spans="1:5" s="26" customFormat="1" ht="30" customHeight="1">
      <c r="A114" s="24">
        <f>COUNTA(A$112:A113)+1</f>
        <v>3</v>
      </c>
      <c r="B114" s="125" t="s">
        <v>318</v>
      </c>
      <c r="C114" s="24"/>
      <c r="D114" s="25"/>
    </row>
    <row r="115" spans="1:5" s="26" customFormat="1" ht="30" customHeight="1">
      <c r="A115" s="24">
        <f>COUNTA(A$112:A114)+1</f>
        <v>4</v>
      </c>
      <c r="B115" s="23" t="s">
        <v>601</v>
      </c>
      <c r="C115" s="24"/>
      <c r="D115" s="25"/>
    </row>
    <row r="116" spans="1:5" s="26" customFormat="1" ht="30" customHeight="1">
      <c r="A116" s="24">
        <f>COUNTA(A$112:A115)+1</f>
        <v>5</v>
      </c>
      <c r="B116" s="23" t="s">
        <v>221</v>
      </c>
      <c r="C116" s="24"/>
      <c r="D116" s="25"/>
    </row>
    <row r="117" spans="1:5" s="26" customFormat="1" ht="30" customHeight="1">
      <c r="A117" s="24">
        <f>COUNTA(A$112:A116)+1</f>
        <v>6</v>
      </c>
      <c r="B117" s="23" t="s">
        <v>222</v>
      </c>
      <c r="C117" s="24"/>
      <c r="D117" s="25"/>
    </row>
    <row r="118" spans="1:5" s="26" customFormat="1" ht="30" customHeight="1">
      <c r="A118" s="24">
        <f>COUNTA(A$112:A117)+1</f>
        <v>7</v>
      </c>
      <c r="B118" s="23" t="s">
        <v>334</v>
      </c>
      <c r="C118" s="24"/>
      <c r="D118" s="25"/>
    </row>
    <row r="119" spans="1:5" s="26" customFormat="1" ht="30" customHeight="1">
      <c r="A119" s="24">
        <f>COUNTA(A$112:A118)+1</f>
        <v>8</v>
      </c>
      <c r="B119" s="23" t="s">
        <v>223</v>
      </c>
      <c r="C119" s="24"/>
      <c r="D119" s="25"/>
    </row>
    <row r="120" spans="1:5" s="26" customFormat="1" ht="30" customHeight="1">
      <c r="A120" s="24">
        <f>COUNTA(A$112:A119)+1</f>
        <v>9</v>
      </c>
      <c r="B120" s="23" t="s">
        <v>224</v>
      </c>
      <c r="C120" s="24"/>
      <c r="D120" s="25"/>
    </row>
    <row r="121" spans="1:5" s="26" customFormat="1" ht="30" customHeight="1">
      <c r="A121" s="24">
        <f>COUNTA(A$112:A120)+1</f>
        <v>10</v>
      </c>
      <c r="B121" s="23" t="s">
        <v>281</v>
      </c>
      <c r="C121" s="24"/>
      <c r="D121" s="25"/>
    </row>
    <row r="122" spans="1:5" s="26" customFormat="1" ht="30" customHeight="1">
      <c r="A122" s="24">
        <f>COUNTA(A$112:A121)+1</f>
        <v>11</v>
      </c>
      <c r="B122" s="27" t="s">
        <v>390</v>
      </c>
      <c r="C122" s="28"/>
      <c r="D122" s="29"/>
    </row>
    <row r="123" spans="1:5" s="26" customFormat="1" ht="30" customHeight="1">
      <c r="A123" s="24">
        <f>COUNTA(A$112:A122)+1</f>
        <v>12</v>
      </c>
      <c r="B123" s="27" t="s">
        <v>373</v>
      </c>
      <c r="C123" s="28"/>
      <c r="D123" s="29"/>
    </row>
    <row r="124" spans="1:5" s="26" customFormat="1" ht="30" customHeight="1">
      <c r="A124" s="24">
        <f>COUNTA(A$112:A123)+1</f>
        <v>13</v>
      </c>
      <c r="B124" s="23" t="s">
        <v>225</v>
      </c>
      <c r="C124" s="24"/>
      <c r="D124" s="25"/>
    </row>
    <row r="125" spans="1:5" s="26" customFormat="1" ht="30" customHeight="1">
      <c r="A125" s="24">
        <f>COUNTA(A$112:A124)+1</f>
        <v>14</v>
      </c>
      <c r="B125" s="23" t="s">
        <v>226</v>
      </c>
      <c r="C125" s="24"/>
      <c r="D125" s="25"/>
    </row>
    <row r="126" spans="1:5" s="26" customFormat="1" ht="30" customHeight="1">
      <c r="A126" s="24">
        <f>COUNTA(A$112:A125)+1</f>
        <v>15</v>
      </c>
      <c r="B126" s="23" t="s">
        <v>227</v>
      </c>
      <c r="C126" s="24"/>
      <c r="D126" s="25"/>
      <c r="E126" s="26">
        <f>A126</f>
        <v>15</v>
      </c>
    </row>
    <row r="127" spans="1:5" ht="57.75" customHeight="1">
      <c r="A127" s="69"/>
      <c r="B127" s="70" t="s">
        <v>493</v>
      </c>
      <c r="C127" s="38"/>
      <c r="D127" s="19"/>
    </row>
    <row r="128" spans="1:5" ht="57.75" customHeight="1">
      <c r="A128" s="71" t="s">
        <v>602</v>
      </c>
      <c r="B128" s="39"/>
      <c r="C128" s="38" t="s">
        <v>439</v>
      </c>
      <c r="D128" s="19"/>
    </row>
    <row r="129" spans="1:5" s="22" customFormat="1" ht="30" customHeight="1">
      <c r="A129" s="21" t="s">
        <v>437</v>
      </c>
      <c r="B129" s="21" t="str">
        <f>$B$3</f>
        <v>奉納者</v>
      </c>
      <c r="C129" s="21" t="s">
        <v>438</v>
      </c>
    </row>
    <row r="130" spans="1:5" s="26" customFormat="1" ht="30" customHeight="1">
      <c r="A130" s="24">
        <v>1</v>
      </c>
      <c r="B130" s="32" t="s">
        <v>407</v>
      </c>
      <c r="C130" s="33"/>
      <c r="D130" s="34"/>
    </row>
    <row r="131" spans="1:5" s="26" customFormat="1" ht="30" customHeight="1">
      <c r="A131" s="24">
        <f>COUNTA(A$130:A130)+1</f>
        <v>2</v>
      </c>
      <c r="B131" s="32" t="s">
        <v>408</v>
      </c>
      <c r="C131" s="33"/>
      <c r="D131" s="34"/>
    </row>
    <row r="132" spans="1:5" s="26" customFormat="1" ht="30" customHeight="1">
      <c r="A132" s="24">
        <f>COUNTA(A$130:A131)+1</f>
        <v>3</v>
      </c>
      <c r="B132" s="23" t="s">
        <v>228</v>
      </c>
      <c r="C132" s="24"/>
      <c r="D132" s="25"/>
    </row>
    <row r="133" spans="1:5" s="26" customFormat="1" ht="30" customHeight="1">
      <c r="A133" s="24">
        <f>COUNTA(A$130:A132)+1</f>
        <v>4</v>
      </c>
      <c r="B133" s="23" t="s">
        <v>229</v>
      </c>
      <c r="C133" s="24"/>
      <c r="D133" s="25"/>
    </row>
    <row r="134" spans="1:5" s="26" customFormat="1" ht="30" customHeight="1">
      <c r="A134" s="24">
        <f>COUNTA(A$130:A133)+1</f>
        <v>5</v>
      </c>
      <c r="B134" s="23" t="s">
        <v>307</v>
      </c>
      <c r="C134" s="24"/>
      <c r="D134" s="25"/>
    </row>
    <row r="135" spans="1:5" s="26" customFormat="1" ht="30" customHeight="1">
      <c r="A135" s="24">
        <f>COUNTA(A$130:A134)+1</f>
        <v>6</v>
      </c>
      <c r="B135" s="23" t="s">
        <v>421</v>
      </c>
      <c r="C135" s="24"/>
      <c r="D135" s="25"/>
    </row>
    <row r="136" spans="1:5" s="26" customFormat="1" ht="30" customHeight="1">
      <c r="A136" s="24">
        <f>COUNTA(A$130:A135)+1</f>
        <v>7</v>
      </c>
      <c r="B136" s="23" t="s">
        <v>494</v>
      </c>
      <c r="C136" s="24"/>
      <c r="D136" s="25"/>
      <c r="E136" s="26">
        <f>A136</f>
        <v>7</v>
      </c>
    </row>
    <row r="137" spans="1:5" ht="57.75" customHeight="1">
      <c r="A137" s="69"/>
      <c r="B137" s="70" t="s">
        <v>495</v>
      </c>
      <c r="C137" s="38"/>
      <c r="D137" s="19"/>
    </row>
    <row r="138" spans="1:5" ht="57.75" customHeight="1">
      <c r="A138" s="71" t="s">
        <v>603</v>
      </c>
      <c r="B138" s="39"/>
      <c r="C138" s="38" t="s">
        <v>439</v>
      </c>
      <c r="D138" s="19"/>
    </row>
    <row r="139" spans="1:5" s="22" customFormat="1" ht="30" customHeight="1">
      <c r="A139" s="21" t="s">
        <v>437</v>
      </c>
      <c r="B139" s="21" t="str">
        <f>$B$3</f>
        <v>奉納者</v>
      </c>
      <c r="C139" s="21" t="s">
        <v>438</v>
      </c>
    </row>
    <row r="140" spans="1:5" s="26" customFormat="1" ht="30" customHeight="1">
      <c r="A140" s="24">
        <v>1</v>
      </c>
      <c r="B140" s="23" t="s">
        <v>349</v>
      </c>
      <c r="C140" s="24"/>
      <c r="D140" s="25"/>
    </row>
    <row r="141" spans="1:5" s="26" customFormat="1" ht="30" customHeight="1">
      <c r="A141" s="24">
        <f>COUNTA(A$140:A140)+1</f>
        <v>2</v>
      </c>
      <c r="B141" s="23" t="s">
        <v>230</v>
      </c>
      <c r="C141" s="24"/>
      <c r="D141" s="25"/>
    </row>
    <row r="142" spans="1:5" s="26" customFormat="1" ht="30" customHeight="1">
      <c r="A142" s="24">
        <f>COUNTA(A$140:A141)+1</f>
        <v>3</v>
      </c>
      <c r="B142" s="23" t="s">
        <v>231</v>
      </c>
      <c r="C142" s="24"/>
      <c r="D142" s="25"/>
    </row>
    <row r="143" spans="1:5" s="26" customFormat="1" ht="30" customHeight="1">
      <c r="A143" s="24">
        <f>COUNTA(A$140:A142)+1</f>
        <v>4</v>
      </c>
      <c r="B143" s="23" t="s">
        <v>368</v>
      </c>
      <c r="C143" s="24"/>
      <c r="D143" s="25"/>
    </row>
    <row r="144" spans="1:5" s="26" customFormat="1" ht="30" customHeight="1">
      <c r="A144" s="24">
        <f>COUNTA(A$140:A143)+1</f>
        <v>5</v>
      </c>
      <c r="B144" s="23" t="s">
        <v>232</v>
      </c>
      <c r="C144" s="24"/>
      <c r="D144" s="25"/>
      <c r="E144" s="26">
        <f>A144</f>
        <v>5</v>
      </c>
    </row>
    <row r="145" spans="1:5" ht="57.75" customHeight="1">
      <c r="A145" s="69"/>
      <c r="B145" s="70" t="s">
        <v>496</v>
      </c>
      <c r="C145" s="38"/>
      <c r="D145" s="19"/>
    </row>
    <row r="146" spans="1:5" ht="57.75" customHeight="1">
      <c r="A146" s="71" t="s">
        <v>604</v>
      </c>
      <c r="B146" s="39"/>
      <c r="C146" s="38" t="s">
        <v>439</v>
      </c>
      <c r="D146" s="19"/>
    </row>
    <row r="147" spans="1:5" s="22" customFormat="1" ht="30" customHeight="1">
      <c r="A147" s="21" t="s">
        <v>437</v>
      </c>
      <c r="B147" s="21" t="str">
        <f>$B$3</f>
        <v>奉納者</v>
      </c>
      <c r="C147" s="21" t="s">
        <v>438</v>
      </c>
    </row>
    <row r="148" spans="1:5" s="26" customFormat="1" ht="30" customHeight="1">
      <c r="A148" s="24">
        <v>1</v>
      </c>
      <c r="B148" s="23" t="s">
        <v>233</v>
      </c>
      <c r="C148" s="24"/>
      <c r="D148" s="25"/>
    </row>
    <row r="149" spans="1:5" s="26" customFormat="1" ht="30" customHeight="1">
      <c r="A149" s="24">
        <f>COUNTA(A$148:A148)+1</f>
        <v>2</v>
      </c>
      <c r="B149" s="23" t="s">
        <v>335</v>
      </c>
      <c r="C149" s="24"/>
      <c r="D149" s="25"/>
    </row>
    <row r="150" spans="1:5" s="26" customFormat="1" ht="30" customHeight="1">
      <c r="A150" s="24">
        <f>COUNTA(A$148:A149)+1</f>
        <v>3</v>
      </c>
      <c r="B150" s="32" t="s">
        <v>440</v>
      </c>
      <c r="C150" s="33"/>
      <c r="D150" s="34"/>
    </row>
    <row r="151" spans="1:5" s="26" customFormat="1" ht="30" customHeight="1">
      <c r="A151" s="72"/>
      <c r="B151" s="74" t="s">
        <v>367</v>
      </c>
      <c r="C151" s="72"/>
      <c r="D151" s="29"/>
    </row>
    <row r="152" spans="1:5" s="26" customFormat="1" ht="30" customHeight="1">
      <c r="A152" s="72"/>
      <c r="B152" s="74" t="s">
        <v>285</v>
      </c>
      <c r="C152" s="72"/>
      <c r="D152" s="29"/>
    </row>
    <row r="153" spans="1:5" s="26" customFormat="1" ht="30" customHeight="1">
      <c r="A153" s="24">
        <f>COUNTA(A$148:A152)+1</f>
        <v>4</v>
      </c>
      <c r="B153" s="23" t="s">
        <v>548</v>
      </c>
      <c r="C153" s="24"/>
      <c r="D153" s="25"/>
      <c r="E153" s="26">
        <f>A153</f>
        <v>4</v>
      </c>
    </row>
    <row r="154" spans="1:5" ht="57.75" customHeight="1">
      <c r="A154" s="69"/>
      <c r="B154" s="70" t="s">
        <v>497</v>
      </c>
      <c r="C154" s="38"/>
      <c r="D154" s="19"/>
    </row>
    <row r="155" spans="1:5" ht="57.75" customHeight="1">
      <c r="A155" s="71" t="s">
        <v>605</v>
      </c>
      <c r="B155" s="39"/>
      <c r="C155" s="38" t="s">
        <v>439</v>
      </c>
      <c r="D155" s="19"/>
    </row>
    <row r="156" spans="1:5" s="22" customFormat="1" ht="30" customHeight="1">
      <c r="A156" s="21" t="s">
        <v>437</v>
      </c>
      <c r="B156" s="21" t="str">
        <f>$B$3</f>
        <v>奉納者</v>
      </c>
      <c r="C156" s="21" t="s">
        <v>438</v>
      </c>
    </row>
    <row r="157" spans="1:5" s="26" customFormat="1" ht="30" customHeight="1">
      <c r="A157" s="24">
        <v>1</v>
      </c>
      <c r="B157" s="23" t="s">
        <v>234</v>
      </c>
      <c r="C157" s="24"/>
      <c r="D157" s="25"/>
    </row>
    <row r="158" spans="1:5" s="26" customFormat="1" ht="30" customHeight="1">
      <c r="A158" s="24">
        <f>COUNTA(A$157:A157)+1</f>
        <v>2</v>
      </c>
      <c r="B158" s="23" t="s">
        <v>235</v>
      </c>
      <c r="C158" s="24"/>
      <c r="D158" s="25"/>
    </row>
    <row r="159" spans="1:5" s="26" customFormat="1" ht="30" customHeight="1">
      <c r="A159" s="24">
        <f>COUNTA(A$157:A158)+1</f>
        <v>3</v>
      </c>
      <c r="B159" s="27" t="s">
        <v>236</v>
      </c>
      <c r="C159" s="28"/>
      <c r="D159" s="29"/>
    </row>
    <row r="160" spans="1:5" s="26" customFormat="1" ht="30" customHeight="1">
      <c r="A160" s="24">
        <f>COUNTA(A$157:A159)+1</f>
        <v>4</v>
      </c>
      <c r="B160" s="27" t="s">
        <v>309</v>
      </c>
      <c r="C160" s="28"/>
      <c r="D160" s="29"/>
    </row>
    <row r="161" spans="1:5" s="26" customFormat="1" ht="30" customHeight="1">
      <c r="A161" s="24">
        <f>COUNTA(A$157:A160)+1</f>
        <v>5</v>
      </c>
      <c r="B161" s="23" t="s">
        <v>345</v>
      </c>
      <c r="C161" s="24"/>
      <c r="D161" s="25"/>
      <c r="E161" s="26">
        <f>A161</f>
        <v>5</v>
      </c>
    </row>
    <row r="162" spans="1:5" ht="57.75" customHeight="1">
      <c r="A162" s="69"/>
      <c r="B162" s="70" t="s">
        <v>498</v>
      </c>
      <c r="C162" s="38"/>
      <c r="D162" s="19"/>
    </row>
    <row r="163" spans="1:5" ht="57.75" customHeight="1">
      <c r="A163" s="71" t="s">
        <v>606</v>
      </c>
      <c r="B163" s="39"/>
      <c r="C163" s="38" t="s">
        <v>439</v>
      </c>
      <c r="D163" s="19"/>
    </row>
    <row r="164" spans="1:5" s="22" customFormat="1" ht="30" customHeight="1">
      <c r="A164" s="21" t="s">
        <v>437</v>
      </c>
      <c r="B164" s="21" t="str">
        <f>$B$3</f>
        <v>奉納者</v>
      </c>
      <c r="C164" s="21" t="s">
        <v>438</v>
      </c>
    </row>
    <row r="165" spans="1:5" s="26" customFormat="1" ht="30" customHeight="1">
      <c r="A165" s="24">
        <v>1</v>
      </c>
      <c r="B165" s="23" t="s">
        <v>237</v>
      </c>
      <c r="C165" s="24"/>
      <c r="D165" s="25"/>
    </row>
    <row r="166" spans="1:5" s="26" customFormat="1" ht="30" customHeight="1">
      <c r="A166" s="24">
        <f>COUNTA(A$165:A165)+1</f>
        <v>2</v>
      </c>
      <c r="B166" s="23" t="s">
        <v>412</v>
      </c>
      <c r="C166" s="24"/>
      <c r="D166" s="25"/>
    </row>
    <row r="167" spans="1:5" s="26" customFormat="1" ht="30" customHeight="1">
      <c r="A167" s="24">
        <f>COUNTA(A$165:A166)+1</f>
        <v>3</v>
      </c>
      <c r="B167" s="23" t="s">
        <v>238</v>
      </c>
      <c r="C167" s="24"/>
      <c r="D167" s="25"/>
    </row>
    <row r="168" spans="1:5" s="26" customFormat="1" ht="30" customHeight="1">
      <c r="A168" s="24">
        <f>COUNTA(A$165:A167)+1</f>
        <v>4</v>
      </c>
      <c r="B168" s="23" t="s">
        <v>375</v>
      </c>
      <c r="C168" s="24"/>
      <c r="D168" s="25"/>
    </row>
    <row r="169" spans="1:5" s="26" customFormat="1" ht="30" customHeight="1">
      <c r="A169" s="24">
        <f>COUNTA(A$165:A168)+1</f>
        <v>5</v>
      </c>
      <c r="B169" s="23" t="s">
        <v>239</v>
      </c>
      <c r="C169" s="24"/>
      <c r="D169" s="25"/>
    </row>
    <row r="170" spans="1:5" s="26" customFormat="1" ht="30" customHeight="1">
      <c r="A170" s="24">
        <f>COUNTA(A$165:A169)+1</f>
        <v>6</v>
      </c>
      <c r="B170" s="23" t="s">
        <v>348</v>
      </c>
      <c r="C170" s="24"/>
      <c r="D170" s="25"/>
    </row>
    <row r="171" spans="1:5" s="26" customFormat="1" ht="30" customHeight="1">
      <c r="A171" s="24">
        <f>COUNTA(A$165:A170)+1</f>
        <v>7</v>
      </c>
      <c r="B171" s="23" t="s">
        <v>240</v>
      </c>
      <c r="C171" s="24"/>
      <c r="D171" s="25"/>
    </row>
    <row r="172" spans="1:5" s="26" customFormat="1" ht="30" customHeight="1">
      <c r="A172" s="24">
        <f>COUNTA(A$165:A171)+1</f>
        <v>8</v>
      </c>
      <c r="B172" s="23" t="s">
        <v>241</v>
      </c>
      <c r="C172" s="24"/>
      <c r="D172" s="25"/>
      <c r="E172" s="26">
        <f>A172</f>
        <v>8</v>
      </c>
    </row>
    <row r="173" spans="1:5" ht="57.75" customHeight="1">
      <c r="A173" s="69"/>
      <c r="B173" s="70" t="s">
        <v>499</v>
      </c>
      <c r="C173" s="38"/>
      <c r="D173" s="19"/>
    </row>
    <row r="174" spans="1:5" ht="57.75" customHeight="1">
      <c r="A174" s="71" t="s">
        <v>607</v>
      </c>
      <c r="B174" s="39"/>
      <c r="C174" s="38" t="s">
        <v>439</v>
      </c>
      <c r="D174" s="19"/>
    </row>
    <row r="175" spans="1:5" s="22" customFormat="1" ht="30" customHeight="1">
      <c r="A175" s="21" t="s">
        <v>437</v>
      </c>
      <c r="B175" s="21" t="str">
        <f>$B$3</f>
        <v>奉納者</v>
      </c>
      <c r="C175" s="21" t="s">
        <v>438</v>
      </c>
    </row>
    <row r="176" spans="1:5" s="26" customFormat="1" ht="30" customHeight="1">
      <c r="A176" s="24">
        <v>1</v>
      </c>
      <c r="B176" s="23" t="s">
        <v>430</v>
      </c>
      <c r="C176" s="24"/>
      <c r="D176" s="25"/>
    </row>
    <row r="177" spans="1:5" s="26" customFormat="1" ht="30" customHeight="1">
      <c r="A177" s="24">
        <f>COUNTA(A$176:A176)+1</f>
        <v>2</v>
      </c>
      <c r="B177" s="23" t="s">
        <v>242</v>
      </c>
      <c r="C177" s="24"/>
      <c r="D177" s="25"/>
    </row>
    <row r="178" spans="1:5" s="26" customFormat="1" ht="30" customHeight="1">
      <c r="A178" s="24">
        <f>COUNTA(A$176:A177)+1</f>
        <v>3</v>
      </c>
      <c r="B178" s="23" t="s">
        <v>243</v>
      </c>
      <c r="C178" s="24"/>
      <c r="D178" s="25"/>
    </row>
    <row r="179" spans="1:5" s="26" customFormat="1" ht="30" customHeight="1">
      <c r="A179" s="24">
        <f>COUNTA(A$176:A178)+1</f>
        <v>4</v>
      </c>
      <c r="B179" s="23" t="s">
        <v>245</v>
      </c>
      <c r="C179" s="24"/>
      <c r="D179" s="25"/>
    </row>
    <row r="180" spans="1:5" s="26" customFormat="1" ht="30" customHeight="1">
      <c r="A180" s="24">
        <f>COUNTA(A$176:A179)+1</f>
        <v>5</v>
      </c>
      <c r="B180" s="23" t="s">
        <v>382</v>
      </c>
      <c r="C180" s="24"/>
      <c r="D180" s="25"/>
      <c r="E180" s="26">
        <f>A180</f>
        <v>5</v>
      </c>
    </row>
    <row r="181" spans="1:5" s="26" customFormat="1" ht="30" customHeight="1">
      <c r="A181" s="72"/>
      <c r="B181" s="73" t="s">
        <v>386</v>
      </c>
      <c r="C181" s="72"/>
      <c r="D181" s="25"/>
    </row>
    <row r="182" spans="1:5" ht="57.75" customHeight="1">
      <c r="A182" s="69"/>
      <c r="B182" s="70" t="s">
        <v>500</v>
      </c>
      <c r="C182" s="38"/>
      <c r="D182" s="19"/>
    </row>
    <row r="183" spans="1:5" ht="57.75" customHeight="1">
      <c r="A183" s="71" t="s">
        <v>608</v>
      </c>
      <c r="B183" s="39"/>
      <c r="C183" s="38" t="s">
        <v>439</v>
      </c>
      <c r="D183" s="19"/>
    </row>
    <row r="184" spans="1:5" s="22" customFormat="1" ht="30" customHeight="1">
      <c r="A184" s="21" t="s">
        <v>437</v>
      </c>
      <c r="B184" s="21" t="str">
        <f>$B$3</f>
        <v>奉納者</v>
      </c>
      <c r="C184" s="21" t="s">
        <v>438</v>
      </c>
    </row>
    <row r="185" spans="1:5" s="26" customFormat="1" ht="30" customHeight="1">
      <c r="A185" s="24">
        <v>1</v>
      </c>
      <c r="B185" s="23" t="s">
        <v>246</v>
      </c>
      <c r="C185" s="24"/>
      <c r="D185" s="25"/>
    </row>
    <row r="186" spans="1:5" s="26" customFormat="1" ht="30" customHeight="1">
      <c r="A186" s="24">
        <f>COUNTA(A$185:A185)+1</f>
        <v>2</v>
      </c>
      <c r="B186" s="23" t="s">
        <v>321</v>
      </c>
      <c r="C186" s="24"/>
      <c r="D186" s="25"/>
    </row>
    <row r="187" spans="1:5" s="26" customFormat="1" ht="30" customHeight="1">
      <c r="A187" s="24">
        <f>COUNTA(A$185:A186)+1</f>
        <v>3</v>
      </c>
      <c r="B187" s="23" t="s">
        <v>247</v>
      </c>
      <c r="C187" s="24"/>
      <c r="D187" s="25"/>
    </row>
    <row r="188" spans="1:5" s="26" customFormat="1" ht="30" customHeight="1">
      <c r="A188" s="24">
        <f>COUNTA(A$185:A187)+1</f>
        <v>4</v>
      </c>
      <c r="B188" s="23" t="s">
        <v>248</v>
      </c>
      <c r="C188" s="24"/>
      <c r="D188" s="25"/>
    </row>
    <row r="189" spans="1:5" s="26" customFormat="1" ht="30" customHeight="1">
      <c r="A189" s="24">
        <f>COUNTA(A$185:A188)+1</f>
        <v>5</v>
      </c>
      <c r="B189" s="23" t="s">
        <v>286</v>
      </c>
      <c r="C189" s="24"/>
      <c r="D189" s="25"/>
    </row>
    <row r="190" spans="1:5" s="26" customFormat="1" ht="30" customHeight="1">
      <c r="A190" s="24">
        <f>COUNTA(A$185:A189)+1</f>
        <v>6</v>
      </c>
      <c r="B190" s="125" t="s">
        <v>336</v>
      </c>
      <c r="C190" s="24"/>
      <c r="D190" s="25"/>
    </row>
    <row r="191" spans="1:5" s="26" customFormat="1" ht="30" customHeight="1">
      <c r="A191" s="24">
        <f>COUNTA(A$185:A190)+1</f>
        <v>7</v>
      </c>
      <c r="B191" s="23" t="s">
        <v>346</v>
      </c>
      <c r="C191" s="24"/>
      <c r="D191" s="25"/>
    </row>
    <row r="192" spans="1:5" s="26" customFormat="1" ht="30" customHeight="1">
      <c r="A192" s="24">
        <f>COUNTA(A$185:A191)+1</f>
        <v>8</v>
      </c>
      <c r="B192" s="23" t="s">
        <v>377</v>
      </c>
      <c r="C192" s="24"/>
      <c r="D192" s="25"/>
    </row>
    <row r="193" spans="1:5" s="26" customFormat="1" ht="30" customHeight="1">
      <c r="A193" s="24">
        <f>COUNTA(A$185:A192)+1</f>
        <v>9</v>
      </c>
      <c r="B193" s="23" t="s">
        <v>414</v>
      </c>
      <c r="C193" s="24"/>
      <c r="D193" s="25"/>
      <c r="E193" s="26">
        <f>A193</f>
        <v>9</v>
      </c>
    </row>
    <row r="194" spans="1:5" ht="57.75" customHeight="1">
      <c r="A194" s="69"/>
      <c r="B194" s="70" t="s">
        <v>501</v>
      </c>
      <c r="C194" s="38"/>
      <c r="D194" s="19"/>
    </row>
    <row r="195" spans="1:5" ht="57.75" customHeight="1">
      <c r="A195" s="71" t="s">
        <v>609</v>
      </c>
      <c r="B195" s="39"/>
      <c r="C195" s="38" t="s">
        <v>439</v>
      </c>
      <c r="D195" s="19"/>
    </row>
    <row r="196" spans="1:5" s="22" customFormat="1" ht="30" customHeight="1">
      <c r="A196" s="21" t="s">
        <v>437</v>
      </c>
      <c r="B196" s="21" t="str">
        <f>$B$3</f>
        <v>奉納者</v>
      </c>
      <c r="C196" s="21" t="s">
        <v>438</v>
      </c>
    </row>
    <row r="197" spans="1:5" s="26" customFormat="1" ht="30" customHeight="1">
      <c r="A197" s="24">
        <v>1</v>
      </c>
      <c r="B197" s="23" t="s">
        <v>254</v>
      </c>
      <c r="C197" s="24"/>
      <c r="D197" s="25"/>
    </row>
    <row r="198" spans="1:5" s="26" customFormat="1" ht="30" customHeight="1">
      <c r="A198" s="24">
        <f>COUNTA(A$197:A197)+1</f>
        <v>2</v>
      </c>
      <c r="B198" s="23" t="s">
        <v>323</v>
      </c>
      <c r="C198" s="24"/>
      <c r="D198" s="25"/>
    </row>
    <row r="199" spans="1:5" s="26" customFormat="1" ht="30" customHeight="1">
      <c r="A199" s="24">
        <f>COUNTA(A$197:A198)+1</f>
        <v>3</v>
      </c>
      <c r="B199" s="23" t="s">
        <v>287</v>
      </c>
      <c r="C199" s="24"/>
      <c r="D199" s="25"/>
    </row>
    <row r="200" spans="1:5" s="26" customFormat="1" ht="30" customHeight="1">
      <c r="A200" s="24">
        <f>COUNTA(A$197:A199)+1</f>
        <v>4</v>
      </c>
      <c r="B200" s="23" t="s">
        <v>251</v>
      </c>
      <c r="C200" s="24"/>
      <c r="D200" s="25"/>
    </row>
    <row r="201" spans="1:5" s="26" customFormat="1" ht="30" customHeight="1">
      <c r="A201" s="24">
        <f>COUNTA(A$197:A200)+1</f>
        <v>5</v>
      </c>
      <c r="B201" s="23" t="s">
        <v>252</v>
      </c>
      <c r="C201" s="24"/>
      <c r="D201" s="25"/>
    </row>
    <row r="202" spans="1:5" s="26" customFormat="1" ht="30" customHeight="1">
      <c r="A202" s="24">
        <f>COUNTA(A$197:A201)+1</f>
        <v>6</v>
      </c>
      <c r="B202" s="23" t="s">
        <v>253</v>
      </c>
      <c r="C202" s="24"/>
      <c r="D202" s="25"/>
      <c r="E202" s="26">
        <f>A202</f>
        <v>6</v>
      </c>
    </row>
    <row r="203" spans="1:5" ht="57.75" customHeight="1">
      <c r="A203" s="69"/>
      <c r="B203" s="70" t="s">
        <v>502</v>
      </c>
      <c r="C203" s="38"/>
      <c r="D203" s="19"/>
    </row>
    <row r="204" spans="1:5" ht="57.75" customHeight="1">
      <c r="A204" s="71" t="s">
        <v>610</v>
      </c>
      <c r="B204" s="39"/>
      <c r="C204" s="38" t="s">
        <v>439</v>
      </c>
      <c r="D204" s="19"/>
    </row>
    <row r="205" spans="1:5" s="22" customFormat="1" ht="30" customHeight="1">
      <c r="A205" s="21" t="s">
        <v>437</v>
      </c>
      <c r="B205" s="21" t="str">
        <f>$B$3</f>
        <v>奉納者</v>
      </c>
      <c r="C205" s="21" t="s">
        <v>438</v>
      </c>
    </row>
    <row r="206" spans="1:5" s="26" customFormat="1" ht="30" customHeight="1">
      <c r="A206" s="24">
        <v>1</v>
      </c>
      <c r="B206" s="23" t="s">
        <v>250</v>
      </c>
      <c r="C206" s="24"/>
      <c r="D206" s="25"/>
    </row>
    <row r="207" spans="1:5" s="26" customFormat="1" ht="30" customHeight="1">
      <c r="A207" s="24">
        <f>COUNTA(A$206:A206)+1</f>
        <v>2</v>
      </c>
      <c r="B207" s="23" t="s">
        <v>256</v>
      </c>
      <c r="C207" s="24"/>
      <c r="D207" s="25"/>
    </row>
    <row r="208" spans="1:5" s="26" customFormat="1" ht="30" customHeight="1">
      <c r="A208" s="24">
        <f>COUNTA(A$206:A207)+1</f>
        <v>3</v>
      </c>
      <c r="B208" s="23" t="s">
        <v>255</v>
      </c>
      <c r="C208" s="24"/>
      <c r="D208" s="25"/>
    </row>
    <row r="209" spans="1:5" s="26" customFormat="1" ht="30" customHeight="1">
      <c r="A209" s="24">
        <f>COUNTA(A$206:A208)+1</f>
        <v>4</v>
      </c>
      <c r="B209" s="23" t="s">
        <v>257</v>
      </c>
      <c r="C209" s="24"/>
      <c r="D209" s="25"/>
    </row>
    <row r="210" spans="1:5" s="26" customFormat="1" ht="30" customHeight="1">
      <c r="A210" s="24">
        <f>COUNTA(A$206:A209)+1</f>
        <v>5</v>
      </c>
      <c r="B210" s="23" t="s">
        <v>249</v>
      </c>
      <c r="C210" s="24"/>
      <c r="D210" s="25"/>
    </row>
    <row r="211" spans="1:5" s="26" customFormat="1" ht="30" customHeight="1">
      <c r="A211" s="24">
        <f>COUNTA(A$206:A210)+1</f>
        <v>6</v>
      </c>
      <c r="B211" s="23" t="s">
        <v>258</v>
      </c>
      <c r="C211" s="24"/>
      <c r="D211" s="25"/>
    </row>
    <row r="212" spans="1:5" s="26" customFormat="1" ht="30" customHeight="1">
      <c r="A212" s="24">
        <f>COUNTA(A$206:A211)+1</f>
        <v>7</v>
      </c>
      <c r="B212" s="23" t="s">
        <v>244</v>
      </c>
      <c r="C212" s="24"/>
      <c r="D212" s="25"/>
    </row>
    <row r="213" spans="1:5" s="26" customFormat="1" ht="30" customHeight="1">
      <c r="A213" s="24">
        <f>COUNTA(A$206:A212)+1</f>
        <v>8</v>
      </c>
      <c r="B213" s="23" t="s">
        <v>427</v>
      </c>
      <c r="C213" s="24"/>
      <c r="D213" s="25"/>
      <c r="E213" s="26">
        <f>A213</f>
        <v>8</v>
      </c>
    </row>
    <row r="214" spans="1:5" ht="57.75" customHeight="1">
      <c r="A214" s="69"/>
      <c r="B214" s="70" t="s">
        <v>503</v>
      </c>
      <c r="C214" s="38"/>
      <c r="D214" s="19"/>
    </row>
    <row r="215" spans="1:5" ht="57.75" customHeight="1">
      <c r="A215" s="71" t="s">
        <v>611</v>
      </c>
      <c r="B215" s="39"/>
      <c r="C215" s="38" t="s">
        <v>439</v>
      </c>
      <c r="D215" s="19"/>
    </row>
    <row r="216" spans="1:5" s="22" customFormat="1" ht="30" customHeight="1">
      <c r="A216" s="21" t="s">
        <v>437</v>
      </c>
      <c r="B216" s="21" t="str">
        <f>$B$3</f>
        <v>奉納者</v>
      </c>
      <c r="C216" s="21" t="s">
        <v>438</v>
      </c>
    </row>
    <row r="217" spans="1:5" s="26" customFormat="1" ht="30" customHeight="1">
      <c r="A217" s="24">
        <v>1</v>
      </c>
      <c r="B217" s="23" t="s">
        <v>260</v>
      </c>
      <c r="C217" s="24"/>
      <c r="D217" s="25"/>
    </row>
    <row r="218" spans="1:5" s="26" customFormat="1" ht="30" customHeight="1">
      <c r="A218" s="24">
        <f>COUNTA(A$217:A217)+1</f>
        <v>2</v>
      </c>
      <c r="B218" s="32" t="s">
        <v>284</v>
      </c>
      <c r="C218" s="33"/>
      <c r="D218" s="34"/>
    </row>
    <row r="219" spans="1:5" s="26" customFormat="1" ht="30" customHeight="1">
      <c r="A219" s="24">
        <f>COUNTA(A$217:A218)+1</f>
        <v>3</v>
      </c>
      <c r="B219" s="23" t="s">
        <v>264</v>
      </c>
      <c r="C219" s="24"/>
      <c r="D219" s="25"/>
    </row>
    <row r="220" spans="1:5" s="26" customFormat="1" ht="30" customHeight="1">
      <c r="A220" s="24">
        <f>COUNTA(A$217:A219)+1</f>
        <v>4</v>
      </c>
      <c r="B220" s="23" t="s">
        <v>504</v>
      </c>
      <c r="C220" s="24"/>
      <c r="D220" s="25"/>
    </row>
    <row r="221" spans="1:5" s="26" customFormat="1" ht="30" customHeight="1">
      <c r="A221" s="24">
        <f>COUNTA(A$217:A220)+1</f>
        <v>5</v>
      </c>
      <c r="B221" s="23" t="s">
        <v>262</v>
      </c>
      <c r="C221" s="24"/>
      <c r="D221" s="25"/>
    </row>
    <row r="222" spans="1:5" s="26" customFormat="1" ht="30" customHeight="1">
      <c r="A222" s="24">
        <f>COUNTA(A$217:A221)+1</f>
        <v>6</v>
      </c>
      <c r="B222" s="125" t="s">
        <v>261</v>
      </c>
      <c r="C222" s="24"/>
      <c r="D222" s="25"/>
    </row>
    <row r="223" spans="1:5" s="26" customFormat="1" ht="30" customHeight="1">
      <c r="A223" s="24">
        <f>COUNTA(A$217:A222)+1</f>
        <v>7</v>
      </c>
      <c r="B223" s="23" t="s">
        <v>469</v>
      </c>
      <c r="C223" s="24"/>
      <c r="D223" s="25"/>
    </row>
    <row r="224" spans="1:5" s="26" customFormat="1" ht="30" customHeight="1">
      <c r="A224" s="24">
        <f>COUNTA(A$217:A223)+1</f>
        <v>8</v>
      </c>
      <c r="B224" s="23" t="s">
        <v>265</v>
      </c>
      <c r="C224" s="24"/>
      <c r="D224" s="25"/>
    </row>
    <row r="225" spans="1:5" s="26" customFormat="1" ht="30" customHeight="1">
      <c r="A225" s="24">
        <f>COUNTA(A$217:A224)+1</f>
        <v>9</v>
      </c>
      <c r="B225" s="23" t="s">
        <v>263</v>
      </c>
      <c r="C225" s="24"/>
      <c r="D225" s="25"/>
    </row>
    <row r="226" spans="1:5" s="26" customFormat="1" ht="30" customHeight="1">
      <c r="A226" s="24">
        <f>COUNTA(A$217:A225)+1</f>
        <v>10</v>
      </c>
      <c r="B226" s="23" t="s">
        <v>259</v>
      </c>
      <c r="C226" s="24"/>
      <c r="D226" s="25"/>
      <c r="E226" s="26">
        <f>A226</f>
        <v>10</v>
      </c>
    </row>
    <row r="227" spans="1:5" s="26" customFormat="1" ht="30" customHeight="1">
      <c r="A227" s="72"/>
      <c r="B227" s="73" t="s">
        <v>347</v>
      </c>
      <c r="C227" s="72"/>
      <c r="D227" s="25"/>
    </row>
    <row r="228" spans="1:5" ht="57.75" customHeight="1">
      <c r="A228" s="69"/>
      <c r="B228" s="70" t="s">
        <v>505</v>
      </c>
      <c r="C228" s="38"/>
      <c r="D228" s="19"/>
    </row>
    <row r="229" spans="1:5" ht="57.75" customHeight="1">
      <c r="A229" s="71" t="s">
        <v>612</v>
      </c>
      <c r="B229" s="39"/>
      <c r="C229" s="38" t="s">
        <v>439</v>
      </c>
      <c r="D229" s="19"/>
    </row>
    <row r="230" spans="1:5" s="22" customFormat="1" ht="30" customHeight="1">
      <c r="A230" s="21" t="s">
        <v>437</v>
      </c>
      <c r="B230" s="21" t="str">
        <f>$B$3</f>
        <v>奉納者</v>
      </c>
      <c r="C230" s="21" t="s">
        <v>438</v>
      </c>
    </row>
    <row r="231" spans="1:5" s="26" customFormat="1" ht="30" customHeight="1">
      <c r="A231" s="24">
        <v>1</v>
      </c>
      <c r="B231" s="23" t="s">
        <v>364</v>
      </c>
      <c r="C231" s="24"/>
      <c r="D231" s="25"/>
    </row>
    <row r="232" spans="1:5" s="26" customFormat="1" ht="30" customHeight="1">
      <c r="A232" s="24">
        <f>COUNTA(A$231:A231)+1</f>
        <v>2</v>
      </c>
      <c r="B232" s="23" t="s">
        <v>266</v>
      </c>
      <c r="C232" s="24"/>
      <c r="D232" s="25"/>
    </row>
    <row r="233" spans="1:5" s="26" customFormat="1" ht="30" customHeight="1">
      <c r="A233" s="24">
        <f>COUNTA(A$231:A232)+1</f>
        <v>3</v>
      </c>
      <c r="B233" s="23" t="s">
        <v>317</v>
      </c>
      <c r="C233" s="24"/>
      <c r="D233" s="25"/>
    </row>
    <row r="234" spans="1:5" s="26" customFormat="1" ht="30" customHeight="1">
      <c r="A234" s="24">
        <f>COUNTA(A$231:A233)+1</f>
        <v>4</v>
      </c>
      <c r="B234" s="23" t="s">
        <v>267</v>
      </c>
      <c r="C234" s="24"/>
      <c r="D234" s="25"/>
    </row>
    <row r="235" spans="1:5" s="26" customFormat="1" ht="30" customHeight="1">
      <c r="A235" s="24">
        <f>COUNTA(A$231:A234)+1</f>
        <v>5</v>
      </c>
      <c r="B235" s="23" t="s">
        <v>268</v>
      </c>
      <c r="C235" s="24"/>
      <c r="D235" s="25"/>
    </row>
    <row r="236" spans="1:5" s="26" customFormat="1" ht="30" customHeight="1">
      <c r="A236" s="24">
        <f>COUNTA(A$231:A235)+1</f>
        <v>6</v>
      </c>
      <c r="B236" s="23" t="s">
        <v>369</v>
      </c>
      <c r="C236" s="24"/>
      <c r="D236" s="25"/>
    </row>
    <row r="237" spans="1:5" s="26" customFormat="1" ht="30" customHeight="1">
      <c r="A237" s="24">
        <f>COUNTA(A$231:A236)+1</f>
        <v>7</v>
      </c>
      <c r="B237" s="23" t="s">
        <v>269</v>
      </c>
      <c r="C237" s="24"/>
      <c r="D237" s="25"/>
    </row>
    <row r="238" spans="1:5" s="26" customFormat="1" ht="30" customHeight="1">
      <c r="A238" s="24">
        <f>COUNTA(A$231:A237)+1</f>
        <v>8</v>
      </c>
      <c r="B238" s="23" t="s">
        <v>270</v>
      </c>
      <c r="C238" s="24"/>
      <c r="D238" s="25"/>
    </row>
    <row r="239" spans="1:5" s="26" customFormat="1" ht="30" customHeight="1">
      <c r="A239" s="24">
        <f>COUNTA(A$231:A238)+1</f>
        <v>9</v>
      </c>
      <c r="B239" s="23" t="s">
        <v>271</v>
      </c>
      <c r="C239" s="24"/>
      <c r="D239" s="25"/>
      <c r="E239" s="26">
        <f>A239</f>
        <v>9</v>
      </c>
    </row>
    <row r="240" spans="1:5" ht="57.75" customHeight="1">
      <c r="A240" s="69"/>
      <c r="B240" s="70" t="s">
        <v>506</v>
      </c>
      <c r="C240" s="38"/>
      <c r="D240" s="19"/>
    </row>
    <row r="241" spans="1:5" ht="57.75" customHeight="1">
      <c r="A241" s="71" t="s">
        <v>613</v>
      </c>
      <c r="B241" s="39"/>
      <c r="C241" s="38" t="s">
        <v>439</v>
      </c>
      <c r="D241" s="19"/>
    </row>
    <row r="242" spans="1:5" s="22" customFormat="1" ht="30" customHeight="1">
      <c r="A242" s="21" t="s">
        <v>437</v>
      </c>
      <c r="B242" s="21" t="str">
        <f>$B$3</f>
        <v>奉納者</v>
      </c>
      <c r="C242" s="21" t="s">
        <v>438</v>
      </c>
    </row>
    <row r="243" spans="1:5" s="26" customFormat="1" ht="30" customHeight="1">
      <c r="A243" s="24">
        <v>1</v>
      </c>
      <c r="B243" s="23" t="s">
        <v>397</v>
      </c>
      <c r="C243" s="24"/>
      <c r="D243" s="25"/>
    </row>
    <row r="244" spans="1:5" s="26" customFormat="1" ht="30" customHeight="1">
      <c r="A244" s="24">
        <f>COUNTA(A$243:A243)+1</f>
        <v>2</v>
      </c>
      <c r="B244" s="23" t="s">
        <v>475</v>
      </c>
      <c r="C244" s="24"/>
      <c r="D244" s="25"/>
    </row>
    <row r="245" spans="1:5" s="26" customFormat="1" ht="30" customHeight="1">
      <c r="A245" s="24">
        <f>COUNTA(A$243:A244)+1</f>
        <v>3</v>
      </c>
      <c r="B245" s="23" t="s">
        <v>324</v>
      </c>
      <c r="C245" s="24"/>
      <c r="D245" s="25"/>
    </row>
    <row r="246" spans="1:5" s="26" customFormat="1" ht="30" customHeight="1">
      <c r="A246" s="24">
        <f>COUNTA(A$243:A245)+1</f>
        <v>4</v>
      </c>
      <c r="B246" s="23" t="s">
        <v>272</v>
      </c>
      <c r="C246" s="24"/>
      <c r="D246" s="25"/>
    </row>
    <row r="247" spans="1:5" s="26" customFormat="1" ht="30" customHeight="1">
      <c r="A247" s="24">
        <f>COUNTA(A$243:A246)+1</f>
        <v>5</v>
      </c>
      <c r="B247" s="23" t="s">
        <v>273</v>
      </c>
      <c r="C247" s="24"/>
      <c r="D247" s="25"/>
    </row>
    <row r="248" spans="1:5" s="26" customFormat="1" ht="30" customHeight="1">
      <c r="A248" s="24">
        <f>COUNTA(A$243:A247)+1</f>
        <v>6</v>
      </c>
      <c r="B248" s="23" t="s">
        <v>274</v>
      </c>
      <c r="C248" s="24"/>
      <c r="D248" s="25"/>
    </row>
    <row r="249" spans="1:5" s="26" customFormat="1" ht="30" customHeight="1">
      <c r="A249" s="24">
        <f>COUNTA(A$243:A248)+1</f>
        <v>7</v>
      </c>
      <c r="B249" s="23" t="s">
        <v>275</v>
      </c>
      <c r="C249" s="24"/>
      <c r="D249" s="25"/>
    </row>
    <row r="250" spans="1:5" s="26" customFormat="1" ht="30" customHeight="1">
      <c r="A250" s="24">
        <f>COUNTA(A$243:A249)+1</f>
        <v>8</v>
      </c>
      <c r="B250" s="23" t="s">
        <v>276</v>
      </c>
      <c r="C250" s="24"/>
      <c r="D250" s="25"/>
    </row>
    <row r="251" spans="1:5" s="26" customFormat="1" ht="30" customHeight="1">
      <c r="A251" s="24">
        <f>COUNTA(A$243:A250)+1</f>
        <v>9</v>
      </c>
      <c r="B251" s="23" t="s">
        <v>277</v>
      </c>
      <c r="C251" s="24"/>
      <c r="D251" s="25"/>
      <c r="E251" s="26">
        <f>A251</f>
        <v>9</v>
      </c>
    </row>
    <row r="253" spans="1:5" s="35" customFormat="1" ht="25.5">
      <c r="C253" s="77" t="s">
        <v>435</v>
      </c>
      <c r="E253" s="35">
        <f>SUM(E2:E251)</f>
        <v>166</v>
      </c>
    </row>
  </sheetData>
  <phoneticPr fontId="1"/>
  <printOptions horizontalCentered="1" verticalCentered="1"/>
  <pageMargins left="0.70866141732283472" right="0.70866141732283472" top="0.74803149606299213" bottom="0.74803149606299213" header="0.31496062992125984" footer="0.31496062992125984"/>
  <pageSetup paperSize="11" scale="69" orientation="portrait" r:id="rId1"/>
  <headerFooter>
    <oddFooter>&amp;C&amp;16＊評議員は、「No.」列の最終番号と同数の返礼タオルを持ち帰り、
（日曜９時以降に）寄付奉納者にタオルを配布してください。
なお、本用紙は返却不要です。（※評議員が破棄してください。）</oddFooter>
  </headerFooter>
  <rowBreaks count="23" manualBreakCount="23">
    <brk id="12" max="2" man="1"/>
    <brk id="23" max="2" man="1"/>
    <brk id="34" max="2" man="1"/>
    <brk id="43" max="16383" man="1"/>
    <brk id="49" max="16383" man="1"/>
    <brk id="59" max="16383" man="1"/>
    <brk id="67" max="16383" man="1"/>
    <brk id="77" max="16383" man="1"/>
    <brk id="89" max="2" man="1"/>
    <brk id="96" max="2" man="1"/>
    <brk id="108" max="2" man="1"/>
    <brk id="126" max="2" man="1"/>
    <brk id="136" max="2" man="1"/>
    <brk id="144" max="16383" man="1"/>
    <brk id="153" max="16383" man="1"/>
    <brk id="161" max="2" man="1"/>
    <brk id="172" max="2" man="1"/>
    <brk id="181" max="2" man="1"/>
    <brk id="193" max="2" man="1"/>
    <brk id="202" max="2" man="1"/>
    <brk id="213" max="2" man="1"/>
    <brk id="227" max="2" man="1"/>
    <brk id="239" max="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6FC1-EBA6-4EE6-8641-3E8860C7E271}">
  <dimension ref="A1"/>
  <sheetViews>
    <sheetView workbookViewId="0">
      <selection activeCell="J59" sqref="J59"/>
    </sheetView>
  </sheetViews>
  <sheetFormatPr defaultRowHeight="13.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⓪作業手順メモ</vt:lpstr>
      <vt:lpstr>①会員名簿マスタ</vt:lpstr>
      <vt:lpstr>②差し込み印刷用４段</vt:lpstr>
      <vt:lpstr>⑩寄付者一覧 (班別)</vt:lpstr>
      <vt:lpstr>⑫返礼品配布用リスト（班別）</vt:lpstr>
      <vt:lpstr>⑪寄付者一覧 (金額別）</vt:lpstr>
      <vt:lpstr>①会員名簿マスタ!Print_Area</vt:lpstr>
      <vt:lpstr>'⑩寄付者一覧 (班別)'!Print_Area</vt:lpstr>
      <vt:lpstr>'⑫返礼品配布用リスト（班別）'!Print_Area</vt:lpstr>
      <vt:lpstr>①会員名簿マスタ!Print_Titles</vt:lpstr>
      <vt:lpstr>'⑩寄付者一覧 (班別)'!Print_Titles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kazuhisa</dc:creator>
  <cp:lastModifiedBy>岳 橋本</cp:lastModifiedBy>
  <cp:lastPrinted>2025-07-17T15:26:18Z</cp:lastPrinted>
  <dcterms:created xsi:type="dcterms:W3CDTF">2010-05-04T07:19:59Z</dcterms:created>
  <dcterms:modified xsi:type="dcterms:W3CDTF">2025-07-17T15:26:50Z</dcterms:modified>
</cp:coreProperties>
</file>