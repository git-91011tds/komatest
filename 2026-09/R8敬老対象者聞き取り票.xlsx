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MyWorks\komatest\2026-09\"/>
    </mc:Choice>
  </mc:AlternateContent>
  <xr:revisionPtr revIDLastSave="0" documentId="13_ncr:1_{F48E3926-B24B-4B9E-AC84-3892EB34D3C0}" xr6:coauthVersionLast="47" xr6:coauthVersionMax="47" xr10:uidLastSave="{00000000-0000-0000-0000-000000000000}"/>
  <bookViews>
    <workbookView xWindow="26820" yWindow="1356" windowWidth="19188" windowHeight="16524" tabRatio="797" activeTab="1" xr2:uid="{00000000-000D-0000-FFFF-FFFF00000000}"/>
  </bookViews>
  <sheets>
    <sheet name="マスター" sheetId="32" r:id="rId1"/>
    <sheet name="１区１班" sheetId="36" r:id="rId2"/>
    <sheet name="１区２班" sheetId="37" r:id="rId3"/>
    <sheet name="１区３班" sheetId="38" r:id="rId4"/>
    <sheet name="１区４班" sheetId="39" r:id="rId5"/>
    <sheet name="１区５班" sheetId="40" r:id="rId6"/>
    <sheet name="１区６班" sheetId="41" r:id="rId7"/>
    <sheet name="１区７班" sheetId="42" r:id="rId8"/>
    <sheet name="１区８班" sheetId="43" r:id="rId9"/>
    <sheet name="１区９班" sheetId="44" r:id="rId10"/>
    <sheet name="１区10班" sheetId="45" r:id="rId11"/>
    <sheet name="１区11班" sheetId="46" r:id="rId12"/>
    <sheet name="１区12班" sheetId="47" r:id="rId13"/>
    <sheet name="２区１班" sheetId="48" r:id="rId14"/>
    <sheet name="２区２班" sheetId="49" r:id="rId15"/>
    <sheet name="２区３班" sheetId="50" r:id="rId16"/>
    <sheet name="２区４班" sheetId="51" r:id="rId17"/>
    <sheet name="２区５班" sheetId="52" r:id="rId18"/>
    <sheet name="２区６班" sheetId="53" r:id="rId19"/>
    <sheet name="２区７班" sheetId="54" r:id="rId20"/>
    <sheet name="２区８班" sheetId="55" r:id="rId21"/>
    <sheet name="２区９班" sheetId="56" r:id="rId22"/>
    <sheet name="２区10班" sheetId="57" r:id="rId23"/>
    <sheet name="２区11班" sheetId="58" r:id="rId24"/>
    <sheet name="２区12班" sheetId="59" r:id="rId25"/>
  </sheets>
  <definedNames>
    <definedName name="_xlnm.Print_Area" localSheetId="10">'１区10班'!$A$1:$E$30</definedName>
    <definedName name="_xlnm.Print_Area" localSheetId="11">'１区11班'!$A$1:$E$30</definedName>
    <definedName name="_xlnm.Print_Area" localSheetId="12">'１区12班'!$A$1:$E$30</definedName>
    <definedName name="_xlnm.Print_Area" localSheetId="1">'１区１班'!$A$1:$E$30</definedName>
    <definedName name="_xlnm.Print_Area" localSheetId="2">'１区２班'!$A$1:$E$30</definedName>
    <definedName name="_xlnm.Print_Area" localSheetId="3">'１区３班'!$A$1:$E$30</definedName>
    <definedName name="_xlnm.Print_Area" localSheetId="4">'１区４班'!$A$1:$E$30</definedName>
    <definedName name="_xlnm.Print_Area" localSheetId="5">'１区５班'!$A$1:$E$30</definedName>
    <definedName name="_xlnm.Print_Area" localSheetId="6">'１区６班'!$A$1:$E$30</definedName>
    <definedName name="_xlnm.Print_Area" localSheetId="7">'１区７班'!$A$1:$E$30</definedName>
    <definedName name="_xlnm.Print_Area" localSheetId="8">'１区８班'!$A$1:$E$30</definedName>
    <definedName name="_xlnm.Print_Area" localSheetId="9">'１区９班'!$A$1:$E$30</definedName>
    <definedName name="_xlnm.Print_Area" localSheetId="22">'２区10班'!$A$1:$E$30</definedName>
    <definedName name="_xlnm.Print_Area" localSheetId="23">'２区11班'!$A$1:$E$30</definedName>
    <definedName name="_xlnm.Print_Area" localSheetId="24">'２区12班'!$A$1:$E$30</definedName>
    <definedName name="_xlnm.Print_Area" localSheetId="13">'２区１班'!$A$1:$E$30</definedName>
    <definedName name="_xlnm.Print_Area" localSheetId="14">'２区２班'!$A$1:$E$30</definedName>
    <definedName name="_xlnm.Print_Area" localSheetId="15">'２区３班'!$A$1:$E$30</definedName>
    <definedName name="_xlnm.Print_Area" localSheetId="16">'２区４班'!$A$1:$E$30</definedName>
    <definedName name="_xlnm.Print_Area" localSheetId="17">'２区５班'!$A$1:$E$30</definedName>
    <definedName name="_xlnm.Print_Area" localSheetId="18">'２区６班'!$A$1:$E$30</definedName>
    <definedName name="_xlnm.Print_Area" localSheetId="19">'２区７班'!$A$1:$E$30</definedName>
    <definedName name="_xlnm.Print_Area" localSheetId="20">'２区８班'!$A$1:$E$30</definedName>
    <definedName name="_xlnm.Print_Area" localSheetId="21">'２区９班'!$A$1:$E$30</definedName>
    <definedName name="_xlnm.Print_Area" localSheetId="0">マスター!$A$1:$G$29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 i="32" l="1"/>
  <c r="G3" i="32"/>
  <c r="G2" i="32"/>
  <c r="B23" i="59"/>
  <c r="B23" i="58"/>
  <c r="B23" i="57"/>
  <c r="B23" i="56"/>
  <c r="B23" i="55"/>
  <c r="B23" i="54"/>
  <c r="B23" i="53"/>
  <c r="B23" i="52"/>
  <c r="B23" i="51"/>
  <c r="B23" i="50"/>
  <c r="B23" i="49"/>
  <c r="B23" i="48"/>
  <c r="B23" i="47"/>
  <c r="B23" i="45"/>
  <c r="B23" i="44"/>
  <c r="B23" i="43"/>
  <c r="B23" i="42"/>
  <c r="B23" i="41"/>
  <c r="B23" i="40"/>
  <c r="B23" i="39"/>
  <c r="B23" i="38"/>
  <c r="B23" i="37"/>
  <c r="B23" i="46"/>
  <c r="B30" i="59"/>
  <c r="B29" i="59"/>
  <c r="B28" i="59"/>
  <c r="B27" i="59"/>
  <c r="B26" i="59"/>
  <c r="B30" i="58"/>
  <c r="B29" i="58"/>
  <c r="B28" i="58"/>
  <c r="B27" i="58"/>
  <c r="B26" i="58"/>
  <c r="B30" i="57"/>
  <c r="B29" i="57"/>
  <c r="B28" i="57"/>
  <c r="B27" i="57"/>
  <c r="B26" i="57"/>
  <c r="B30" i="56"/>
  <c r="B29" i="56"/>
  <c r="B28" i="56"/>
  <c r="B27" i="56"/>
  <c r="B26" i="56"/>
  <c r="B30" i="55"/>
  <c r="B29" i="55"/>
  <c r="B28" i="55"/>
  <c r="B27" i="55"/>
  <c r="B26" i="55"/>
  <c r="B30" i="54"/>
  <c r="B29" i="54"/>
  <c r="B28" i="54"/>
  <c r="B27" i="54"/>
  <c r="B26" i="54"/>
  <c r="B30" i="53"/>
  <c r="B29" i="53"/>
  <c r="B28" i="53"/>
  <c r="B27" i="53"/>
  <c r="B26" i="53"/>
  <c r="B30" i="52"/>
  <c r="B29" i="52"/>
  <c r="B28" i="52"/>
  <c r="B27" i="52"/>
  <c r="B26" i="52"/>
  <c r="B30" i="51"/>
  <c r="B29" i="51"/>
  <c r="B28" i="51"/>
  <c r="B27" i="51"/>
  <c r="B26" i="51"/>
  <c r="B30" i="50"/>
  <c r="B29" i="50"/>
  <c r="B28" i="50"/>
  <c r="B27" i="50"/>
  <c r="B26" i="50"/>
  <c r="B30" i="49"/>
  <c r="B29" i="49"/>
  <c r="B28" i="49"/>
  <c r="B27" i="49"/>
  <c r="B26" i="49"/>
  <c r="B30" i="48"/>
  <c r="B29" i="48"/>
  <c r="B28" i="48"/>
  <c r="B27" i="48"/>
  <c r="B26" i="48"/>
  <c r="B30" i="47"/>
  <c r="B29" i="47"/>
  <c r="B28" i="47"/>
  <c r="B27" i="47"/>
  <c r="B26" i="47"/>
  <c r="B30" i="46"/>
  <c r="B29" i="46"/>
  <c r="B28" i="46"/>
  <c r="B27" i="46"/>
  <c r="B26" i="46"/>
  <c r="B30" i="45"/>
  <c r="B29" i="45"/>
  <c r="B28" i="45"/>
  <c r="B27" i="45"/>
  <c r="B26" i="45"/>
  <c r="B30" i="44"/>
  <c r="B29" i="44"/>
  <c r="B28" i="44"/>
  <c r="B27" i="44"/>
  <c r="B26" i="44"/>
  <c r="B30" i="43"/>
  <c r="B29" i="43"/>
  <c r="B28" i="43"/>
  <c r="B27" i="43"/>
  <c r="B26" i="43"/>
  <c r="B30" i="42"/>
  <c r="B29" i="42"/>
  <c r="B28" i="42"/>
  <c r="B27" i="42"/>
  <c r="B26" i="42"/>
  <c r="B30" i="41"/>
  <c r="B29" i="41"/>
  <c r="B28" i="41"/>
  <c r="B27" i="41"/>
  <c r="B26" i="41"/>
  <c r="B30" i="40"/>
  <c r="B29" i="40"/>
  <c r="B28" i="40"/>
  <c r="B27" i="40"/>
  <c r="B26" i="40"/>
  <c r="B30" i="39"/>
  <c r="B29" i="39"/>
  <c r="B28" i="39"/>
  <c r="B27" i="39"/>
  <c r="B26" i="39"/>
  <c r="B30" i="38"/>
  <c r="B29" i="38"/>
  <c r="B28" i="38"/>
  <c r="B27" i="38"/>
  <c r="B26" i="38"/>
  <c r="B30" i="37"/>
  <c r="B29" i="37"/>
  <c r="B26" i="37"/>
  <c r="B27" i="37"/>
  <c r="B22" i="59"/>
  <c r="B22" i="58"/>
  <c r="B22" i="57"/>
  <c r="B22" i="56"/>
  <c r="B22" i="55"/>
  <c r="B22" i="54"/>
  <c r="B22" i="53"/>
  <c r="B22" i="52"/>
  <c r="B22" i="51"/>
  <c r="B22" i="50"/>
  <c r="B22" i="49"/>
  <c r="B22" i="48"/>
  <c r="B22" i="47"/>
  <c r="B22" i="46"/>
  <c r="B22" i="45"/>
  <c r="B22" i="44"/>
  <c r="B22" i="43"/>
  <c r="B22" i="42"/>
  <c r="B22" i="41"/>
  <c r="B22" i="40"/>
  <c r="B22" i="39"/>
  <c r="B22" i="38"/>
  <c r="B22" i="37"/>
  <c r="B28" i="37"/>
  <c r="C1" i="59" l="1"/>
  <c r="C1" i="58"/>
  <c r="C1" i="57"/>
  <c r="C1" i="56"/>
  <c r="C1" i="55"/>
  <c r="C1" i="54"/>
  <c r="C1" i="53"/>
  <c r="C1" i="52"/>
  <c r="C1" i="51"/>
  <c r="C1" i="50"/>
  <c r="C1" i="49"/>
  <c r="C1" i="48"/>
  <c r="C1" i="47"/>
  <c r="C1" i="46"/>
  <c r="C1" i="45"/>
  <c r="C1" i="44"/>
  <c r="C1" i="43"/>
  <c r="C1" i="42"/>
  <c r="C1" i="41"/>
  <c r="C1" i="40"/>
  <c r="C1" i="39"/>
  <c r="C1" i="38"/>
  <c r="C1" i="37"/>
  <c r="A1" i="59" a="1"/>
  <c r="A1" i="59" s="1"/>
  <c r="A1" i="58" a="1"/>
  <c r="A1" i="58" s="1"/>
  <c r="A1" i="57" a="1"/>
  <c r="A1" i="57" s="1"/>
  <c r="A1" i="56" a="1"/>
  <c r="A1" i="56" s="1"/>
  <c r="A1" i="55" a="1"/>
  <c r="A1" i="55" s="1"/>
  <c r="A1" i="54" a="1"/>
  <c r="A1" i="54" s="1"/>
  <c r="A1" i="53" a="1"/>
  <c r="A1" i="53" s="1"/>
  <c r="A1" i="52" a="1"/>
  <c r="A1" i="52" s="1"/>
  <c r="A1" i="51" a="1"/>
  <c r="A1" i="51" s="1"/>
  <c r="A1" i="50" a="1"/>
  <c r="A1" i="50" s="1"/>
  <c r="A1" i="49" a="1"/>
  <c r="A1" i="49" s="1"/>
  <c r="A1" i="48" a="1"/>
  <c r="A1" i="48" s="1"/>
  <c r="A1" i="47" a="1"/>
  <c r="A1" i="47" s="1"/>
  <c r="A1" i="46" a="1"/>
  <c r="A1" i="46" s="1"/>
  <c r="A1" i="45" a="1"/>
  <c r="A1" i="45" s="1"/>
  <c r="A1" i="44" a="1"/>
  <c r="A1" i="44" s="1"/>
  <c r="A1" i="43" a="1"/>
  <c r="A1" i="43" s="1"/>
  <c r="A1" i="42" a="1"/>
  <c r="A1" i="42" s="1"/>
  <c r="A1" i="41" a="1"/>
  <c r="A1" i="41" s="1"/>
  <c r="A1" i="40" a="1"/>
  <c r="A1" i="40" s="1"/>
  <c r="A1" i="39" a="1"/>
  <c r="A1" i="39" s="1"/>
  <c r="A1" i="38" a="1"/>
  <c r="A1" i="38" s="1"/>
  <c r="A1" i="37" a="1"/>
  <c r="A1" i="37" s="1"/>
  <c r="A1" i="36" a="1"/>
  <c r="A1" i="36" s="1"/>
  <c r="A1" i="32" a="1"/>
  <c r="A1" i="3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<sst xmlns="http://schemas.openxmlformats.org/spreadsheetml/2006/main" count="1410" uniqueCount="336">
  <si>
    <t>No.</t>
    <phoneticPr fontId="5"/>
  </si>
  <si>
    <t>中村治子</t>
    <rPh sb="0" eb="2">
      <t>ナカムラ</t>
    </rPh>
    <rPh sb="2" eb="4">
      <t>ハルコ</t>
    </rPh>
    <phoneticPr fontId="5"/>
  </si>
  <si>
    <t>松川正士</t>
    <rPh sb="0" eb="2">
      <t>マツカワ</t>
    </rPh>
    <rPh sb="2" eb="4">
      <t>マサシ</t>
    </rPh>
    <phoneticPr fontId="5"/>
  </si>
  <si>
    <t>和田薪</t>
    <rPh sb="0" eb="2">
      <t>ワダ</t>
    </rPh>
    <rPh sb="2" eb="3">
      <t>マキ</t>
    </rPh>
    <phoneticPr fontId="5"/>
  </si>
  <si>
    <t>平井進</t>
    <rPh sb="0" eb="2">
      <t>ヒライ</t>
    </rPh>
    <rPh sb="2" eb="3">
      <t>ススム</t>
    </rPh>
    <phoneticPr fontId="5"/>
  </si>
  <si>
    <t>長谷川聡</t>
    <rPh sb="0" eb="3">
      <t>ハセガワ</t>
    </rPh>
    <rPh sb="3" eb="4">
      <t>サトシ</t>
    </rPh>
    <phoneticPr fontId="6"/>
  </si>
  <si>
    <t>粟飯原功</t>
    <rPh sb="0" eb="1">
      <t>アワ</t>
    </rPh>
    <rPh sb="1" eb="2">
      <t>メシ</t>
    </rPh>
    <rPh sb="2" eb="3">
      <t>ハラ</t>
    </rPh>
    <rPh sb="3" eb="4">
      <t>コウ</t>
    </rPh>
    <phoneticPr fontId="5"/>
  </si>
  <si>
    <t>高橋正</t>
    <rPh sb="0" eb="2">
      <t>タカハシ</t>
    </rPh>
    <rPh sb="2" eb="3">
      <t>タダシ</t>
    </rPh>
    <phoneticPr fontId="5"/>
  </si>
  <si>
    <t>林信行</t>
    <rPh sb="0" eb="1">
      <t>ハヤシ</t>
    </rPh>
    <rPh sb="1" eb="3">
      <t>ノブユキ</t>
    </rPh>
    <phoneticPr fontId="5"/>
  </si>
  <si>
    <t>備考</t>
    <rPh sb="0" eb="2">
      <t>ビコウ</t>
    </rPh>
    <phoneticPr fontId="4"/>
  </si>
  <si>
    <t>世帯代表者</t>
    <rPh sb="0" eb="2">
      <t>セタイ</t>
    </rPh>
    <rPh sb="2" eb="5">
      <t>ダイヒョウシャ</t>
    </rPh>
    <phoneticPr fontId="5"/>
  </si>
  <si>
    <t>＊</t>
    <phoneticPr fontId="4"/>
  </si>
  <si>
    <t>紺野建設</t>
    <rPh sb="0" eb="1">
      <t>コン</t>
    </rPh>
    <rPh sb="1" eb="2">
      <t>ノ</t>
    </rPh>
    <rPh sb="2" eb="4">
      <t>ケンセツ</t>
    </rPh>
    <phoneticPr fontId="5"/>
  </si>
  <si>
    <t>遠山悦子</t>
    <rPh sb="0" eb="2">
      <t>トオヤマ</t>
    </rPh>
    <rPh sb="2" eb="4">
      <t>エツコ</t>
    </rPh>
    <phoneticPr fontId="5"/>
  </si>
  <si>
    <t>高瀬一</t>
    <rPh sb="0" eb="2">
      <t>タカセ</t>
    </rPh>
    <rPh sb="2" eb="3">
      <t>ハジメ</t>
    </rPh>
    <phoneticPr fontId="5"/>
  </si>
  <si>
    <t>齋藤勇</t>
    <rPh sb="0" eb="2">
      <t>サイトウ</t>
    </rPh>
    <rPh sb="2" eb="3">
      <t>イサム</t>
    </rPh>
    <phoneticPr fontId="5"/>
  </si>
  <si>
    <t>佐藤清</t>
    <rPh sb="0" eb="2">
      <t>サトウ</t>
    </rPh>
    <rPh sb="2" eb="3">
      <t>キヨシ</t>
    </rPh>
    <phoneticPr fontId="6"/>
  </si>
  <si>
    <t>戸村則登</t>
    <rPh sb="0" eb="2">
      <t>トムラ</t>
    </rPh>
    <rPh sb="2" eb="3">
      <t>ノリ</t>
    </rPh>
    <rPh sb="3" eb="4">
      <t>ノボル</t>
    </rPh>
    <phoneticPr fontId="6"/>
  </si>
  <si>
    <t>佐久間明</t>
    <rPh sb="0" eb="3">
      <t>サクマ</t>
    </rPh>
    <rPh sb="3" eb="4">
      <t>アキラ</t>
    </rPh>
    <phoneticPr fontId="5"/>
  </si>
  <si>
    <t>渋江康弘</t>
    <rPh sb="0" eb="2">
      <t>シブエ</t>
    </rPh>
    <rPh sb="2" eb="4">
      <t>ヤスヒロ</t>
    </rPh>
    <phoneticPr fontId="5"/>
  </si>
  <si>
    <t>石岡明憲</t>
    <rPh sb="0" eb="1">
      <t>セキ</t>
    </rPh>
    <rPh sb="1" eb="2">
      <t>オカ</t>
    </rPh>
    <rPh sb="2" eb="3">
      <t>メイ</t>
    </rPh>
    <rPh sb="3" eb="4">
      <t>ケン</t>
    </rPh>
    <phoneticPr fontId="5"/>
  </si>
  <si>
    <t>中華料理成都</t>
    <rPh sb="0" eb="2">
      <t>チュウカ</t>
    </rPh>
    <rPh sb="2" eb="4">
      <t>リョウリ</t>
    </rPh>
    <rPh sb="4" eb="5">
      <t>ナ</t>
    </rPh>
    <rPh sb="5" eb="6">
      <t>ミヤコ</t>
    </rPh>
    <phoneticPr fontId="5"/>
  </si>
  <si>
    <t>武藤親弘</t>
    <rPh sb="0" eb="2">
      <t>ムトウ</t>
    </rPh>
    <rPh sb="2" eb="3">
      <t>オヤ</t>
    </rPh>
    <rPh sb="3" eb="4">
      <t>ヒロシ</t>
    </rPh>
    <phoneticPr fontId="5"/>
  </si>
  <si>
    <t>串一</t>
    <rPh sb="0" eb="1">
      <t>クシ</t>
    </rPh>
    <rPh sb="1" eb="2">
      <t>1</t>
    </rPh>
    <phoneticPr fontId="5"/>
  </si>
  <si>
    <t>AJITO中村みどり</t>
    <rPh sb="5" eb="7">
      <t>ナカムラ</t>
    </rPh>
    <phoneticPr fontId="5"/>
  </si>
  <si>
    <t>澤登武文</t>
    <rPh sb="0" eb="1">
      <t>サワ</t>
    </rPh>
    <rPh sb="1" eb="2">
      <t>ト</t>
    </rPh>
    <rPh sb="2" eb="4">
      <t>タケフミ</t>
    </rPh>
    <phoneticPr fontId="5"/>
  </si>
  <si>
    <t>秋山芳美</t>
    <rPh sb="0" eb="2">
      <t>アキヤマ</t>
    </rPh>
    <rPh sb="2" eb="4">
      <t>ヨシミ</t>
    </rPh>
    <phoneticPr fontId="5"/>
  </si>
  <si>
    <t>櫻井治</t>
    <rPh sb="0" eb="2">
      <t>サクライ</t>
    </rPh>
    <rPh sb="2" eb="3">
      <t>オサム</t>
    </rPh>
    <phoneticPr fontId="5"/>
  </si>
  <si>
    <t>松永彰</t>
    <rPh sb="0" eb="2">
      <t>マツナガ</t>
    </rPh>
    <rPh sb="2" eb="3">
      <t>アキラ</t>
    </rPh>
    <phoneticPr fontId="5"/>
  </si>
  <si>
    <t>橋本勇</t>
    <rPh sb="0" eb="2">
      <t>ハシモト</t>
    </rPh>
    <rPh sb="2" eb="3">
      <t>イサム</t>
    </rPh>
    <phoneticPr fontId="5"/>
  </si>
  <si>
    <t>瀧下なつみ</t>
    <rPh sb="0" eb="1">
      <t xml:space="preserve">タキモト </t>
    </rPh>
    <rPh sb="1" eb="2">
      <t xml:space="preserve">シタ </t>
    </rPh>
    <phoneticPr fontId="6"/>
  </si>
  <si>
    <t>鈴木洋一</t>
    <rPh sb="0" eb="2">
      <t>スズキ</t>
    </rPh>
    <rPh sb="2" eb="4">
      <t>ヨウイチ</t>
    </rPh>
    <phoneticPr fontId="6"/>
  </si>
  <si>
    <t>首藤睦</t>
    <rPh sb="0" eb="2">
      <t>シュトウ</t>
    </rPh>
    <rPh sb="2" eb="3">
      <t>ムツミ</t>
    </rPh>
    <phoneticPr fontId="5"/>
  </si>
  <si>
    <t>大野誠治</t>
    <rPh sb="0" eb="2">
      <t>オオノ</t>
    </rPh>
    <rPh sb="2" eb="4">
      <t>セイジ</t>
    </rPh>
    <phoneticPr fontId="5"/>
  </si>
  <si>
    <t>青山啓二</t>
    <rPh sb="0" eb="2">
      <t>アオヤマ</t>
    </rPh>
    <rPh sb="2" eb="4">
      <t>ケイジ</t>
    </rPh>
    <phoneticPr fontId="5"/>
  </si>
  <si>
    <t>西田善隆</t>
    <rPh sb="0" eb="2">
      <t>ニシダ</t>
    </rPh>
    <rPh sb="2" eb="4">
      <t>ヨシタカ</t>
    </rPh>
    <phoneticPr fontId="5"/>
  </si>
  <si>
    <t>渡戸正志</t>
    <rPh sb="0" eb="1">
      <t>ワタ</t>
    </rPh>
    <rPh sb="1" eb="2">
      <t>ト</t>
    </rPh>
    <rPh sb="2" eb="4">
      <t>マサシ</t>
    </rPh>
    <phoneticPr fontId="5"/>
  </si>
  <si>
    <t>冨田剛</t>
    <rPh sb="0" eb="2">
      <t>トミタ</t>
    </rPh>
    <rPh sb="2" eb="3">
      <t>ツヨシ</t>
    </rPh>
    <phoneticPr fontId="6"/>
  </si>
  <si>
    <t>堀井広樹</t>
    <rPh sb="0" eb="1">
      <t xml:space="preserve">ホリイ </t>
    </rPh>
    <rPh sb="2" eb="4">
      <t xml:space="preserve">ヒロキ </t>
    </rPh>
    <phoneticPr fontId="6"/>
  </si>
  <si>
    <t>菊池崇広</t>
    <rPh sb="0" eb="2">
      <t>キクチ</t>
    </rPh>
    <rPh sb="2" eb="3">
      <t>タカシ</t>
    </rPh>
    <rPh sb="3" eb="4">
      <t>ヒロシ</t>
    </rPh>
    <phoneticPr fontId="6"/>
  </si>
  <si>
    <t>冨松良紀</t>
    <rPh sb="0" eb="2">
      <t>トミマツ</t>
    </rPh>
    <rPh sb="2" eb="4">
      <t>ヨシノリ</t>
    </rPh>
    <phoneticPr fontId="6"/>
  </si>
  <si>
    <t>山合行之</t>
    <rPh sb="0" eb="1">
      <t>ヤマ</t>
    </rPh>
    <rPh sb="1" eb="2">
      <t>ア</t>
    </rPh>
    <rPh sb="2" eb="3">
      <t>ユ</t>
    </rPh>
    <rPh sb="3" eb="4">
      <t>ノ</t>
    </rPh>
    <phoneticPr fontId="5"/>
  </si>
  <si>
    <t>鈴木啓次</t>
    <rPh sb="0" eb="2">
      <t>スズキ</t>
    </rPh>
    <rPh sb="2" eb="4">
      <t>ケイジ</t>
    </rPh>
    <phoneticPr fontId="5"/>
  </si>
  <si>
    <t>小野怜子</t>
    <rPh sb="0" eb="2">
      <t>オノ</t>
    </rPh>
    <rPh sb="2" eb="4">
      <t>レイコ</t>
    </rPh>
    <phoneticPr fontId="5"/>
  </si>
  <si>
    <t>中村未紀</t>
    <rPh sb="0" eb="1">
      <t xml:space="preserve">ナカムラ </t>
    </rPh>
    <rPh sb="2" eb="4">
      <t>MIKI</t>
    </rPh>
    <phoneticPr fontId="5"/>
  </si>
  <si>
    <t>齋藤和枝</t>
    <rPh sb="0" eb="2">
      <t>サイトウ</t>
    </rPh>
    <rPh sb="2" eb="4">
      <t>カズエ</t>
    </rPh>
    <phoneticPr fontId="6"/>
  </si>
  <si>
    <t>溝口美代子</t>
    <rPh sb="0" eb="2">
      <t>ミゾグチ</t>
    </rPh>
    <rPh sb="2" eb="5">
      <t>ミヨコ</t>
    </rPh>
    <phoneticPr fontId="5"/>
  </si>
  <si>
    <t>宮川正子</t>
    <rPh sb="0" eb="2">
      <t>ミヤガワ</t>
    </rPh>
    <rPh sb="2" eb="4">
      <t>マサコ</t>
    </rPh>
    <phoneticPr fontId="5"/>
  </si>
  <si>
    <t>佐々木由香里</t>
    <rPh sb="0" eb="3">
      <t>ササキ</t>
    </rPh>
    <rPh sb="3" eb="6">
      <t>ユカリ</t>
    </rPh>
    <phoneticPr fontId="6"/>
  </si>
  <si>
    <t>橘鷹裕介</t>
    <rPh sb="0" eb="1">
      <t>タチバナ</t>
    </rPh>
    <rPh sb="1" eb="2">
      <t>タカ</t>
    </rPh>
    <rPh sb="2" eb="4">
      <t>ユウスケ</t>
    </rPh>
    <phoneticPr fontId="5"/>
  </si>
  <si>
    <t>玉田義輝</t>
    <rPh sb="0" eb="1">
      <t>タマ</t>
    </rPh>
    <rPh sb="1" eb="2">
      <t>タ</t>
    </rPh>
    <rPh sb="2" eb="4">
      <t>ヨシテル</t>
    </rPh>
    <phoneticPr fontId="5"/>
  </si>
  <si>
    <t>マミークリーニング</t>
  </si>
  <si>
    <t>金子勲</t>
    <rPh sb="0" eb="2">
      <t>カネコ</t>
    </rPh>
    <rPh sb="2" eb="3">
      <t>イサオ</t>
    </rPh>
    <phoneticPr fontId="2"/>
  </si>
  <si>
    <t>松本弘子</t>
    <rPh sb="0" eb="2">
      <t xml:space="preserve">マツモト </t>
    </rPh>
    <rPh sb="2" eb="4">
      <t xml:space="preserve">ヒロコ </t>
    </rPh>
    <phoneticPr fontId="2"/>
  </si>
  <si>
    <t>関口香奈</t>
    <rPh sb="0" eb="1">
      <t xml:space="preserve">セキグチ </t>
    </rPh>
    <rPh sb="2" eb="4">
      <t xml:space="preserve">カナ </t>
    </rPh>
    <phoneticPr fontId="2"/>
  </si>
  <si>
    <t>藤田範男</t>
    <rPh sb="0" eb="2">
      <t>フジタ</t>
    </rPh>
    <rPh sb="2" eb="4">
      <t>ノリオ</t>
    </rPh>
    <phoneticPr fontId="2"/>
  </si>
  <si>
    <t>前田清孝</t>
    <rPh sb="0" eb="2">
      <t>マエダ</t>
    </rPh>
    <rPh sb="2" eb="4">
      <t>キヨタカ</t>
    </rPh>
    <phoneticPr fontId="2"/>
  </si>
  <si>
    <t>高島秀夫</t>
    <rPh sb="0" eb="2">
      <t>タカシマ</t>
    </rPh>
    <rPh sb="2" eb="4">
      <t>ヒデオ</t>
    </rPh>
    <phoneticPr fontId="2"/>
  </si>
  <si>
    <t>桐生勝巳</t>
    <rPh sb="0" eb="2">
      <t>キリュウ</t>
    </rPh>
    <rPh sb="2" eb="3">
      <t>カツミ</t>
    </rPh>
    <rPh sb="3" eb="4">
      <t xml:space="preserve">タツミ </t>
    </rPh>
    <phoneticPr fontId="2"/>
  </si>
  <si>
    <t>前田拓也</t>
    <rPh sb="0" eb="2">
      <t>マエダ</t>
    </rPh>
    <rPh sb="2" eb="4">
      <t>タクヤ</t>
    </rPh>
    <phoneticPr fontId="1"/>
  </si>
  <si>
    <t>竹本久子</t>
    <rPh sb="0" eb="2">
      <t>タケモト</t>
    </rPh>
    <rPh sb="2" eb="4">
      <t>ヒサコ</t>
    </rPh>
    <phoneticPr fontId="1"/>
  </si>
  <si>
    <t>須田昭</t>
    <rPh sb="0" eb="2">
      <t>スダ</t>
    </rPh>
    <rPh sb="2" eb="3">
      <t>アキラ</t>
    </rPh>
    <phoneticPr fontId="2"/>
  </si>
  <si>
    <t>福寿早苗</t>
    <rPh sb="0" eb="2">
      <t>フクジュ</t>
    </rPh>
    <rPh sb="2" eb="4">
      <t>サナエ</t>
    </rPh>
    <phoneticPr fontId="2"/>
  </si>
  <si>
    <t>小山米子</t>
    <rPh sb="0" eb="2">
      <t>コヤマ</t>
    </rPh>
    <rPh sb="2" eb="4">
      <t>ヨネコ</t>
    </rPh>
    <phoneticPr fontId="2"/>
  </si>
  <si>
    <t>須田公子</t>
    <rPh sb="0" eb="2">
      <t>スダ</t>
    </rPh>
    <rPh sb="2" eb="4">
      <t>キミコ</t>
    </rPh>
    <phoneticPr fontId="2"/>
  </si>
  <si>
    <t>牧野ビル</t>
    <rPh sb="0" eb="2">
      <t>マキノ</t>
    </rPh>
    <phoneticPr fontId="1"/>
  </si>
  <si>
    <t>森田眞由美</t>
    <rPh sb="0" eb="2">
      <t>モリタ</t>
    </rPh>
    <rPh sb="2" eb="5">
      <t xml:space="preserve">マユミ </t>
    </rPh>
    <phoneticPr fontId="2"/>
  </si>
  <si>
    <t>森田章裕</t>
    <rPh sb="0" eb="2">
      <t>モリタ</t>
    </rPh>
    <rPh sb="3" eb="4">
      <t xml:space="preserve">ユウ </t>
    </rPh>
    <phoneticPr fontId="2"/>
  </si>
  <si>
    <t>小澤正行</t>
    <rPh sb="0" eb="2">
      <t>オザワ</t>
    </rPh>
    <rPh sb="2" eb="4">
      <t>マサユキ</t>
    </rPh>
    <phoneticPr fontId="2"/>
  </si>
  <si>
    <t>福島紀一</t>
    <rPh sb="0" eb="2">
      <t>フクシマ</t>
    </rPh>
    <rPh sb="2" eb="4">
      <t>キイチ</t>
    </rPh>
    <phoneticPr fontId="2"/>
  </si>
  <si>
    <t>鈴木美恵子</t>
    <rPh sb="0" eb="2">
      <t>スズキ</t>
    </rPh>
    <rPh sb="2" eb="5">
      <t>ミエコ</t>
    </rPh>
    <phoneticPr fontId="2"/>
  </si>
  <si>
    <t>名取眞代</t>
    <rPh sb="0" eb="2">
      <t>ナトリ</t>
    </rPh>
    <rPh sb="2" eb="3">
      <t>シン</t>
    </rPh>
    <rPh sb="3" eb="4">
      <t>ダイ</t>
    </rPh>
    <phoneticPr fontId="1"/>
  </si>
  <si>
    <t>藤田将作</t>
    <rPh sb="0" eb="2">
      <t xml:space="preserve">フジタ </t>
    </rPh>
    <rPh sb="2" eb="3">
      <t xml:space="preserve">タイショウ </t>
    </rPh>
    <rPh sb="3" eb="4">
      <t xml:space="preserve">ツクル </t>
    </rPh>
    <phoneticPr fontId="1"/>
  </si>
  <si>
    <t>滝本春香</t>
    <rPh sb="0" eb="2">
      <t>タキモト</t>
    </rPh>
    <rPh sb="2" eb="4">
      <t>ハルカ</t>
    </rPh>
    <phoneticPr fontId="1"/>
  </si>
  <si>
    <t>渡辺嘉久也</t>
    <rPh sb="0" eb="2">
      <t>ワタナベ</t>
    </rPh>
    <rPh sb="2" eb="3">
      <t>カ</t>
    </rPh>
    <rPh sb="3" eb="4">
      <t>ヒサシ</t>
    </rPh>
    <rPh sb="4" eb="5">
      <t>ヤ</t>
    </rPh>
    <phoneticPr fontId="2"/>
  </si>
  <si>
    <t>佐野和弘</t>
    <rPh sb="0" eb="2">
      <t>サノ</t>
    </rPh>
    <rPh sb="2" eb="4">
      <t>カズヒロ</t>
    </rPh>
    <phoneticPr fontId="2"/>
  </si>
  <si>
    <t>橋本岳</t>
    <rPh sb="0" eb="2">
      <t>ハシモト</t>
    </rPh>
    <rPh sb="2" eb="3">
      <t>ダケ</t>
    </rPh>
    <phoneticPr fontId="2"/>
  </si>
  <si>
    <t>御薗節子</t>
    <rPh sb="0" eb="2">
      <t>ミソノ</t>
    </rPh>
    <phoneticPr fontId="2"/>
  </si>
  <si>
    <t>小松誠</t>
    <rPh sb="0" eb="2">
      <t>コマツ</t>
    </rPh>
    <rPh sb="2" eb="3">
      <t>マコト</t>
    </rPh>
    <phoneticPr fontId="2"/>
  </si>
  <si>
    <t>霜村紀子</t>
    <rPh sb="0" eb="2">
      <t>シモムラ</t>
    </rPh>
    <rPh sb="2" eb="4">
      <t>ノリコ</t>
    </rPh>
    <phoneticPr fontId="2"/>
  </si>
  <si>
    <t>吉田初枝</t>
    <rPh sb="0" eb="2">
      <t>ヨシダ</t>
    </rPh>
    <rPh sb="2" eb="4">
      <t xml:space="preserve">ハツエ </t>
    </rPh>
    <phoneticPr fontId="2"/>
  </si>
  <si>
    <t>網倉潤子</t>
    <rPh sb="0" eb="2">
      <t>アミクラコウタロウ</t>
    </rPh>
    <phoneticPr fontId="2"/>
  </si>
  <si>
    <t>磯野真一</t>
    <rPh sb="0" eb="2">
      <t>イソノ</t>
    </rPh>
    <rPh sb="2" eb="4">
      <t>シンイチ</t>
    </rPh>
    <phoneticPr fontId="2"/>
  </si>
  <si>
    <t>岩垂晴夫</t>
    <rPh sb="0" eb="2">
      <t>イワタレ</t>
    </rPh>
    <rPh sb="2" eb="4">
      <t>ハルオ</t>
    </rPh>
    <phoneticPr fontId="2"/>
  </si>
  <si>
    <t>斉田芳久</t>
    <rPh sb="0" eb="2">
      <t>サイタ</t>
    </rPh>
    <rPh sb="2" eb="4">
      <t>ヨシヒサ</t>
    </rPh>
    <phoneticPr fontId="2"/>
  </si>
  <si>
    <t>安藤豊美</t>
    <rPh sb="0" eb="2">
      <t>アンドウ</t>
    </rPh>
    <rPh sb="2" eb="4">
      <t>トヨミ</t>
    </rPh>
    <phoneticPr fontId="2"/>
  </si>
  <si>
    <t>濱名誠</t>
    <rPh sb="0" eb="1">
      <t>ハマ</t>
    </rPh>
    <rPh sb="1" eb="2">
      <t>メイ</t>
    </rPh>
    <rPh sb="2" eb="3">
      <t>マコト</t>
    </rPh>
    <phoneticPr fontId="1"/>
  </si>
  <si>
    <t>佐藤シズエ</t>
    <rPh sb="0" eb="2">
      <t>サトウ</t>
    </rPh>
    <phoneticPr fontId="2"/>
  </si>
  <si>
    <t>森原智</t>
    <rPh sb="0" eb="2">
      <t>モリハラ</t>
    </rPh>
    <rPh sb="2" eb="3">
      <t>サトシ</t>
    </rPh>
    <phoneticPr fontId="2"/>
  </si>
  <si>
    <t>岡本三七子</t>
    <rPh sb="0" eb="2">
      <t>オカモト</t>
    </rPh>
    <rPh sb="2" eb="3">
      <t xml:space="preserve">サン </t>
    </rPh>
    <rPh sb="4" eb="5">
      <t xml:space="preserve">コ </t>
    </rPh>
    <phoneticPr fontId="2"/>
  </si>
  <si>
    <t>佐々木誠</t>
    <rPh sb="0" eb="3">
      <t>ササキ</t>
    </rPh>
    <rPh sb="3" eb="4">
      <t>マコト</t>
    </rPh>
    <phoneticPr fontId="2"/>
  </si>
  <si>
    <t>鹿野絵里子</t>
    <rPh sb="0" eb="2">
      <t>シカノ</t>
    </rPh>
    <rPh sb="2" eb="5">
      <t>エリコ</t>
    </rPh>
    <phoneticPr fontId="2"/>
  </si>
  <si>
    <t>田口英弼</t>
    <rPh sb="0" eb="2">
      <t>タグチ</t>
    </rPh>
    <rPh sb="2" eb="3">
      <t>エイ</t>
    </rPh>
    <rPh sb="3" eb="4">
      <t>タスク</t>
    </rPh>
    <phoneticPr fontId="2"/>
  </si>
  <si>
    <t>倉邉雅光</t>
    <rPh sb="0" eb="1">
      <t>クラ</t>
    </rPh>
    <rPh sb="1" eb="2">
      <t>ベ</t>
    </rPh>
    <rPh sb="2" eb="4">
      <t>マサミツ</t>
    </rPh>
    <phoneticPr fontId="2"/>
  </si>
  <si>
    <t>勇士時生</t>
    <rPh sb="0" eb="2">
      <t>ユウシ</t>
    </rPh>
    <rPh sb="2" eb="4">
      <t>トキオ</t>
    </rPh>
    <phoneticPr fontId="2"/>
  </si>
  <si>
    <t>㈲峯田工業</t>
    <rPh sb="1" eb="3">
      <t>ミネタ</t>
    </rPh>
    <rPh sb="3" eb="5">
      <t>コウギョウ</t>
    </rPh>
    <phoneticPr fontId="2"/>
  </si>
  <si>
    <t>小林弘子</t>
    <rPh sb="0" eb="2">
      <t>コバヤシ</t>
    </rPh>
    <phoneticPr fontId="2"/>
  </si>
  <si>
    <t>宮下忠夫</t>
    <rPh sb="0" eb="2">
      <t>ミヤシタ</t>
    </rPh>
    <rPh sb="2" eb="4">
      <t>タダオ</t>
    </rPh>
    <phoneticPr fontId="2"/>
  </si>
  <si>
    <t>井波純一</t>
    <rPh sb="0" eb="2">
      <t>イナミ</t>
    </rPh>
    <rPh sb="2" eb="3">
      <t>ジュン</t>
    </rPh>
    <rPh sb="3" eb="4">
      <t>イチ</t>
    </rPh>
    <phoneticPr fontId="2"/>
  </si>
  <si>
    <t>菊池之裕</t>
    <rPh sb="0" eb="2">
      <t>キクチ</t>
    </rPh>
    <rPh sb="2" eb="3">
      <t>ユキ</t>
    </rPh>
    <rPh sb="3" eb="4">
      <t>ヒロシ</t>
    </rPh>
    <phoneticPr fontId="1"/>
  </si>
  <si>
    <t>佐合駿</t>
    <rPh sb="0" eb="2">
      <t>サゴウ</t>
    </rPh>
    <rPh sb="2" eb="3">
      <t>シュン</t>
    </rPh>
    <phoneticPr fontId="1"/>
  </si>
  <si>
    <t>冨山厚</t>
    <rPh sb="0" eb="2">
      <t>トミヤマ</t>
    </rPh>
    <rPh sb="2" eb="3">
      <t>アツシ</t>
    </rPh>
    <phoneticPr fontId="2"/>
  </si>
  <si>
    <t>高橋則篤</t>
    <rPh sb="0" eb="2">
      <t>タカハシ</t>
    </rPh>
    <rPh sb="2" eb="3">
      <t>ノリ</t>
    </rPh>
    <rPh sb="3" eb="4">
      <t>アツシ</t>
    </rPh>
    <phoneticPr fontId="2"/>
  </si>
  <si>
    <t>宗像進</t>
    <rPh sb="0" eb="2">
      <t>ムナカタ</t>
    </rPh>
    <rPh sb="2" eb="3">
      <t>ススム</t>
    </rPh>
    <phoneticPr fontId="2"/>
  </si>
  <si>
    <t>関根伸成</t>
    <rPh sb="0" eb="2">
      <t>セキネ</t>
    </rPh>
    <rPh sb="2" eb="3">
      <t>ノブ</t>
    </rPh>
    <rPh sb="3" eb="4">
      <t>ナリ</t>
    </rPh>
    <phoneticPr fontId="2"/>
  </si>
  <si>
    <t>吉田千恵子</t>
    <rPh sb="0" eb="2">
      <t>ヨシダ</t>
    </rPh>
    <rPh sb="2" eb="5">
      <t>チエコ</t>
    </rPh>
    <phoneticPr fontId="2"/>
  </si>
  <si>
    <t>手塚文子</t>
    <rPh sb="0" eb="2">
      <t>テツカ</t>
    </rPh>
    <rPh sb="2" eb="4">
      <t>フミコ</t>
    </rPh>
    <phoneticPr fontId="2"/>
  </si>
  <si>
    <t>星川ツル</t>
    <rPh sb="0" eb="2">
      <t>ホシカワ</t>
    </rPh>
    <phoneticPr fontId="2"/>
  </si>
  <si>
    <t>藤谷健太</t>
    <rPh sb="0" eb="1">
      <t xml:space="preserve">フジタニ </t>
    </rPh>
    <rPh sb="2" eb="4">
      <t xml:space="preserve">ケンタ </t>
    </rPh>
    <phoneticPr fontId="2"/>
  </si>
  <si>
    <t>オールウェイズ（水内）</t>
    <rPh sb="8" eb="10">
      <t>ミズウチ</t>
    </rPh>
    <phoneticPr fontId="2"/>
  </si>
  <si>
    <t>ジュンハイム（小板橋）</t>
    <rPh sb="7" eb="10">
      <t>コイタバシ</t>
    </rPh>
    <phoneticPr fontId="1"/>
  </si>
  <si>
    <t>爲廣哲朗</t>
    <rPh sb="0" eb="1">
      <t>タメ</t>
    </rPh>
    <rPh sb="1" eb="2">
      <t>ヒロシ</t>
    </rPh>
    <rPh sb="2" eb="4">
      <t>テツロウ</t>
    </rPh>
    <phoneticPr fontId="1"/>
  </si>
  <si>
    <t>中根佳江</t>
    <rPh sb="0" eb="2">
      <t>ナカネ</t>
    </rPh>
    <rPh sb="2" eb="4">
      <t>ヨシエ</t>
    </rPh>
    <phoneticPr fontId="2"/>
  </si>
  <si>
    <t>大塚孝史</t>
    <rPh sb="0" eb="2">
      <t>オオツカ</t>
    </rPh>
    <rPh sb="2" eb="4">
      <t>タカシ</t>
    </rPh>
    <phoneticPr fontId="2"/>
  </si>
  <si>
    <t>鴨崎昶美</t>
    <rPh sb="0" eb="1">
      <t>カモ</t>
    </rPh>
    <rPh sb="1" eb="2">
      <t>ザキ</t>
    </rPh>
    <rPh sb="2" eb="3">
      <t>アキラ</t>
    </rPh>
    <rPh sb="3" eb="4">
      <t>ミ</t>
    </rPh>
    <phoneticPr fontId="2"/>
  </si>
  <si>
    <t>杉本一久</t>
    <rPh sb="0" eb="2">
      <t>スギモト</t>
    </rPh>
    <rPh sb="2" eb="4">
      <t>カズヒサ</t>
    </rPh>
    <phoneticPr fontId="2"/>
  </si>
  <si>
    <t>内山巧</t>
    <rPh sb="0" eb="2">
      <t>ウチヤマ</t>
    </rPh>
    <rPh sb="2" eb="3">
      <t>コウ</t>
    </rPh>
    <phoneticPr fontId="2"/>
  </si>
  <si>
    <t>稲橋義治</t>
    <rPh sb="0" eb="1">
      <t>イナ</t>
    </rPh>
    <rPh sb="1" eb="2">
      <t>ハシ</t>
    </rPh>
    <rPh sb="2" eb="4">
      <t>ヨシハル</t>
    </rPh>
    <phoneticPr fontId="2"/>
  </si>
  <si>
    <t>堀江善幸</t>
    <rPh sb="0" eb="2">
      <t>ホリエ</t>
    </rPh>
    <rPh sb="2" eb="4">
      <t>ゼンコウ</t>
    </rPh>
    <phoneticPr fontId="2"/>
  </si>
  <si>
    <t>阿部治</t>
    <rPh sb="0" eb="2">
      <t>アベ</t>
    </rPh>
    <rPh sb="2" eb="3">
      <t>オサム</t>
    </rPh>
    <phoneticPr fontId="2"/>
  </si>
  <si>
    <t>小林晃</t>
    <rPh sb="0" eb="2">
      <t>コバヤシ</t>
    </rPh>
    <rPh sb="2" eb="3">
      <t>アキラ</t>
    </rPh>
    <phoneticPr fontId="2"/>
  </si>
  <si>
    <t>鈴木眞寿美</t>
    <rPh sb="0" eb="2">
      <t>スズキ</t>
    </rPh>
    <rPh sb="2" eb="3">
      <t>マコト</t>
    </rPh>
    <rPh sb="3" eb="5">
      <t>トシミ</t>
    </rPh>
    <phoneticPr fontId="2"/>
  </si>
  <si>
    <t>金井六平</t>
    <rPh sb="0" eb="2">
      <t>カナイ</t>
    </rPh>
    <rPh sb="2" eb="3">
      <t>ロッ</t>
    </rPh>
    <rPh sb="3" eb="4">
      <t>ヘイ</t>
    </rPh>
    <phoneticPr fontId="2"/>
  </si>
  <si>
    <t>小池弘</t>
    <rPh sb="0" eb="2">
      <t>コイケ</t>
    </rPh>
    <rPh sb="2" eb="3">
      <t>ヒロシ</t>
    </rPh>
    <phoneticPr fontId="2"/>
  </si>
  <si>
    <t>多和エイ子</t>
    <rPh sb="0" eb="1">
      <t>タ</t>
    </rPh>
    <rPh sb="1" eb="2">
      <t>ワ</t>
    </rPh>
    <rPh sb="4" eb="5">
      <t>コ</t>
    </rPh>
    <phoneticPr fontId="2"/>
  </si>
  <si>
    <t>橋本尚弥</t>
    <rPh sb="0" eb="2">
      <t>ハシモト</t>
    </rPh>
    <rPh sb="2" eb="4">
      <t>ナオヤ</t>
    </rPh>
    <phoneticPr fontId="2"/>
  </si>
  <si>
    <t>藤巻明子</t>
    <rPh sb="0" eb="2">
      <t>フジマキ</t>
    </rPh>
    <rPh sb="2" eb="4">
      <t>アキコ</t>
    </rPh>
    <phoneticPr fontId="2"/>
  </si>
  <si>
    <t>鈴木由美子</t>
    <rPh sb="0" eb="2">
      <t>スズキ</t>
    </rPh>
    <rPh sb="2" eb="5">
      <t>ユミコ</t>
    </rPh>
    <phoneticPr fontId="2"/>
  </si>
  <si>
    <t>澤藤成穂</t>
    <rPh sb="0" eb="2">
      <t>サワフジ</t>
    </rPh>
    <rPh sb="2" eb="3">
      <t>ナリ</t>
    </rPh>
    <rPh sb="3" eb="4">
      <t>ホ</t>
    </rPh>
    <phoneticPr fontId="2"/>
  </si>
  <si>
    <t>中島京子</t>
    <rPh sb="0" eb="2">
      <t>ナカジマ</t>
    </rPh>
    <rPh sb="2" eb="4">
      <t>キョウコ</t>
    </rPh>
    <phoneticPr fontId="2"/>
  </si>
  <si>
    <t>軍司由利子</t>
    <rPh sb="0" eb="2">
      <t>グンジ</t>
    </rPh>
    <rPh sb="2" eb="5">
      <t>ユリコ</t>
    </rPh>
    <phoneticPr fontId="2"/>
  </si>
  <si>
    <t>内田純久</t>
    <rPh sb="0" eb="2">
      <t>ウチダ</t>
    </rPh>
    <rPh sb="2" eb="3">
      <t>ジュン</t>
    </rPh>
    <rPh sb="3" eb="4">
      <t>ヒサ</t>
    </rPh>
    <phoneticPr fontId="2"/>
  </si>
  <si>
    <t>稲葉政志</t>
    <rPh sb="0" eb="2">
      <t>イナバ</t>
    </rPh>
    <rPh sb="2" eb="4">
      <t>マサシ</t>
    </rPh>
    <phoneticPr fontId="2"/>
  </si>
  <si>
    <t>赤荻忠幸</t>
    <rPh sb="0" eb="2">
      <t>アカオギ</t>
    </rPh>
    <rPh sb="2" eb="4">
      <t>タダユキ</t>
    </rPh>
    <phoneticPr fontId="2"/>
  </si>
  <si>
    <t>山下信子</t>
    <rPh sb="0" eb="2">
      <t>ヤマシタ</t>
    </rPh>
    <rPh sb="2" eb="4">
      <t>ノブコ</t>
    </rPh>
    <phoneticPr fontId="2"/>
  </si>
  <si>
    <t>伊藤一樹</t>
    <rPh sb="0" eb="2">
      <t>イトウ</t>
    </rPh>
    <rPh sb="2" eb="4">
      <t>カズキ</t>
    </rPh>
    <phoneticPr fontId="2"/>
  </si>
  <si>
    <t>志田武</t>
    <rPh sb="0" eb="2">
      <t>シダ</t>
    </rPh>
    <rPh sb="2" eb="3">
      <t>タケシ</t>
    </rPh>
    <phoneticPr fontId="2"/>
  </si>
  <si>
    <t>熊本義明</t>
    <rPh sb="0" eb="2">
      <t>クマモト</t>
    </rPh>
    <rPh sb="2" eb="4">
      <t>ヨシアキ</t>
    </rPh>
    <phoneticPr fontId="2"/>
  </si>
  <si>
    <t>三橋眞弓</t>
    <rPh sb="0" eb="2">
      <t>ミツハシ</t>
    </rPh>
    <rPh sb="2" eb="4">
      <t xml:space="preserve">マユミ </t>
    </rPh>
    <phoneticPr fontId="2"/>
  </si>
  <si>
    <t>山田つるゑ</t>
    <rPh sb="0" eb="2">
      <t>ヤマダ</t>
    </rPh>
    <phoneticPr fontId="2"/>
  </si>
  <si>
    <t>渡邊俊郎</t>
    <rPh sb="0" eb="2">
      <t>ワタナベ</t>
    </rPh>
    <rPh sb="2" eb="4">
      <t>トシロウ</t>
    </rPh>
    <phoneticPr fontId="2"/>
  </si>
  <si>
    <t>松村和彦</t>
    <rPh sb="0" eb="2">
      <t>マツムラ</t>
    </rPh>
    <rPh sb="2" eb="4">
      <t>カズヒコ</t>
    </rPh>
    <phoneticPr fontId="2"/>
  </si>
  <si>
    <t>Mr.Fesus &amp; Mrs.Claudia</t>
  </si>
  <si>
    <t>宮川雅之</t>
    <rPh sb="0" eb="2">
      <t>ミヤガワ</t>
    </rPh>
    <rPh sb="2" eb="4">
      <t>ミツエ</t>
    </rPh>
    <phoneticPr fontId="2"/>
  </si>
  <si>
    <t>中島祐子</t>
  </si>
  <si>
    <t>西田裕亮</t>
    <rPh sb="0" eb="2">
      <t>ニシダ</t>
    </rPh>
    <rPh sb="2" eb="3">
      <t>ヒロシ</t>
    </rPh>
    <rPh sb="3" eb="4">
      <t>リョウ</t>
    </rPh>
    <phoneticPr fontId="2"/>
  </si>
  <si>
    <t>菅原憲治</t>
    <rPh sb="0" eb="2">
      <t>スガハラ</t>
    </rPh>
    <rPh sb="2" eb="4">
      <t>ケンジ</t>
    </rPh>
    <phoneticPr fontId="2"/>
  </si>
  <si>
    <t>三浦豊治</t>
    <rPh sb="0" eb="2">
      <t>ミウラ</t>
    </rPh>
    <rPh sb="2" eb="4">
      <t>トヨハル</t>
    </rPh>
    <phoneticPr fontId="2"/>
  </si>
  <si>
    <t>水内美治</t>
    <rPh sb="0" eb="2">
      <t>ミズウチ</t>
    </rPh>
    <rPh sb="2" eb="4">
      <t>ヨシハル</t>
    </rPh>
    <phoneticPr fontId="2"/>
  </si>
  <si>
    <t>長沼千賀子</t>
    <rPh sb="0" eb="2">
      <t>ナガヌマ</t>
    </rPh>
    <rPh sb="2" eb="5">
      <t>チカコ</t>
    </rPh>
    <phoneticPr fontId="2"/>
  </si>
  <si>
    <t>中原真一</t>
    <rPh sb="0" eb="2">
      <t>ナカハラ</t>
    </rPh>
    <rPh sb="2" eb="3">
      <t>シン</t>
    </rPh>
    <rPh sb="3" eb="4">
      <t>イチ</t>
    </rPh>
    <phoneticPr fontId="2"/>
  </si>
  <si>
    <t>① 駒寄町内会会員であること（世帯代表者および同一生計者）</t>
    <rPh sb="2" eb="4">
      <t>コマヨセ</t>
    </rPh>
    <rPh sb="4" eb="6">
      <t>チョウナイ</t>
    </rPh>
    <rPh sb="6" eb="7">
      <t>カイ</t>
    </rPh>
    <rPh sb="7" eb="9">
      <t>カイイン</t>
    </rPh>
    <rPh sb="15" eb="17">
      <t>セタイ</t>
    </rPh>
    <rPh sb="17" eb="20">
      <t>ダイヒョウシャ</t>
    </rPh>
    <rPh sb="23" eb="25">
      <t>ドウイツ</t>
    </rPh>
    <rPh sb="25" eb="27">
      <t>セイケイ</t>
    </rPh>
    <rPh sb="27" eb="28">
      <t>シャ</t>
    </rPh>
    <phoneticPr fontId="4"/>
  </si>
  <si>
    <t>対象者氏名（現在のご年齢）</t>
    <rPh sb="0" eb="2">
      <t>タイショウ</t>
    </rPh>
    <rPh sb="2" eb="3">
      <t>シャ</t>
    </rPh>
    <rPh sb="3" eb="5">
      <t>シメイ</t>
    </rPh>
    <rPh sb="6" eb="8">
      <t>ゲンザイ</t>
    </rPh>
    <rPh sb="10" eb="12">
      <t>ネンレイ</t>
    </rPh>
    <phoneticPr fontId="4"/>
  </si>
  <si>
    <t>駒寄太郎（例➡）</t>
    <rPh sb="0" eb="2">
      <t>コマヨセ</t>
    </rPh>
    <rPh sb="2" eb="4">
      <t>タロウ</t>
    </rPh>
    <rPh sb="5" eb="6">
      <t>レイ</t>
    </rPh>
    <phoneticPr fontId="5"/>
  </si>
  <si>
    <t>Ｒ７年度 敬老祝い品　受取り対象者　聞き取り票</t>
    <rPh sb="2" eb="3">
      <t>ネン</t>
    </rPh>
    <rPh sb="3" eb="4">
      <t>ド</t>
    </rPh>
    <rPh sb="14" eb="16">
      <t>タイショウ</t>
    </rPh>
    <rPh sb="18" eb="19">
      <t>キ</t>
    </rPh>
    <rPh sb="20" eb="21">
      <t>ト</t>
    </rPh>
    <rPh sb="22" eb="23">
      <t>ヒョウ</t>
    </rPh>
    <phoneticPr fontId="4"/>
  </si>
  <si>
    <t>評議員さんへのお願い</t>
    <rPh sb="0" eb="3">
      <t>ヒョウギイン</t>
    </rPh>
    <rPh sb="8" eb="9">
      <t>ネガ</t>
    </rPh>
    <phoneticPr fontId="4"/>
  </si>
  <si>
    <t>病院長期入院、ホーム長期入居者は対象外となります。</t>
    <rPh sb="0" eb="2">
      <t>ビョウイン</t>
    </rPh>
    <rPh sb="2" eb="4">
      <t>チョウキ</t>
    </rPh>
    <rPh sb="4" eb="6">
      <t>ニュウイン</t>
    </rPh>
    <rPh sb="10" eb="12">
      <t>チョウキ</t>
    </rPh>
    <rPh sb="12" eb="15">
      <t>ニュウキョシャ</t>
    </rPh>
    <rPh sb="16" eb="19">
      <t>タイショウガイ</t>
    </rPh>
    <phoneticPr fontId="4"/>
  </si>
  <si>
    <t>対象者
　□あり　　
　□なし</t>
    <phoneticPr fontId="4"/>
  </si>
  <si>
    <t>□受取り辞退・理由等　□その他</t>
    <rPh sb="1" eb="3">
      <t>ウケト</t>
    </rPh>
    <rPh sb="4" eb="6">
      <t>ジタイ</t>
    </rPh>
    <rPh sb="7" eb="9">
      <t>リユウ</t>
    </rPh>
    <rPh sb="9" eb="10">
      <t>トウ</t>
    </rPh>
    <rPh sb="14" eb="15">
      <t>タ</t>
    </rPh>
    <phoneticPr fontId="4"/>
  </si>
  <si>
    <t>駒寄次郎(76)、花子(74)</t>
    <phoneticPr fontId="4"/>
  </si>
  <si>
    <t>敬老祝い品  受取り対象者は、下記①～③を満たす方です。</t>
    <rPh sb="15" eb="17">
      <t>カキ</t>
    </rPh>
    <rPh sb="21" eb="22">
      <t>ミ</t>
    </rPh>
    <rPh sb="24" eb="25">
      <t>カタ</t>
    </rPh>
    <phoneticPr fontId="4"/>
  </si>
  <si>
    <t>③ 敬老の日（9月15日午前中）祝い品（お赤飯を）お受け取り可能な方</t>
    <rPh sb="2" eb="4">
      <t>ケイロウ</t>
    </rPh>
    <rPh sb="5" eb="6">
      <t>ヒ</t>
    </rPh>
    <rPh sb="8" eb="9">
      <t>ガツ</t>
    </rPh>
    <rPh sb="11" eb="12">
      <t>ニチ</t>
    </rPh>
    <rPh sb="12" eb="14">
      <t>ゴゼン</t>
    </rPh>
    <rPh sb="14" eb="15">
      <t>チュウ</t>
    </rPh>
    <rPh sb="16" eb="17">
      <t>イワ</t>
    </rPh>
    <rPh sb="18" eb="19">
      <t>ヒン</t>
    </rPh>
    <rPh sb="21" eb="23">
      <t>セキハン</t>
    </rPh>
    <rPh sb="26" eb="27">
      <t>ウ</t>
    </rPh>
    <rPh sb="28" eb="29">
      <t>ト</t>
    </rPh>
    <rPh sb="30" eb="32">
      <t>カノウ</t>
    </rPh>
    <rPh sb="33" eb="34">
      <t>カタ</t>
    </rPh>
    <phoneticPr fontId="4"/>
  </si>
  <si>
    <t>お赤飯は食品につき、当日受け取り可能な方のみを対象とさせていただきます。</t>
    <phoneticPr fontId="4"/>
  </si>
  <si>
    <t>Ｒ８年度 敬老祝い品　受取り対象者　聞き取り票</t>
    <rPh sb="2" eb="3">
      <t>ネン</t>
    </rPh>
    <rPh sb="3" eb="4">
      <t>ド</t>
    </rPh>
    <rPh sb="14" eb="16">
      <t>タイショウ</t>
    </rPh>
    <rPh sb="18" eb="19">
      <t>キ</t>
    </rPh>
    <rPh sb="20" eb="21">
      <t>ト</t>
    </rPh>
    <rPh sb="22" eb="23">
      <t>ヒョウ</t>
    </rPh>
    <phoneticPr fontId="4"/>
  </si>
  <si>
    <t>中村芳朗</t>
    <phoneticPr fontId="4"/>
  </si>
  <si>
    <t>中村治子</t>
    <phoneticPr fontId="4"/>
  </si>
  <si>
    <t>松川正士</t>
    <phoneticPr fontId="4"/>
  </si>
  <si>
    <t>平井進</t>
    <phoneticPr fontId="4"/>
  </si>
  <si>
    <t>長谷川聡</t>
    <phoneticPr fontId="4"/>
  </si>
  <si>
    <t>粟飯原功</t>
    <phoneticPr fontId="4"/>
  </si>
  <si>
    <t>佐藤たい子</t>
    <rPh sb="0" eb="2">
      <t>サトウ</t>
    </rPh>
    <rPh sb="4" eb="5">
      <t>コ</t>
    </rPh>
    <phoneticPr fontId="4"/>
  </si>
  <si>
    <t>高瀬一
高瀬幸子</t>
    <rPh sb="6" eb="8">
      <t>ユキコ</t>
    </rPh>
    <phoneticPr fontId="4"/>
  </si>
  <si>
    <t>齋藤勇</t>
    <phoneticPr fontId="4"/>
  </si>
  <si>
    <t>佐久間明</t>
    <phoneticPr fontId="4"/>
  </si>
  <si>
    <t>渋江康弘
渋江秀子</t>
    <rPh sb="7" eb="9">
      <t>ヒデコ</t>
    </rPh>
    <phoneticPr fontId="4"/>
  </si>
  <si>
    <t>武藤慎一</t>
    <rPh sb="2" eb="4">
      <t>シンイチ</t>
    </rPh>
    <phoneticPr fontId="4"/>
  </si>
  <si>
    <t>櫻井治
櫻井美保子</t>
    <rPh sb="6" eb="9">
      <t>ミホコ</t>
    </rPh>
    <phoneticPr fontId="4"/>
  </si>
  <si>
    <t>松永彰</t>
    <phoneticPr fontId="4"/>
  </si>
  <si>
    <t>橋本勇
橋本愛子</t>
    <rPh sb="6" eb="8">
      <t>アイコ</t>
    </rPh>
    <phoneticPr fontId="4"/>
  </si>
  <si>
    <t>青山順子</t>
    <rPh sb="0" eb="2">
      <t>アオヤマ</t>
    </rPh>
    <rPh sb="2" eb="4">
      <t>ジュンコ</t>
    </rPh>
    <phoneticPr fontId="4"/>
  </si>
  <si>
    <t>渡戸正志</t>
    <phoneticPr fontId="4"/>
  </si>
  <si>
    <t>小野怜子</t>
    <phoneticPr fontId="4"/>
  </si>
  <si>
    <t>齋藤和枝
齋藤礼子</t>
    <rPh sb="7" eb="9">
      <t>レイコ</t>
    </rPh>
    <phoneticPr fontId="4"/>
  </si>
  <si>
    <t>溝口美代子</t>
    <phoneticPr fontId="4"/>
  </si>
  <si>
    <t>橘鷹節子</t>
    <rPh sb="2" eb="4">
      <t>セツコ</t>
    </rPh>
    <phoneticPr fontId="4"/>
  </si>
  <si>
    <t>金子勲</t>
    <phoneticPr fontId="4"/>
  </si>
  <si>
    <t>菊池篤子</t>
    <rPh sb="0" eb="2">
      <t>キクチ</t>
    </rPh>
    <rPh sb="2" eb="4">
      <t>アツコ</t>
    </rPh>
    <phoneticPr fontId="4"/>
  </si>
  <si>
    <t>福寿早苗</t>
    <phoneticPr fontId="4"/>
  </si>
  <si>
    <t>小山米子</t>
    <phoneticPr fontId="4"/>
  </si>
  <si>
    <t>須田公子</t>
    <phoneticPr fontId="4"/>
  </si>
  <si>
    <t>渡邊幾子</t>
    <rPh sb="2" eb="4">
      <t>イクコ</t>
    </rPh>
    <phoneticPr fontId="4"/>
  </si>
  <si>
    <t>乾タヅ子</t>
    <phoneticPr fontId="4"/>
  </si>
  <si>
    <t>矢部謙三</t>
    <phoneticPr fontId="4"/>
  </si>
  <si>
    <t>山田恭一</t>
    <phoneticPr fontId="4"/>
  </si>
  <si>
    <t>森良枝</t>
    <phoneticPr fontId="4"/>
  </si>
  <si>
    <t>小田切幸男</t>
    <phoneticPr fontId="4"/>
  </si>
  <si>
    <t>福島紀一
福島玲子</t>
    <rPh sb="7" eb="9">
      <t>レイコ</t>
    </rPh>
    <phoneticPr fontId="4"/>
  </si>
  <si>
    <t>名取眞代</t>
    <phoneticPr fontId="4"/>
  </si>
  <si>
    <t>滝本千和子</t>
    <rPh sb="2" eb="5">
      <t>チワコ</t>
    </rPh>
    <phoneticPr fontId="4"/>
  </si>
  <si>
    <t>御薗節子</t>
    <phoneticPr fontId="4"/>
  </si>
  <si>
    <t>小松誠
小松郁世</t>
    <rPh sb="6" eb="8">
      <t>イクヨ</t>
    </rPh>
    <phoneticPr fontId="4"/>
  </si>
  <si>
    <t>霜村紀子</t>
    <phoneticPr fontId="4"/>
  </si>
  <si>
    <t>吉田初枝</t>
    <phoneticPr fontId="4"/>
  </si>
  <si>
    <t>岩垂晴夫
岩垂正子</t>
    <rPh sb="7" eb="9">
      <t>マサコ</t>
    </rPh>
    <phoneticPr fontId="4"/>
  </si>
  <si>
    <t>斉田芳久</t>
    <phoneticPr fontId="4"/>
  </si>
  <si>
    <t>佐藤シズエ</t>
    <phoneticPr fontId="4"/>
  </si>
  <si>
    <t>佐々木誠</t>
    <phoneticPr fontId="4"/>
  </si>
  <si>
    <t>田口英弼
田口アヤ子</t>
    <rPh sb="9" eb="10">
      <t>コ</t>
    </rPh>
    <phoneticPr fontId="4"/>
  </si>
  <si>
    <t>勇士時生</t>
    <phoneticPr fontId="4"/>
  </si>
  <si>
    <t>小林弘子</t>
    <phoneticPr fontId="4"/>
  </si>
  <si>
    <t>宮下忠夫
宮下眞理子</t>
    <rPh sb="7" eb="10">
      <t>マリコ</t>
    </rPh>
    <phoneticPr fontId="4"/>
  </si>
  <si>
    <t>井波純一
井波外茂子</t>
    <rPh sb="7" eb="8">
      <t>ソト</t>
    </rPh>
    <rPh sb="8" eb="10">
      <t>シゲコ</t>
    </rPh>
    <phoneticPr fontId="4"/>
  </si>
  <si>
    <t>宗像進
宗像久美子</t>
    <rPh sb="6" eb="9">
      <t>クミコ</t>
    </rPh>
    <phoneticPr fontId="4"/>
  </si>
  <si>
    <t>関根伸成
関根晃子</t>
    <rPh sb="7" eb="9">
      <t>アキコ</t>
    </rPh>
    <phoneticPr fontId="4"/>
  </si>
  <si>
    <t>手塚文子</t>
    <phoneticPr fontId="4"/>
  </si>
  <si>
    <t>星川ツル</t>
    <phoneticPr fontId="4"/>
  </si>
  <si>
    <t>爲廣哲朗</t>
    <phoneticPr fontId="4"/>
  </si>
  <si>
    <t>中根佳江</t>
    <phoneticPr fontId="4"/>
  </si>
  <si>
    <t>大塚孝史</t>
    <phoneticPr fontId="4"/>
  </si>
  <si>
    <t>鴨崎昶美</t>
    <phoneticPr fontId="4"/>
  </si>
  <si>
    <t>杉本一久</t>
    <phoneticPr fontId="4"/>
  </si>
  <si>
    <t>内山巧</t>
    <phoneticPr fontId="4"/>
  </si>
  <si>
    <t>堀江善幸
堀江和美</t>
    <rPh sb="7" eb="9">
      <t>カズミ</t>
    </rPh>
    <phoneticPr fontId="4"/>
  </si>
  <si>
    <t>水内房江</t>
    <rPh sb="0" eb="2">
      <t>ミズウチ</t>
    </rPh>
    <rPh sb="2" eb="4">
      <t>フサエ</t>
    </rPh>
    <phoneticPr fontId="2"/>
  </si>
  <si>
    <t>水内房江</t>
    <phoneticPr fontId="4"/>
  </si>
  <si>
    <t>阿部治</t>
    <phoneticPr fontId="4"/>
  </si>
  <si>
    <t>八子スエ子</t>
    <rPh sb="0" eb="1">
      <t>8</t>
    </rPh>
    <rPh sb="1" eb="2">
      <t>コ</t>
    </rPh>
    <rPh sb="4" eb="5">
      <t>コ</t>
    </rPh>
    <phoneticPr fontId="2"/>
  </si>
  <si>
    <t>八子スエ子</t>
    <phoneticPr fontId="4"/>
  </si>
  <si>
    <t>金井六平</t>
    <phoneticPr fontId="4"/>
  </si>
  <si>
    <t>小池弘
小池晃子</t>
    <rPh sb="6" eb="8">
      <t>アキコ</t>
    </rPh>
    <phoneticPr fontId="4"/>
  </si>
  <si>
    <t>多和エイ子</t>
    <phoneticPr fontId="4"/>
  </si>
  <si>
    <t>藤巻明子</t>
    <phoneticPr fontId="4"/>
  </si>
  <si>
    <t>澤藤成穂
澤藤年子</t>
    <rPh sb="7" eb="8">
      <t>ネン</t>
    </rPh>
    <rPh sb="8" eb="9">
      <t>コ</t>
    </rPh>
    <phoneticPr fontId="4"/>
  </si>
  <si>
    <t>中島京子</t>
    <phoneticPr fontId="4"/>
  </si>
  <si>
    <t>軍司由利子</t>
    <phoneticPr fontId="4"/>
  </si>
  <si>
    <t>内田純久</t>
    <phoneticPr fontId="4"/>
  </si>
  <si>
    <t>山下信子</t>
    <phoneticPr fontId="4"/>
  </si>
  <si>
    <t>伊藤静江</t>
    <rPh sb="2" eb="4">
      <t>シズエ</t>
    </rPh>
    <phoneticPr fontId="4"/>
  </si>
  <si>
    <t>熊本義明</t>
    <phoneticPr fontId="4"/>
  </si>
  <si>
    <t>山田つるゑ</t>
    <phoneticPr fontId="4"/>
  </si>
  <si>
    <t>渡邊俊郎</t>
    <phoneticPr fontId="4"/>
  </si>
  <si>
    <t>松村和彦
松村敏江</t>
    <rPh sb="7" eb="9">
      <t>トシエ</t>
    </rPh>
    <phoneticPr fontId="4"/>
  </si>
  <si>
    <t>宮川光枝</t>
    <rPh sb="2" eb="4">
      <t>ミツエ</t>
    </rPh>
    <phoneticPr fontId="4"/>
  </si>
  <si>
    <t>長沼千賀子</t>
    <phoneticPr fontId="4"/>
  </si>
  <si>
    <t>町田恵資</t>
    <phoneticPr fontId="4"/>
  </si>
  <si>
    <t>平野洋一</t>
    <phoneticPr fontId="4"/>
  </si>
  <si>
    <t>渡邊秀一</t>
    <phoneticPr fontId="4"/>
  </si>
  <si>
    <t>鳥居知加代</t>
    <rPh sb="0" eb="2">
      <t>トリイ</t>
    </rPh>
    <phoneticPr fontId="5"/>
  </si>
  <si>
    <t>宮野弘明</t>
    <rPh sb="0" eb="2">
      <t>ミヤノ</t>
    </rPh>
    <phoneticPr fontId="5"/>
  </si>
  <si>
    <t>齋藤智子</t>
    <rPh sb="0" eb="2">
      <t>サイトウ</t>
    </rPh>
    <phoneticPr fontId="5"/>
  </si>
  <si>
    <t>井岡拓也</t>
    <phoneticPr fontId="4"/>
  </si>
  <si>
    <t>上田隆</t>
    <rPh sb="0" eb="2">
      <t>ウエダ</t>
    </rPh>
    <phoneticPr fontId="2"/>
  </si>
  <si>
    <t>黒部隼斗</t>
    <rPh sb="0" eb="2">
      <t>クロベ</t>
    </rPh>
    <rPh sb="2" eb="4">
      <t>ハヤト</t>
    </rPh>
    <phoneticPr fontId="2"/>
  </si>
  <si>
    <t>板倉里美</t>
    <phoneticPr fontId="4"/>
  </si>
  <si>
    <t>和田光平</t>
    <phoneticPr fontId="4"/>
  </si>
  <si>
    <t>横森雄太</t>
    <phoneticPr fontId="4"/>
  </si>
  <si>
    <t>ﾎﾜｲﾄｽﾃｰｼﾞ201号室</t>
    <phoneticPr fontId="4"/>
  </si>
  <si>
    <t>ﾎﾜｲﾄｽﾃｰｼﾞ202号室</t>
    <phoneticPr fontId="4"/>
  </si>
  <si>
    <t>佐藤元信</t>
    <rPh sb="0" eb="2">
      <t>サトウ</t>
    </rPh>
    <phoneticPr fontId="2"/>
  </si>
  <si>
    <t>③ 敬老の日（9月21日午前中）祝い品（お赤飯を）お受け取り可能な方</t>
    <rPh sb="2" eb="4">
      <t>ケイロウ</t>
    </rPh>
    <rPh sb="5" eb="6">
      <t>ヒ</t>
    </rPh>
    <rPh sb="8" eb="9">
      <t>ガツ</t>
    </rPh>
    <rPh sb="11" eb="12">
      <t>ニチ</t>
    </rPh>
    <rPh sb="12" eb="14">
      <t>ゴゼン</t>
    </rPh>
    <rPh sb="14" eb="15">
      <t>チュウ</t>
    </rPh>
    <rPh sb="16" eb="17">
      <t>イワ</t>
    </rPh>
    <rPh sb="18" eb="19">
      <t>ヒン</t>
    </rPh>
    <rPh sb="21" eb="23">
      <t>セキハン</t>
    </rPh>
    <rPh sb="26" eb="27">
      <t>ウ</t>
    </rPh>
    <rPh sb="28" eb="29">
      <t>ト</t>
    </rPh>
    <rPh sb="30" eb="32">
      <t>カノウ</t>
    </rPh>
    <rPh sb="33" eb="34">
      <t>カタ</t>
    </rPh>
    <phoneticPr fontId="4"/>
  </si>
  <si>
    <t>利根川剛士</t>
    <rPh sb="0" eb="2">
      <t>トネ</t>
    </rPh>
    <rPh sb="2" eb="3">
      <t>ガワ</t>
    </rPh>
    <rPh sb="3" eb="5">
      <t>ツヨシ</t>
    </rPh>
    <phoneticPr fontId="2"/>
  </si>
  <si>
    <t>濱野裕史</t>
    <phoneticPr fontId="4"/>
  </si>
  <si>
    <t>佐藤順子（ﾖﾘｺ）</t>
    <rPh sb="2" eb="4">
      <t>ジュンコ</t>
    </rPh>
    <phoneticPr fontId="4"/>
  </si>
  <si>
    <t>渡辺八重子</t>
    <phoneticPr fontId="4"/>
  </si>
  <si>
    <t>602号室
山 田 恭 一</t>
    <rPh sb="6" eb="7">
      <t>ヤマ</t>
    </rPh>
    <rPh sb="8" eb="9">
      <t>タ</t>
    </rPh>
    <rPh sb="10" eb="11">
      <t>ヤスシ</t>
    </rPh>
    <rPh sb="12" eb="13">
      <t>ハジメ</t>
    </rPh>
    <phoneticPr fontId="4"/>
  </si>
  <si>
    <r>
      <t xml:space="preserve">対象者
</t>
    </r>
    <r>
      <rPr>
        <sz val="11"/>
        <color rgb="FFFF0000"/>
        <rFont val="BIZ UDゴシック"/>
        <family val="2"/>
        <charset val="128"/>
      </rPr>
      <t>　</t>
    </r>
    <r>
      <rPr>
        <b/>
        <sz val="11"/>
        <color rgb="FFFF0000"/>
        <rFont val="Segoe UI Symbol"/>
        <family val="2"/>
      </rPr>
      <t>☑</t>
    </r>
    <r>
      <rPr>
        <sz val="11"/>
        <color rgb="FFFF0000"/>
        <rFont val="BIZ UDゴシック"/>
        <family val="3"/>
        <charset val="128"/>
      </rPr>
      <t>あり　　
　□なし</t>
    </r>
    <phoneticPr fontId="5"/>
  </si>
  <si>
    <r>
      <t>□受取り辞退・理由等　</t>
    </r>
    <r>
      <rPr>
        <b/>
        <sz val="11"/>
        <color rgb="FFFF0000"/>
        <rFont val="Segoe UI Symbol"/>
        <family val="3"/>
      </rPr>
      <t>☑</t>
    </r>
    <r>
      <rPr>
        <sz val="11"/>
        <color rgb="FFFF0000"/>
        <rFont val="BIZ UDゴシック"/>
        <family val="3"/>
        <charset val="128"/>
      </rPr>
      <t xml:space="preserve">その他
</t>
    </r>
    <r>
      <rPr>
        <sz val="14"/>
        <color rgb="FFFF0000"/>
        <rFont val="BIZ UDゴシック"/>
        <family val="3"/>
        <charset val="128"/>
      </rPr>
      <t>　</t>
    </r>
    <r>
      <rPr>
        <b/>
        <i/>
        <sz val="14"/>
        <color rgb="FFFF0000"/>
        <rFont val="BIZ UDゴシック"/>
        <family val="3"/>
        <charset val="128"/>
      </rPr>
      <t>花子：11月で満75才</t>
    </r>
    <rPh sb="1" eb="3">
      <t>ウケト</t>
    </rPh>
    <rPh sb="4" eb="6">
      <t>ジタイ</t>
    </rPh>
    <rPh sb="7" eb="9">
      <t>リユウ</t>
    </rPh>
    <rPh sb="9" eb="10">
      <t>トウ</t>
    </rPh>
    <rPh sb="14" eb="15">
      <t>タ</t>
    </rPh>
    <rPh sb="17" eb="19">
      <t>ハナコ</t>
    </rPh>
    <rPh sb="22" eb="23">
      <t>ガツ</t>
    </rPh>
    <rPh sb="24" eb="25">
      <t>マン</t>
    </rPh>
    <rPh sb="27" eb="28">
      <t>サイ</t>
    </rPh>
    <phoneticPr fontId="4"/>
  </si>
  <si>
    <r>
      <t>所属班の各世帯から聞き取った内容を本用紙に記入し、</t>
    </r>
    <r>
      <rPr>
        <b/>
        <u/>
        <sz val="11"/>
        <color rgb="FFFF0000"/>
        <rFont val="BIZ UDゴシック"/>
        <family val="3"/>
        <charset val="128"/>
      </rPr>
      <t>９月７日の定例会に必ずご持参ください</t>
    </r>
    <r>
      <rPr>
        <sz val="11"/>
        <color rgb="FFFF0000"/>
        <rFont val="BIZ UDゴシック"/>
        <family val="3"/>
        <charset val="128"/>
      </rPr>
      <t>。</t>
    </r>
    <rPh sb="0" eb="2">
      <t>ショゾク</t>
    </rPh>
    <rPh sb="2" eb="3">
      <t>ハン</t>
    </rPh>
    <rPh sb="4" eb="5">
      <t>カク</t>
    </rPh>
    <rPh sb="5" eb="7">
      <t>セタイ</t>
    </rPh>
    <rPh sb="9" eb="10">
      <t>キ</t>
    </rPh>
    <rPh sb="11" eb="12">
      <t>ト</t>
    </rPh>
    <rPh sb="14" eb="16">
      <t>ナイヨウ</t>
    </rPh>
    <rPh sb="17" eb="18">
      <t>ホン</t>
    </rPh>
    <rPh sb="18" eb="20">
      <t>ヨウシ</t>
    </rPh>
    <rPh sb="21" eb="23">
      <t>キニュウ</t>
    </rPh>
    <rPh sb="34" eb="35">
      <t>カナラ</t>
    </rPh>
    <phoneticPr fontId="4"/>
  </si>
  <si>
    <r>
      <t>② 1950年（昭和25年）12月31日以前生れの方（2025年</t>
    </r>
    <r>
      <rPr>
        <b/>
        <u/>
        <sz val="11"/>
        <color rgb="FFFF0000"/>
        <rFont val="BIZ UDゴシック"/>
        <family val="3"/>
        <charset val="128"/>
      </rPr>
      <t>12月31日時点で75歳以上の方</t>
    </r>
    <r>
      <rPr>
        <sz val="11"/>
        <color rgb="FFFF0000"/>
        <rFont val="BIZ UDゴシック"/>
        <family val="3"/>
        <charset val="128"/>
      </rPr>
      <t>）</t>
    </r>
    <rPh sb="31" eb="32">
      <t>ネン</t>
    </rPh>
    <rPh sb="34" eb="35">
      <t>ガツ</t>
    </rPh>
    <rPh sb="37" eb="38">
      <t>ニチ</t>
    </rPh>
    <rPh sb="38" eb="40">
      <t>ジテン</t>
    </rPh>
    <rPh sb="43" eb="44">
      <t>サイ</t>
    </rPh>
    <rPh sb="44" eb="46">
      <t>イジョウ</t>
    </rPh>
    <rPh sb="47" eb="48">
      <t>カタ</t>
    </rPh>
    <phoneticPr fontId="4"/>
  </si>
  <si>
    <r>
      <t>和田京子（</t>
    </r>
    <r>
      <rPr>
        <sz val="12"/>
        <rFont val="BIZ UDゴシック"/>
        <family val="3"/>
        <charset val="128"/>
      </rPr>
      <t>行政名簿外）</t>
    </r>
    <rPh sb="2" eb="4">
      <t>キョウコ</t>
    </rPh>
    <rPh sb="5" eb="7">
      <t>ギョウセイ</t>
    </rPh>
    <rPh sb="7" eb="9">
      <t>メイボ</t>
    </rPh>
    <rPh sb="9" eb="10">
      <t>ガイ</t>
    </rPh>
    <phoneticPr fontId="4"/>
  </si>
  <si>
    <t>鍋田益男</t>
    <rPh sb="0" eb="2">
      <t>ナベタ</t>
    </rPh>
    <rPh sb="2" eb="4">
      <t>マスオ</t>
    </rPh>
    <phoneticPr fontId="5"/>
  </si>
  <si>
    <t>鍋田益男（行政名簿外）
鍋田久枝</t>
    <rPh sb="5" eb="7">
      <t>ギョウセイ</t>
    </rPh>
    <rPh sb="7" eb="9">
      <t>メイボ</t>
    </rPh>
    <rPh sb="9" eb="10">
      <t>ガイ</t>
    </rPh>
    <rPh sb="14" eb="16">
      <t>ヒサエ</t>
    </rPh>
    <phoneticPr fontId="4"/>
  </si>
  <si>
    <t>中村修一（行政名簿外）</t>
    <rPh sb="2" eb="4">
      <t>シュウイチ</t>
    </rPh>
    <phoneticPr fontId="4"/>
  </si>
  <si>
    <t>宮川正子（行政名簿外）</t>
    <phoneticPr fontId="4"/>
  </si>
  <si>
    <t>小澤典子</t>
    <phoneticPr fontId="4"/>
  </si>
  <si>
    <t>鹿野玲子</t>
    <rPh sb="2" eb="4">
      <t>レイコ</t>
    </rPh>
    <phoneticPr fontId="4"/>
  </si>
  <si>
    <t>須藤滉（ﾀｹｼ）</t>
    <rPh sb="0" eb="2">
      <t>スドウ</t>
    </rPh>
    <rPh sb="2" eb="3">
      <t>ヒロシ</t>
    </rPh>
    <phoneticPr fontId="4"/>
  </si>
  <si>
    <t>601号室
佐 々 木 宏 子</t>
    <rPh sb="6" eb="7">
      <t>タスク</t>
    </rPh>
    <rPh sb="10" eb="11">
      <t>キ</t>
    </rPh>
    <rPh sb="12" eb="13">
      <t>ヒロシ</t>
    </rPh>
    <rPh sb="14" eb="15">
      <t>コ</t>
    </rPh>
    <phoneticPr fontId="4"/>
  </si>
  <si>
    <t>603号室
佐 々 木 雅 浩</t>
    <rPh sb="6" eb="7">
      <t>タスク</t>
    </rPh>
    <rPh sb="10" eb="11">
      <t>キ</t>
    </rPh>
    <rPh sb="12" eb="13">
      <t>マサシ</t>
    </rPh>
    <rPh sb="14" eb="15">
      <t>ヒロシ</t>
    </rPh>
    <phoneticPr fontId="4"/>
  </si>
  <si>
    <t>703号室
荒  井  照  男</t>
    <rPh sb="6" eb="7">
      <t>アラ</t>
    </rPh>
    <rPh sb="9" eb="10">
      <t>イ</t>
    </rPh>
    <rPh sb="12" eb="13">
      <t>ショウ</t>
    </rPh>
    <rPh sb="15" eb="16">
      <t>オトコ</t>
    </rPh>
    <phoneticPr fontId="4"/>
  </si>
  <si>
    <t>702号室
伊 藤 健 二</t>
    <rPh sb="6" eb="7">
      <t>イ</t>
    </rPh>
    <rPh sb="8" eb="9">
      <t>フジ</t>
    </rPh>
    <rPh sb="10" eb="11">
      <t>ケン</t>
    </rPh>
    <rPh sb="12" eb="13">
      <t>フタ</t>
    </rPh>
    <phoneticPr fontId="4"/>
  </si>
  <si>
    <t>701号室
杉 澤 知 美</t>
    <rPh sb="6" eb="7">
      <t>スギ</t>
    </rPh>
    <rPh sb="8" eb="9">
      <t>サワ</t>
    </rPh>
    <rPh sb="10" eb="11">
      <t>チ</t>
    </rPh>
    <rPh sb="12" eb="13">
      <t>ビ</t>
    </rPh>
    <phoneticPr fontId="4"/>
  </si>
  <si>
    <t>802号室
千 葉 幸 代</t>
    <rPh sb="6" eb="7">
      <t>セン</t>
    </rPh>
    <rPh sb="8" eb="9">
      <t>ハ</t>
    </rPh>
    <rPh sb="10" eb="11">
      <t>サチ</t>
    </rPh>
    <rPh sb="12" eb="13">
      <t>ダイ</t>
    </rPh>
    <phoneticPr fontId="4"/>
  </si>
  <si>
    <t>801号室
矢 部 謙 三</t>
    <rPh sb="6" eb="7">
      <t>ヤ</t>
    </rPh>
    <rPh sb="8" eb="9">
      <t>ブ</t>
    </rPh>
    <rPh sb="10" eb="11">
      <t>ケン</t>
    </rPh>
    <rPh sb="12" eb="13">
      <t>ミ</t>
    </rPh>
    <phoneticPr fontId="4"/>
  </si>
  <si>
    <t>902号室
乾 タ ヅ 子</t>
    <rPh sb="6" eb="7">
      <t>イヌイ</t>
    </rPh>
    <rPh sb="12" eb="13">
      <t>コ</t>
    </rPh>
    <phoneticPr fontId="4"/>
  </si>
  <si>
    <t>901号室
渡 邊 幾 子</t>
    <rPh sb="6" eb="7">
      <t>ワタリ</t>
    </rPh>
    <rPh sb="8" eb="9">
      <t>ベ</t>
    </rPh>
    <rPh sb="10" eb="11">
      <t>イク</t>
    </rPh>
    <phoneticPr fontId="4"/>
  </si>
  <si>
    <t>501号室
森 良 枝</t>
    <rPh sb="6" eb="7">
      <t>モリ</t>
    </rPh>
    <rPh sb="8" eb="9">
      <t>ヨ</t>
    </rPh>
    <rPh sb="10" eb="11">
      <t>エ</t>
    </rPh>
    <phoneticPr fontId="4"/>
  </si>
  <si>
    <t>502号室
千 葉 満</t>
    <rPh sb="6" eb="7">
      <t>セン</t>
    </rPh>
    <rPh sb="8" eb="9">
      <t>ハ</t>
    </rPh>
    <rPh sb="10" eb="11">
      <t>ミツル</t>
    </rPh>
    <phoneticPr fontId="4"/>
  </si>
  <si>
    <t>503号室
鎌 田 智 士</t>
    <rPh sb="6" eb="7">
      <t>カマ</t>
    </rPh>
    <rPh sb="8" eb="9">
      <t>タ</t>
    </rPh>
    <rPh sb="10" eb="11">
      <t>サトシ</t>
    </rPh>
    <rPh sb="12" eb="13">
      <t>シ</t>
    </rPh>
    <phoneticPr fontId="4"/>
  </si>
  <si>
    <t>504号室
古 川 孝 一</t>
    <rPh sb="6" eb="7">
      <t>フル</t>
    </rPh>
    <rPh sb="8" eb="9">
      <t>カワ</t>
    </rPh>
    <rPh sb="10" eb="11">
      <t>タカシ</t>
    </rPh>
    <rPh sb="12" eb="13">
      <t>ハジメ</t>
    </rPh>
    <phoneticPr fontId="4"/>
  </si>
  <si>
    <t>401号室
杉 森 正 博</t>
    <rPh sb="6" eb="7">
      <t>スギ</t>
    </rPh>
    <rPh sb="8" eb="9">
      <t>モリ</t>
    </rPh>
    <rPh sb="10" eb="11">
      <t>タダシ</t>
    </rPh>
    <rPh sb="12" eb="13">
      <t>ヒロシ</t>
    </rPh>
    <phoneticPr fontId="4"/>
  </si>
  <si>
    <t>402号室
山 口 明 良</t>
    <rPh sb="6" eb="7">
      <t>ヤマ</t>
    </rPh>
    <rPh sb="8" eb="9">
      <t>クチ</t>
    </rPh>
    <rPh sb="10" eb="11">
      <t>アキラ</t>
    </rPh>
    <rPh sb="12" eb="13">
      <t>リョウ</t>
    </rPh>
    <phoneticPr fontId="4"/>
  </si>
  <si>
    <t>403号室
齋 藤 耕 平</t>
    <rPh sb="6" eb="7">
      <t>イツ</t>
    </rPh>
    <rPh sb="8" eb="9">
      <t>フジ</t>
    </rPh>
    <rPh sb="10" eb="11">
      <t>コウ</t>
    </rPh>
    <rPh sb="12" eb="13">
      <t>ヒラ</t>
    </rPh>
    <phoneticPr fontId="4"/>
  </si>
  <si>
    <t>404号室
小 田 切 幸 男</t>
    <rPh sb="6" eb="7">
      <t>コ</t>
    </rPh>
    <rPh sb="8" eb="9">
      <t>タ</t>
    </rPh>
    <rPh sb="10" eb="11">
      <t>キリ</t>
    </rPh>
    <rPh sb="12" eb="13">
      <t>サチ</t>
    </rPh>
    <rPh sb="14" eb="15">
      <t>オトコ</t>
    </rPh>
    <phoneticPr fontId="4"/>
  </si>
  <si>
    <t>301号室
矢 畑 進</t>
    <rPh sb="6" eb="7">
      <t>ヤ</t>
    </rPh>
    <rPh sb="8" eb="9">
      <t>ハタ</t>
    </rPh>
    <rPh sb="10" eb="11">
      <t>スス</t>
    </rPh>
    <phoneticPr fontId="4"/>
  </si>
  <si>
    <t>302号室
杉 山 政 臣</t>
    <rPh sb="6" eb="7">
      <t>スギ</t>
    </rPh>
    <rPh sb="8" eb="9">
      <t>ヤマ</t>
    </rPh>
    <rPh sb="10" eb="11">
      <t>セイ</t>
    </rPh>
    <phoneticPr fontId="4"/>
  </si>
  <si>
    <t>303号室
丸 茂 治 彦</t>
    <rPh sb="6" eb="7">
      <t>マル</t>
    </rPh>
    <rPh sb="8" eb="9">
      <t>シゲル</t>
    </rPh>
    <rPh sb="10" eb="11">
      <t>オサム</t>
    </rPh>
    <rPh sb="12" eb="13">
      <t>ヒコ</t>
    </rPh>
    <phoneticPr fontId="4"/>
  </si>
  <si>
    <t>304号室
山 岸 靖 子</t>
    <rPh sb="6" eb="7">
      <t>ヤマ</t>
    </rPh>
    <rPh sb="8" eb="9">
      <t>キシ</t>
    </rPh>
    <rPh sb="10" eb="11">
      <t>ヤスシ</t>
    </rPh>
    <rPh sb="12" eb="13">
      <t>コ</t>
    </rPh>
    <phoneticPr fontId="4"/>
  </si>
  <si>
    <t>201号室
渡 邉 健 志</t>
    <phoneticPr fontId="4"/>
  </si>
  <si>
    <t>202号室
高 橋 昭 仁</t>
    <rPh sb="6" eb="7">
      <t>コウ</t>
    </rPh>
    <rPh sb="8" eb="9">
      <t>ハシ</t>
    </rPh>
    <rPh sb="10" eb="11">
      <t>ショウ</t>
    </rPh>
    <rPh sb="12" eb="13">
      <t>ジン</t>
    </rPh>
    <phoneticPr fontId="4"/>
  </si>
  <si>
    <t>203号室
雨 海 正 男</t>
    <rPh sb="6" eb="7">
      <t>アメ</t>
    </rPh>
    <rPh sb="8" eb="9">
      <t>ウミ</t>
    </rPh>
    <rPh sb="10" eb="11">
      <t>タダシ</t>
    </rPh>
    <rPh sb="12" eb="13">
      <t>オトコ</t>
    </rPh>
    <phoneticPr fontId="4"/>
  </si>
  <si>
    <t>204号室
高 橋 博 満</t>
    <rPh sb="6" eb="7">
      <t>コウ</t>
    </rPh>
    <rPh sb="8" eb="9">
      <t>ハシ</t>
    </rPh>
    <rPh sb="10" eb="11">
      <t>ヒロシ</t>
    </rPh>
    <rPh sb="12" eb="13">
      <t>マン</t>
    </rPh>
    <phoneticPr fontId="4"/>
  </si>
  <si>
    <r>
      <t>② 昭和26年（1951年）12月31日以前生れの方（2026年</t>
    </r>
    <r>
      <rPr>
        <b/>
        <u/>
        <sz val="11"/>
        <rFont val="BIZ UDゴシック"/>
        <family val="3"/>
        <charset val="128"/>
      </rPr>
      <t>12月31日時点で75歳以上の方</t>
    </r>
    <r>
      <rPr>
        <sz val="11"/>
        <rFont val="BIZ UDゴシック"/>
        <family val="3"/>
        <charset val="128"/>
      </rPr>
      <t>）</t>
    </r>
    <rPh sb="31" eb="32">
      <t>ネン</t>
    </rPh>
    <rPh sb="34" eb="35">
      <t>ガツ</t>
    </rPh>
    <rPh sb="37" eb="38">
      <t>ニチ</t>
    </rPh>
    <rPh sb="38" eb="40">
      <t>ジテン</t>
    </rPh>
    <rPh sb="43" eb="44">
      <t>サイ</t>
    </rPh>
    <rPh sb="44" eb="46">
      <t>イジョウ</t>
    </rPh>
    <rPh sb="47" eb="48">
      <t>カタ</t>
    </rPh>
    <phoneticPr fontId="4"/>
  </si>
  <si>
    <t>※お赤飯は食品につき、当日受け取り可能な方のみを対象とさせていただきます。</t>
    <phoneticPr fontId="4"/>
  </si>
  <si>
    <t>※既に対象者氏名が印刷されている方については年齢の記入不要です。</t>
    <rPh sb="1" eb="2">
      <t>スデ</t>
    </rPh>
    <rPh sb="3" eb="6">
      <t>タイショウシャ</t>
    </rPh>
    <rPh sb="6" eb="8">
      <t>シメイ</t>
    </rPh>
    <rPh sb="9" eb="11">
      <t>インサツ</t>
    </rPh>
    <rPh sb="16" eb="17">
      <t>カタ</t>
    </rPh>
    <rPh sb="22" eb="24">
      <t>ネンレイ</t>
    </rPh>
    <rPh sb="25" eb="27">
      <t>キニュウ</t>
    </rPh>
    <rPh sb="27" eb="29">
      <t>フヨウ</t>
    </rPh>
    <phoneticPr fontId="4"/>
  </si>
  <si>
    <t>所属班の各世帯から聞き取った内容を本用紙に記入し、９月６日の定例会に必ずご持参ください。</t>
    <rPh sb="0" eb="2">
      <t>ショゾク</t>
    </rPh>
    <rPh sb="2" eb="3">
      <t>ハン</t>
    </rPh>
    <rPh sb="4" eb="5">
      <t>カク</t>
    </rPh>
    <rPh sb="5" eb="7">
      <t>セタイ</t>
    </rPh>
    <rPh sb="9" eb="10">
      <t>キ</t>
    </rPh>
    <rPh sb="11" eb="12">
      <t>ト</t>
    </rPh>
    <rPh sb="14" eb="16">
      <t>ナイヨウ</t>
    </rPh>
    <rPh sb="17" eb="18">
      <t>ホン</t>
    </rPh>
    <rPh sb="18" eb="20">
      <t>ヨウシ</t>
    </rPh>
    <rPh sb="21" eb="23">
      <t>キニュウ</t>
    </rPh>
    <rPh sb="34" eb="35">
      <t>カナラ</t>
    </rPh>
    <phoneticPr fontId="4"/>
  </si>
  <si>
    <t>903号室</t>
    <phoneticPr fontId="4"/>
  </si>
  <si>
    <t>904号室</t>
    <phoneticPr fontId="4"/>
  </si>
  <si>
    <t>804号室</t>
    <phoneticPr fontId="4"/>
  </si>
  <si>
    <t>駒寄次郎(76)、花子(74)
※花子：11月で満75才</t>
    <phoneticPr fontId="4"/>
  </si>
  <si>
    <r>
      <t>□受取り辞退・理由等　</t>
    </r>
    <r>
      <rPr>
        <b/>
        <sz val="14"/>
        <color theme="1"/>
        <rFont val="Segoe UI Symbol"/>
        <family val="2"/>
      </rPr>
      <t>☑</t>
    </r>
    <r>
      <rPr>
        <sz val="14"/>
        <color theme="1"/>
        <rFont val="BIZ UDゴシック"/>
        <family val="3"/>
        <charset val="128"/>
      </rPr>
      <t>その他</t>
    </r>
    <r>
      <rPr>
        <sz val="2"/>
        <color theme="1"/>
        <rFont val="BIZ UDゴシック"/>
        <family val="3"/>
        <charset val="128"/>
      </rPr>
      <t xml:space="preserve">
</t>
    </r>
    <r>
      <rPr>
        <sz val="12"/>
        <color theme="1"/>
        <rFont val="BIZ UDゴシック"/>
        <family val="3"/>
        <charset val="128"/>
      </rPr>
      <t>留守のときは○○宅に預けてください</t>
    </r>
    <rPh sb="1" eb="3">
      <t>ウケト</t>
    </rPh>
    <rPh sb="4" eb="6">
      <t>ジタイ</t>
    </rPh>
    <rPh sb="7" eb="9">
      <t>リユウ</t>
    </rPh>
    <rPh sb="9" eb="10">
      <t>トウ</t>
    </rPh>
    <rPh sb="14" eb="15">
      <t>タ</t>
    </rPh>
    <rPh sb="17" eb="19">
      <t>ルス</t>
    </rPh>
    <rPh sb="25" eb="26">
      <t>タク</t>
    </rPh>
    <rPh sb="27" eb="28">
      <t>アズ</t>
    </rPh>
    <phoneticPr fontId="4"/>
  </si>
  <si>
    <r>
      <t>□受取り辞退・理由等　</t>
    </r>
    <r>
      <rPr>
        <b/>
        <sz val="14"/>
        <color theme="1"/>
        <rFont val="BIZ UDゴシック"/>
        <family val="3"/>
        <charset val="128"/>
      </rPr>
      <t>☑</t>
    </r>
    <r>
      <rPr>
        <sz val="14"/>
        <color theme="1"/>
        <rFont val="BIZ UDゴシック"/>
        <family val="3"/>
        <charset val="128"/>
      </rPr>
      <t>その他</t>
    </r>
    <r>
      <rPr>
        <sz val="2"/>
        <color theme="1"/>
        <rFont val="BIZ UDゴシック"/>
        <family val="3"/>
        <charset val="128"/>
      </rPr>
      <t xml:space="preserve">
</t>
    </r>
    <r>
      <rPr>
        <sz val="12"/>
        <color theme="1"/>
        <rFont val="BIZ UDゴシック"/>
        <family val="3"/>
        <charset val="128"/>
      </rPr>
      <t>留守のときは○○宅に預けてください</t>
    </r>
    <rPh sb="1" eb="3">
      <t>ウケト</t>
    </rPh>
    <rPh sb="4" eb="6">
      <t>ジタイ</t>
    </rPh>
    <rPh sb="7" eb="9">
      <t>リユウ</t>
    </rPh>
    <rPh sb="9" eb="10">
      <t>トウ</t>
    </rPh>
    <rPh sb="14" eb="15">
      <t>タ</t>
    </rPh>
    <rPh sb="17" eb="19">
      <t>ルス</t>
    </rPh>
    <rPh sb="25" eb="26">
      <t>タク</t>
    </rPh>
    <rPh sb="27" eb="28">
      <t>アズ</t>
    </rPh>
    <phoneticPr fontId="4"/>
  </si>
  <si>
    <t>※長期入院、ホーム長期入居者は対象外となります。</t>
    <rPh sb="1" eb="3">
      <t>チョウキ</t>
    </rPh>
    <rPh sb="3" eb="5">
      <t>ニュウイン</t>
    </rPh>
    <rPh sb="9" eb="11">
      <t>チョウキ</t>
    </rPh>
    <rPh sb="11" eb="14">
      <t>ニュウキョシャ</t>
    </rPh>
    <rPh sb="15" eb="18">
      <t>タイショウガイ</t>
    </rPh>
    <phoneticPr fontId="4"/>
  </si>
  <si>
    <r>
      <t>□受取り辞退・理由等　</t>
    </r>
    <r>
      <rPr>
        <sz val="14"/>
        <color rgb="FFFF0000"/>
        <rFont val="BIZ UDゴシック"/>
        <family val="3"/>
        <charset val="128"/>
      </rPr>
      <t>■</t>
    </r>
    <r>
      <rPr>
        <sz val="14"/>
        <color theme="1"/>
        <rFont val="BIZ UDゴシック"/>
        <family val="3"/>
        <charset val="128"/>
      </rPr>
      <t>その他</t>
    </r>
    <rPh sb="1" eb="3">
      <t>ウケト</t>
    </rPh>
    <rPh sb="4" eb="6">
      <t>ジタイ</t>
    </rPh>
    <rPh sb="7" eb="9">
      <t>リユウ</t>
    </rPh>
    <rPh sb="9" eb="10">
      <t>トウ</t>
    </rPh>
    <rPh sb="14" eb="15">
      <t>タ</t>
    </rPh>
    <phoneticPr fontId="4"/>
  </si>
  <si>
    <r>
      <rPr>
        <strike/>
        <sz val="14"/>
        <rFont val="BIZ UDゴシック"/>
        <family val="3"/>
        <charset val="128"/>
      </rPr>
      <t>松本弘子</t>
    </r>
    <r>
      <rPr>
        <sz val="14"/>
        <rFont val="BIZ UDゴシック"/>
        <family val="3"/>
        <charset val="128"/>
      </rPr>
      <t>（施設入所）
加瀬和子</t>
    </r>
    <rPh sb="7" eb="9">
      <t>ニュウショ</t>
    </rPh>
    <rPh sb="11" eb="13">
      <t>カセ</t>
    </rPh>
    <rPh sb="13" eb="15">
      <t>カズコ</t>
    </rPh>
    <phoneticPr fontId="4"/>
  </si>
  <si>
    <t>高島秀夫</t>
    <phoneticPr fontId="4"/>
  </si>
  <si>
    <t>704号室
（貸　借）</t>
    <rPh sb="7" eb="8">
      <t>カシ</t>
    </rPh>
    <rPh sb="9" eb="10">
      <t>シャク</t>
    </rPh>
    <phoneticPr fontId="4"/>
  </si>
  <si>
    <t>604号室
（貸　借）</t>
    <phoneticPr fontId="4"/>
  </si>
  <si>
    <t>伊藤明美（逝去）</t>
    <rPh sb="2" eb="4">
      <t>アケミ</t>
    </rPh>
    <rPh sb="5" eb="7">
      <t>セイキョ</t>
    </rPh>
    <phoneticPr fontId="4"/>
  </si>
  <si>
    <r>
      <rPr>
        <sz val="14"/>
        <color rgb="FFFF0000"/>
        <rFont val="BIZ UDゴシック"/>
        <family val="3"/>
        <charset val="128"/>
      </rPr>
      <t>■</t>
    </r>
    <r>
      <rPr>
        <sz val="14"/>
        <color theme="1"/>
        <rFont val="BIZ UDゴシック"/>
        <family val="3"/>
        <charset val="128"/>
      </rPr>
      <t xml:space="preserve">受取り辞退・理由等　□その他
</t>
    </r>
    <r>
      <rPr>
        <sz val="14"/>
        <color rgb="FFFF0000"/>
        <rFont val="BIZ UDゴシック"/>
        <family val="3"/>
        <charset val="128"/>
      </rPr>
      <t>不在のため</t>
    </r>
    <rPh sb="1" eb="3">
      <t>ウケト</t>
    </rPh>
    <rPh sb="4" eb="6">
      <t>ジタイ</t>
    </rPh>
    <rPh sb="7" eb="9">
      <t>リユウ</t>
    </rPh>
    <rPh sb="9" eb="10">
      <t>トウ</t>
    </rPh>
    <rPh sb="14" eb="15">
      <t>タ</t>
    </rPh>
    <rPh sb="16" eb="18">
      <t>フザイ</t>
    </rPh>
    <phoneticPr fontId="4"/>
  </si>
  <si>
    <r>
      <rPr>
        <sz val="14"/>
        <color rgb="FFFF0000"/>
        <rFont val="BIZ UDゴシック"/>
        <family val="3"/>
        <charset val="128"/>
      </rPr>
      <t>■</t>
    </r>
    <r>
      <rPr>
        <sz val="14"/>
        <color theme="1"/>
        <rFont val="BIZ UDゴシック"/>
        <family val="3"/>
        <charset val="128"/>
      </rPr>
      <t xml:space="preserve">受取り辞退・理由等　□その他
</t>
    </r>
    <r>
      <rPr>
        <sz val="14"/>
        <color rgb="FFFF0000"/>
        <rFont val="BIZ UDゴシック"/>
        <family val="3"/>
        <charset val="128"/>
      </rPr>
      <t>仕事のため</t>
    </r>
    <rPh sb="1" eb="3">
      <t>ウケト</t>
    </rPh>
    <rPh sb="4" eb="6">
      <t>ジタイ</t>
    </rPh>
    <rPh sb="7" eb="9">
      <t>リユウ</t>
    </rPh>
    <rPh sb="9" eb="10">
      <t>トウ</t>
    </rPh>
    <rPh sb="14" eb="15">
      <t>タ</t>
    </rPh>
    <rPh sb="16" eb="18">
      <t>シゴト</t>
    </rPh>
    <phoneticPr fontId="4"/>
  </si>
  <si>
    <r>
      <rPr>
        <sz val="14"/>
        <color rgb="FFFF0000"/>
        <rFont val="BIZ UDゴシック"/>
        <family val="3"/>
        <charset val="128"/>
      </rPr>
      <t>■</t>
    </r>
    <r>
      <rPr>
        <sz val="14"/>
        <color theme="1"/>
        <rFont val="BIZ UDゴシック"/>
        <family val="3"/>
        <charset val="128"/>
      </rPr>
      <t xml:space="preserve">受取り辞退・理由等　□その他
</t>
    </r>
    <rPh sb="1" eb="3">
      <t>ウケト</t>
    </rPh>
    <rPh sb="4" eb="6">
      <t>ジタイ</t>
    </rPh>
    <rPh sb="7" eb="9">
      <t>リユウ</t>
    </rPh>
    <rPh sb="9" eb="10">
      <t>トウ</t>
    </rPh>
    <rPh sb="14" eb="15">
      <t>タ</t>
    </rPh>
    <phoneticPr fontId="4"/>
  </si>
  <si>
    <t>803号室
佐藤美子</t>
    <rPh sb="6" eb="8">
      <t>サトウ</t>
    </rPh>
    <rPh sb="8" eb="9">
      <t>ビ</t>
    </rPh>
    <rPh sb="9" eb="10">
      <t>コ</t>
    </rPh>
    <phoneticPr fontId="4"/>
  </si>
  <si>
    <t>（非居住者）</t>
    <rPh sb="4" eb="5">
      <t>シャ</t>
    </rPh>
    <phoneticPr fontId="4"/>
  </si>
  <si>
    <r>
      <rPr>
        <sz val="14"/>
        <color rgb="FFFF0000"/>
        <rFont val="BIZ UDゴシック"/>
        <family val="3"/>
        <charset val="128"/>
      </rPr>
      <t>■</t>
    </r>
    <r>
      <rPr>
        <sz val="14"/>
        <color theme="1"/>
        <rFont val="BIZ UDゴシック"/>
        <family val="3"/>
        <charset val="128"/>
      </rPr>
      <t xml:space="preserve">受取り辞退・理由等　□その他
</t>
    </r>
    <r>
      <rPr>
        <sz val="14"/>
        <color rgb="FFFF0000"/>
        <rFont val="BIZ UDゴシック"/>
        <family val="3"/>
        <charset val="128"/>
      </rPr>
      <t>ホーム入居</t>
    </r>
    <rPh sb="1" eb="3">
      <t>ウケト</t>
    </rPh>
    <rPh sb="4" eb="6">
      <t>ジタイ</t>
    </rPh>
    <rPh sb="7" eb="9">
      <t>リユウ</t>
    </rPh>
    <rPh sb="9" eb="10">
      <t>トウ</t>
    </rPh>
    <rPh sb="14" eb="15">
      <t>タ</t>
    </rPh>
    <rPh sb="19" eb="21">
      <t>ニュウキョ</t>
    </rPh>
    <phoneticPr fontId="4"/>
  </si>
  <si>
    <r>
      <rPr>
        <sz val="14"/>
        <color rgb="FFFF0000"/>
        <rFont val="BIZ UDゴシック"/>
        <family val="3"/>
        <charset val="128"/>
      </rPr>
      <t>■</t>
    </r>
    <r>
      <rPr>
        <sz val="14"/>
        <color theme="1"/>
        <rFont val="BIZ UDゴシック"/>
        <family val="3"/>
        <charset val="128"/>
      </rPr>
      <t xml:space="preserve">受取り辞退・理由等　□その他
</t>
    </r>
    <r>
      <rPr>
        <sz val="14"/>
        <color rgb="FFFF0000"/>
        <rFont val="BIZ UDゴシック"/>
        <family val="3"/>
        <charset val="128"/>
      </rPr>
      <t>施設入居のため</t>
    </r>
    <rPh sb="1" eb="3">
      <t>ウケト</t>
    </rPh>
    <rPh sb="4" eb="6">
      <t>ジタイ</t>
    </rPh>
    <rPh sb="7" eb="9">
      <t>リユウ</t>
    </rPh>
    <rPh sb="9" eb="10">
      <t>トウ</t>
    </rPh>
    <rPh sb="14" eb="15">
      <t>タ</t>
    </rPh>
    <rPh sb="16" eb="18">
      <t>シセツ</t>
    </rPh>
    <rPh sb="18" eb="20">
      <t>ニュウキョ</t>
    </rPh>
    <phoneticPr fontId="4"/>
  </si>
  <si>
    <r>
      <t>□受取り辞退・理由等　</t>
    </r>
    <r>
      <rPr>
        <sz val="14"/>
        <color rgb="FFFF0000"/>
        <rFont val="BIZ UDゴシック"/>
        <family val="3"/>
        <charset val="128"/>
      </rPr>
      <t>■</t>
    </r>
    <r>
      <rPr>
        <sz val="14"/>
        <color theme="1"/>
        <rFont val="BIZ UDゴシック"/>
        <family val="3"/>
        <charset val="128"/>
      </rPr>
      <t xml:space="preserve">その他
</t>
    </r>
    <r>
      <rPr>
        <sz val="14"/>
        <color rgb="FFFF0000"/>
        <rFont val="BIZ UDゴシック"/>
        <family val="3"/>
        <charset val="128"/>
      </rPr>
      <t>確認中。返事待ち</t>
    </r>
    <rPh sb="1" eb="3">
      <t>ウケト</t>
    </rPh>
    <rPh sb="4" eb="6">
      <t>ジタイ</t>
    </rPh>
    <rPh sb="7" eb="9">
      <t>リユウ</t>
    </rPh>
    <rPh sb="9" eb="10">
      <t>トウ</t>
    </rPh>
    <rPh sb="14" eb="15">
      <t>タ</t>
    </rPh>
    <rPh sb="16" eb="19">
      <t>カクニンチュウ</t>
    </rPh>
    <rPh sb="20" eb="22">
      <t>ヘンジ</t>
    </rPh>
    <rPh sb="22" eb="23">
      <t>マ</t>
    </rPh>
    <phoneticPr fontId="4"/>
  </si>
  <si>
    <t>㈲峯田工業は退去
※新入居希望あり・詳細不明</t>
    <rPh sb="6" eb="8">
      <t>タイキョ</t>
    </rPh>
    <rPh sb="10" eb="11">
      <t>シン</t>
    </rPh>
    <rPh sb="11" eb="13">
      <t>ニュウキョ</t>
    </rPh>
    <rPh sb="13" eb="15">
      <t>キボウ</t>
    </rPh>
    <rPh sb="18" eb="20">
      <t>ショウサイ</t>
    </rPh>
    <rPh sb="20" eb="22">
      <t>フメイ</t>
    </rPh>
    <phoneticPr fontId="4"/>
  </si>
  <si>
    <r>
      <rPr>
        <sz val="14"/>
        <color rgb="FFFF0000"/>
        <rFont val="BIZ UDゴシック"/>
        <family val="3"/>
        <charset val="128"/>
      </rPr>
      <t>■</t>
    </r>
    <r>
      <rPr>
        <sz val="14"/>
        <color theme="1"/>
        <rFont val="BIZ UDゴシック"/>
        <family val="3"/>
        <charset val="128"/>
      </rPr>
      <t xml:space="preserve">受取り辞退・理由等　□その他
</t>
    </r>
    <r>
      <rPr>
        <sz val="14"/>
        <color rgb="FFFF0000"/>
        <rFont val="BIZ UDゴシック"/>
        <family val="3"/>
        <charset val="128"/>
      </rPr>
      <t>引っ越しのため</t>
    </r>
    <rPh sb="1" eb="3">
      <t>ウケト</t>
    </rPh>
    <rPh sb="4" eb="6">
      <t>ジタイ</t>
    </rPh>
    <rPh sb="7" eb="9">
      <t>リユウ</t>
    </rPh>
    <rPh sb="9" eb="10">
      <t>トウ</t>
    </rPh>
    <rPh sb="14" eb="15">
      <t>タ</t>
    </rPh>
    <rPh sb="16" eb="17">
      <t>ヒ</t>
    </rPh>
    <rPh sb="18" eb="19">
      <t>コ</t>
    </rPh>
    <phoneticPr fontId="4"/>
  </si>
  <si>
    <r>
      <t>□受取り辞退・理由等　</t>
    </r>
    <r>
      <rPr>
        <sz val="14"/>
        <color rgb="FFFF0000"/>
        <rFont val="BIZ UDゴシック"/>
        <family val="3"/>
        <charset val="128"/>
      </rPr>
      <t>■</t>
    </r>
    <r>
      <rPr>
        <sz val="14"/>
        <color theme="1"/>
        <rFont val="BIZ UDゴシック"/>
        <family val="3"/>
        <charset val="128"/>
      </rPr>
      <t xml:space="preserve">その他
</t>
    </r>
    <r>
      <rPr>
        <sz val="14"/>
        <color rgb="FFFF0000"/>
        <rFont val="BIZ UDゴシック"/>
        <family val="3"/>
        <charset val="128"/>
      </rPr>
      <t>２人で１つ</t>
    </r>
    <rPh sb="1" eb="3">
      <t>ウケト</t>
    </rPh>
    <rPh sb="4" eb="6">
      <t>ジタイ</t>
    </rPh>
    <rPh sb="7" eb="9">
      <t>リユウ</t>
    </rPh>
    <rPh sb="9" eb="10">
      <t>トウ</t>
    </rPh>
    <rPh sb="14" eb="15">
      <t>タ</t>
    </rPh>
    <rPh sb="17" eb="18">
      <t>ニン</t>
    </rPh>
    <phoneticPr fontId="4"/>
  </si>
  <si>
    <r>
      <t>対象者
　</t>
    </r>
    <r>
      <rPr>
        <sz val="11"/>
        <color rgb="FFFF0000"/>
        <rFont val="BIZ UDゴシック"/>
        <family val="3"/>
        <charset val="128"/>
      </rPr>
      <t>■</t>
    </r>
    <r>
      <rPr>
        <sz val="11"/>
        <color theme="1"/>
        <rFont val="BIZ UDゴシック"/>
        <family val="3"/>
        <charset val="128"/>
      </rPr>
      <t>あり　　
　□なし</t>
    </r>
    <phoneticPr fontId="4"/>
  </si>
  <si>
    <r>
      <t>対象者
　□あり　　
　</t>
    </r>
    <r>
      <rPr>
        <sz val="11"/>
        <color rgb="FF0070C0"/>
        <rFont val="BIZ UDゴシック"/>
        <family val="3"/>
        <charset val="128"/>
      </rPr>
      <t>■</t>
    </r>
    <r>
      <rPr>
        <sz val="11"/>
        <color theme="1"/>
        <rFont val="BIZ UDゴシック"/>
        <family val="3"/>
        <charset val="128"/>
      </rPr>
      <t>なし</t>
    </r>
    <phoneticPr fontId="4"/>
  </si>
  <si>
    <t>合計：</t>
    <rPh sb="0" eb="2">
      <t>ゴウケイ</t>
    </rPh>
    <phoneticPr fontId="4"/>
  </si>
  <si>
    <t>１区：</t>
    <rPh sb="1" eb="2">
      <t>ク</t>
    </rPh>
    <phoneticPr fontId="4"/>
  </si>
  <si>
    <t>２区：</t>
    <rPh sb="1" eb="2">
      <t>ク</t>
    </rPh>
    <phoneticPr fontId="4"/>
  </si>
  <si>
    <r>
      <t xml:space="preserve">対象者
</t>
    </r>
    <r>
      <rPr>
        <sz val="11"/>
        <color theme="1"/>
        <rFont val="BIZ UDゴシック"/>
        <family val="2"/>
        <charset val="128"/>
      </rPr>
      <t>　</t>
    </r>
    <r>
      <rPr>
        <b/>
        <sz val="11"/>
        <color theme="1"/>
        <rFont val="Segoe UI Symbol"/>
        <family val="2"/>
      </rPr>
      <t>☑</t>
    </r>
    <r>
      <rPr>
        <sz val="11"/>
        <color theme="1"/>
        <rFont val="BIZ UDゴシック"/>
        <family val="3"/>
        <charset val="128"/>
      </rPr>
      <t>あり　　
　□なし</t>
    </r>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</si>
</sst>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font>
      <sz val="11"/>
      <color theme="1"/>
      <name val="Yu Gothic"/>
      <family val="2"/>
      <scheme val="minor"/>
    </font>
    <font>
      <sz val="11"/>
      <color theme="1"/>
      <name val="Yu Gothic"/>
      <family val="2"/>
      <scheme val="minor"/>
    </font>
    <font>
      <sz val="18"/>
      <color theme="3"/>
      <name val="Yu Gothic Light"/>
      <family val="2"/>
      <charset val="128"/>
      <scheme val="major"/>
    </font>
    <font>
      <sz val="11"/>
      <color theme="1"/>
      <name val="BIZ UDゴシック"/>
      <family val="3"/>
      <charset val="128"/>
    </font>
    <font>
      <sz val="6"/>
      <name val="Yu Gothic"/>
      <family val="3"/>
      <charset val="128"/>
      <scheme val="minor"/>
    </font>
    <font>
      <sz val="6"/>
      <name val="ＭＳ Ｐゴシック"/>
      <family val="3"/>
      <charset val="128"/>
    </font>
    <font>
      <sz val="6"/>
      <name val="Yu Gothic"/>
      <family val="2"/>
      <charset val="128"/>
      <scheme val="minor"/>
    </font>
    <font>
      <sz val="11"/>
      <name val="BIZ UDゴシック"/>
      <family val="3"/>
      <charset val="128"/>
    </font>
    <font>
      <b/>
      <sz val="11"/>
      <color theme="1"/>
      <name val="BIZ UDゴシック"/>
      <family val="3"/>
      <charset val="128"/>
    </font>
    <font>
      <sz val="16"/>
      <color theme="1"/>
      <name val="Yu Gothic"/>
      <family val="2"/>
      <scheme val="minor"/>
    </font>
    <font>
      <i/>
      <sz val="11"/>
      <color theme="1"/>
      <name val="BIZ UDゴシック"/>
      <family val="3"/>
      <charset val="128"/>
    </font>
    <font>
      <sz val="16"/>
      <color theme="1"/>
      <name val="BIZ UDゴシック"/>
      <family val="3"/>
      <charset val="128"/>
    </font>
    <font>
      <b/>
      <sz val="16"/>
      <color theme="1"/>
      <name val="BIZ UDゴシック"/>
      <family val="3"/>
      <charset val="128"/>
    </font>
    <font>
      <b/>
      <sz val="11"/>
      <name val="BIZ UDゴシック"/>
      <family val="3"/>
      <charset val="128"/>
    </font>
    <font>
      <b/>
      <u/>
      <sz val="11"/>
      <name val="BIZ UDゴシック"/>
      <family val="3"/>
      <charset val="128"/>
    </font>
    <font>
      <b/>
      <sz val="11"/>
      <color theme="1"/>
      <name val="Yu Gothic"/>
      <family val="2"/>
      <scheme val="minor"/>
    </font>
    <font>
      <sz val="12"/>
      <color theme="1"/>
      <name val="BIZ UDゴシック"/>
      <family val="3"/>
      <charset val="128"/>
    </font>
    <font>
      <sz val="12"/>
      <name val="BIZ UDゴシック"/>
      <family val="3"/>
      <charset val="128"/>
    </font>
    <font>
      <sz val="14"/>
      <color theme="1"/>
      <name val="BIZ UDゴシック"/>
      <family val="3"/>
      <charset val="128"/>
    </font>
    <font>
      <b/>
      <i/>
      <sz val="14"/>
      <color theme="1"/>
      <name val="BIZ UDゴシック"/>
      <family val="3"/>
      <charset val="128"/>
    </font>
    <font>
      <sz val="14"/>
      <color rgb="FFFF0000"/>
      <name val="BIZ UDゴシック"/>
      <family val="3"/>
      <charset val="128"/>
    </font>
    <font>
      <sz val="11"/>
      <color rgb="FFFF0000"/>
      <name val="BIZ UDゴシック"/>
      <family val="3"/>
      <charset val="128"/>
    </font>
    <font>
      <sz val="12"/>
      <color rgb="FFFF0000"/>
      <name val="BIZ UDゴシック"/>
      <family val="3"/>
      <charset val="128"/>
    </font>
    <font>
      <sz val="11"/>
      <color theme="0" tint="-0.249977111117893"/>
      <name val="BIZ UDゴシック"/>
      <family val="3"/>
      <charset val="128"/>
    </font>
    <font>
      <b/>
      <sz val="16"/>
      <color rgb="FFFF0000"/>
      <name val="BIZ UDゴシック"/>
      <family val="3"/>
      <charset val="128"/>
    </font>
    <font>
      <sz val="16"/>
      <color rgb="FFFF0000"/>
      <name val="BIZ UDゴシック"/>
      <family val="3"/>
      <charset val="128"/>
    </font>
    <font>
      <sz val="16"/>
      <color rgb="FFFF0000"/>
      <name val="Yu Gothic"/>
      <family val="2"/>
      <scheme val="minor"/>
    </font>
    <font>
      <b/>
      <sz val="11"/>
      <color rgb="FFFF0000"/>
      <name val="BIZ UDゴシック"/>
      <family val="3"/>
      <charset val="128"/>
    </font>
    <font>
      <sz val="11"/>
      <color rgb="FFFF0000"/>
      <name val="Yu Gothic"/>
      <family val="2"/>
      <scheme val="minor"/>
    </font>
    <font>
      <i/>
      <sz val="11"/>
      <color rgb="FFFF0000"/>
      <name val="BIZ UDゴシック"/>
      <family val="3"/>
      <charset val="128"/>
    </font>
    <font>
      <sz val="11"/>
      <color rgb="FFFF0000"/>
      <name val="BIZ UDゴシック"/>
      <family val="2"/>
      <charset val="128"/>
    </font>
    <font>
      <b/>
      <sz val="11"/>
      <color rgb="FFFF0000"/>
      <name val="Segoe UI Symbol"/>
      <family val="2"/>
    </font>
    <font>
      <b/>
      <i/>
      <sz val="14"/>
      <color rgb="FFFF0000"/>
      <name val="BIZ UDゴシック"/>
      <family val="3"/>
      <charset val="128"/>
    </font>
    <font>
      <b/>
      <sz val="11"/>
      <color rgb="FFFF0000"/>
      <name val="Segoe UI Symbol"/>
      <family val="3"/>
    </font>
    <font>
      <b/>
      <sz val="11"/>
      <color rgb="FFFF0000"/>
      <name val="Yu Gothic"/>
      <family val="2"/>
      <scheme val="minor"/>
    </font>
    <font>
      <b/>
      <u/>
      <sz val="11"/>
      <color rgb="FFFF0000"/>
      <name val="BIZ UDゴシック"/>
      <family val="3"/>
      <charset val="128"/>
    </font>
    <font>
      <sz val="14"/>
      <name val="BIZ UDゴシック"/>
      <family val="3"/>
      <charset val="128"/>
    </font>
    <font>
      <b/>
      <sz val="14"/>
      <color theme="1"/>
      <name val="BIZ UDゴシック"/>
      <family val="3"/>
      <charset val="128"/>
    </font>
    <font>
      <b/>
      <sz val="14"/>
      <color theme="1"/>
      <name val="Segoe UI Symbol"/>
      <family val="2"/>
    </font>
    <font>
      <sz val="2"/>
      <color theme="1"/>
      <name val="BIZ UDゴシック"/>
      <family val="3"/>
      <charset val="128"/>
    </font>
    <font>
      <strike/>
      <sz val="14"/>
      <name val="BIZ UDゴシック"/>
      <family val="3"/>
      <charset val="128"/>
    </font>
    <font>
      <sz val="11"/>
      <color rgb="FF0070C0"/>
      <name val="BIZ UDゴシック"/>
      <family val="3"/>
      <charset val="128"/>
    </font>
    <font>
      <sz val="16"/>
      <name val="Yu Gothic"/>
      <family val="2"/>
      <scheme val="minor"/>
    </font>
    <font>
      <sz val="11"/>
      <name val="Yu Gothic"/>
      <family val="3"/>
      <charset val="128"/>
      <scheme val="minor"/>
    </font>
    <font>
      <sz val="11"/>
      <color theme="1"/>
      <name val="BIZ UDゴシック"/>
      <family val="2"/>
      <charset val="128"/>
    </font>
    <font>
      <b/>
      <sz val="11"/>
      <color theme="1"/>
      <name val="Segoe UI Symbol"/>
      <family val="2"/>
    </font>
  </fonts>
  <fills count="5">
    <fill>
      <patternFill patternType="none"/>
    </fill>
    <fill>
      <patternFill patternType="gray125"/>
    </fill>
    <fill>
      <patternFill patternType="solid">
        <fgColor theme="2"/>
        <bgColor indexed="64"/>
      </patternFill>
    </fill>
    <fill>
      <patternFill patternType="solid">
        <fgColor rgb="FFFFFF00"/>
        <bgColor indexed="64"/>
      </patternFill>
    </fill>
    <fill>
      <patternFill patternType="solid">
        <fgColor theme="4"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s>
  <cellStyleXfs count="1">
    <xf numFmtId="0" fontId="0" fillId="0" borderId="0"/>
  </cellStyleXfs>
  <cellXfs count="63">
    <xf numFmtId="0" fontId="0" fillId="0" borderId="0" xfId="0"/>
    <xf numFmtId="0" fontId="3" fillId="0" borderId="1" xfId="0" applyFont="1" applyBorder="1" applyAlignment="1">
      <alignment horizontal="center" vertical="center"/>
    </xf>
    <xf numFmtId="0" fontId="3" fillId="0" borderId="1" xfId="0" applyFont="1" applyBorder="1" applyAlignment="1">
      <alignment horizontal="distributed" vertical="center"/>
    </xf>
    <xf numFmtId="0" fontId="7" fillId="0" borderId="1" xfId="0" applyFont="1" applyBorder="1" applyAlignment="1">
      <alignment horizontal="distributed" vertical="center"/>
    </xf>
    <xf numFmtId="0" fontId="8" fillId="0" borderId="1" xfId="0" applyFont="1" applyBorder="1" applyAlignment="1">
      <alignment horizontal="center" vertical="center"/>
    </xf>
    <xf numFmtId="0" fontId="9" fillId="0" borderId="0" xfId="0" applyFont="1"/>
    <xf numFmtId="0" fontId="0" fillId="0" borderId="0" xfId="0" applyAlignment="1">
      <alignment horizontal="right"/>
    </xf>
    <xf numFmtId="0" fontId="7" fillId="0" borderId="0" xfId="0" applyFont="1" applyAlignment="1">
      <alignment horizontal="left" vertical="center" indent="1"/>
    </xf>
    <xf numFmtId="0" fontId="10" fillId="2" borderId="1" xfId="0" applyFont="1" applyFill="1" applyBorder="1" applyAlignment="1">
      <alignment horizontal="center" vertical="center"/>
    </xf>
    <xf numFmtId="0" fontId="10" fillId="2" borderId="1" xfId="0" applyFont="1" applyFill="1" applyBorder="1" applyAlignment="1">
      <alignment horizontal="distributed" vertical="center"/>
    </xf>
    <xf numFmtId="0" fontId="15" fillId="0" borderId="0" xfId="0" applyFont="1"/>
    <xf numFmtId="0" fontId="3" fillId="0" borderId="2" xfId="0" applyFont="1" applyBorder="1" applyAlignment="1">
      <alignment horizontal="distributed" vertical="center"/>
    </xf>
    <xf numFmtId="0" fontId="7" fillId="0" borderId="0" xfId="0" applyFont="1" applyAlignment="1">
      <alignment horizontal="left" vertical="center" indent="3"/>
    </xf>
    <xf numFmtId="0" fontId="16" fillId="0" borderId="1" xfId="0" applyFont="1" applyBorder="1" applyAlignment="1">
      <alignment horizontal="distributed" vertical="center"/>
    </xf>
    <xf numFmtId="0" fontId="17" fillId="0" borderId="1" xfId="0" applyFont="1" applyBorder="1" applyAlignment="1">
      <alignment horizontal="distributed" vertical="center"/>
    </xf>
    <xf numFmtId="0" fontId="13" fillId="0" borderId="0" xfId="0" applyFont="1" applyAlignment="1">
      <alignment vertical="center"/>
    </xf>
    <xf numFmtId="0" fontId="3" fillId="0" borderId="5" xfId="0" applyFont="1" applyBorder="1" applyAlignment="1">
      <alignment vertical="top" wrapText="1"/>
    </xf>
    <xf numFmtId="0" fontId="19" fillId="2" borderId="5" xfId="0" applyFont="1" applyFill="1" applyBorder="1" applyAlignment="1">
      <alignment vertical="center" wrapText="1"/>
    </xf>
    <xf numFmtId="0" fontId="17" fillId="0" borderId="1" xfId="0" applyFont="1" applyBorder="1" applyAlignment="1">
      <alignment horizontal="left" vertical="top" wrapText="1"/>
    </xf>
    <xf numFmtId="0" fontId="18" fillId="0" borderId="5" xfId="0" applyFont="1" applyBorder="1" applyAlignment="1">
      <alignment vertical="center" wrapText="1"/>
    </xf>
    <xf numFmtId="0" fontId="3" fillId="0" borderId="5" xfId="0" applyFont="1" applyBorder="1" applyAlignment="1">
      <alignment vertical="center" wrapText="1"/>
    </xf>
    <xf numFmtId="0" fontId="23" fillId="0" borderId="5" xfId="0" applyFont="1" applyBorder="1" applyAlignment="1">
      <alignment vertical="top" wrapText="1"/>
    </xf>
    <xf numFmtId="0" fontId="26" fillId="0" borderId="0" xfId="0" applyFont="1"/>
    <xf numFmtId="0" fontId="27" fillId="0" borderId="1" xfId="0" applyFont="1" applyBorder="1" applyAlignment="1">
      <alignment horizontal="center" vertical="center"/>
    </xf>
    <xf numFmtId="0" fontId="28" fillId="0" borderId="0" xfId="0" applyFont="1"/>
    <xf numFmtId="0" fontId="29" fillId="2" borderId="1" xfId="0" applyFont="1" applyFill="1" applyBorder="1" applyAlignment="1">
      <alignment horizontal="center" vertical="center"/>
    </xf>
    <xf numFmtId="0" fontId="29" fillId="2" borderId="1" xfId="0" applyFont="1" applyFill="1" applyBorder="1" applyAlignment="1">
      <alignment horizontal="distributed" vertical="center"/>
    </xf>
    <xf numFmtId="0" fontId="21" fillId="2" borderId="4" xfId="0" applyFont="1" applyFill="1" applyBorder="1" applyAlignment="1">
      <alignment vertical="center" wrapText="1"/>
    </xf>
    <xf numFmtId="0" fontId="32" fillId="2" borderId="5" xfId="0" applyFont="1" applyFill="1" applyBorder="1" applyAlignment="1">
      <alignment vertical="center" wrapText="1"/>
    </xf>
    <xf numFmtId="0" fontId="21" fillId="2" borderId="1" xfId="0" applyFont="1" applyFill="1" applyBorder="1" applyAlignment="1">
      <alignment vertical="top" wrapText="1"/>
    </xf>
    <xf numFmtId="0" fontId="21" fillId="0" borderId="1" xfId="0" applyFont="1" applyBorder="1" applyAlignment="1">
      <alignment horizontal="center" vertical="center"/>
    </xf>
    <xf numFmtId="0" fontId="22" fillId="0" borderId="1" xfId="0" applyFont="1" applyBorder="1" applyAlignment="1">
      <alignment horizontal="distributed" vertical="center"/>
    </xf>
    <xf numFmtId="0" fontId="21" fillId="0" borderId="4" xfId="0" applyFont="1" applyBorder="1" applyAlignment="1">
      <alignment vertical="top" wrapText="1"/>
    </xf>
    <xf numFmtId="0" fontId="21" fillId="0" borderId="5" xfId="0" applyFont="1" applyBorder="1" applyAlignment="1">
      <alignment vertical="top" wrapText="1"/>
    </xf>
    <xf numFmtId="0" fontId="21" fillId="0" borderId="1" xfId="0" applyFont="1" applyBorder="1" applyAlignment="1">
      <alignment vertical="top" wrapText="1"/>
    </xf>
    <xf numFmtId="0" fontId="34" fillId="0" borderId="0" xfId="0" applyFont="1"/>
    <xf numFmtId="0" fontId="28" fillId="0" borderId="0" xfId="0" applyFont="1" applyAlignment="1">
      <alignment horizontal="right"/>
    </xf>
    <xf numFmtId="0" fontId="27" fillId="0" borderId="0" xfId="0" applyFont="1" applyAlignment="1">
      <alignment vertical="center"/>
    </xf>
    <xf numFmtId="0" fontId="21" fillId="0" borderId="0" xfId="0" applyFont="1" applyAlignment="1">
      <alignment horizontal="left" vertical="center" indent="1"/>
    </xf>
    <xf numFmtId="0" fontId="21" fillId="0" borderId="0" xfId="0" applyFont="1" applyAlignment="1">
      <alignment horizontal="left" vertical="center" indent="3"/>
    </xf>
    <xf numFmtId="0" fontId="36" fillId="0" borderId="5" xfId="0" applyFont="1" applyBorder="1" applyAlignment="1">
      <alignment vertical="center" wrapText="1"/>
    </xf>
    <xf numFmtId="0" fontId="18" fillId="0" borderId="1" xfId="0" applyFont="1" applyBorder="1" applyAlignment="1">
      <alignment vertical="top" wrapText="1"/>
    </xf>
    <xf numFmtId="0" fontId="7" fillId="0" borderId="0" xfId="0" applyFont="1" applyAlignment="1">
      <alignment horizontal="left" vertical="center" indent="2"/>
    </xf>
    <xf numFmtId="0" fontId="14" fillId="0" borderId="0" xfId="0" applyFont="1" applyAlignment="1">
      <alignment horizontal="left" vertical="center" indent="1"/>
    </xf>
    <xf numFmtId="0" fontId="18" fillId="2" borderId="1" xfId="0" applyFont="1" applyFill="1" applyBorder="1" applyAlignment="1">
      <alignment vertical="top" wrapText="1"/>
    </xf>
    <xf numFmtId="0" fontId="17" fillId="0" borderId="6" xfId="0" applyFont="1" applyBorder="1" applyAlignment="1">
      <alignment horizontal="left" vertical="top" wrapText="1"/>
    </xf>
    <xf numFmtId="0" fontId="18" fillId="3" borderId="5" xfId="0" applyFont="1" applyFill="1" applyBorder="1" applyAlignment="1">
      <alignment vertical="center" wrapText="1"/>
    </xf>
    <xf numFmtId="0" fontId="20" fillId="0" borderId="5" xfId="0" applyFont="1" applyBorder="1" applyAlignment="1">
      <alignment vertical="center" wrapText="1"/>
    </xf>
    <xf numFmtId="0" fontId="12" fillId="0" borderId="3" xfId="0" applyFont="1" applyBorder="1" applyAlignment="1">
      <alignment horizontal="center"/>
    </xf>
    <xf numFmtId="0" fontId="11" fillId="0" borderId="3" xfId="0" applyFont="1" applyBorder="1" applyAlignment="1">
      <alignment horizontal="left" indent="1"/>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24" fillId="0" borderId="3" xfId="0" applyFont="1" applyBorder="1" applyAlignment="1">
      <alignment horizontal="center"/>
    </xf>
    <xf numFmtId="0" fontId="25" fillId="0" borderId="3" xfId="0" applyFont="1" applyBorder="1" applyAlignment="1">
      <alignment horizontal="left" indent="1"/>
    </xf>
    <xf numFmtId="0" fontId="27" fillId="0" borderId="4" xfId="0" applyFont="1" applyBorder="1" applyAlignment="1">
      <alignment horizontal="center" vertical="center"/>
    </xf>
    <xf numFmtId="0" fontId="27" fillId="0" borderId="5" xfId="0" applyFont="1" applyBorder="1" applyAlignment="1">
      <alignment horizontal="center" vertical="center"/>
    </xf>
    <xf numFmtId="0" fontId="3" fillId="0" borderId="4" xfId="0" applyFont="1" applyBorder="1" applyAlignment="1">
      <alignment horizontal="justify" vertical="top" wrapText="1"/>
    </xf>
    <xf numFmtId="0" fontId="42" fillId="0" borderId="0" xfId="0" applyFont="1"/>
    <xf numFmtId="0" fontId="43" fillId="0" borderId="0" xfId="0" applyFont="1"/>
    <xf numFmtId="0" fontId="3" fillId="2" borderId="4" xfId="0" applyFont="1" applyFill="1" applyBorder="1" applyAlignment="1">
      <alignment vertical="center" wrapText="1"/>
    </xf>
    <xf numFmtId="0" fontId="18" fillId="4" borderId="5" xfId="0" applyFont="1" applyFill="1" applyBorder="1" applyAlignment="1">
      <alignment vertical="center" wrapText="1"/>
    </xf>
    <xf numFmtId="0" fontId="3" fillId="4" borderId="4" xfId="0" applyFont="1" applyFill="1" applyBorder="1" applyAlignment="1">
      <alignment horizontal="justify" vertical="top" wrapText="1"/>
    </xf>
    <xf numFmtId="0" fontId="36" fillId="4" borderId="5" xfId="0" applyFont="1" applyFill="1"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B54-FBE3-48EE-9CE4-BCF3B0B79F35}">
  <dimension ref="A1:G29"/>
  <sheetViews>
    <sheetView view="pageBreakPreview" zoomScale="60" zoomScaleNormal="100" workbookViewId="0">
      <selection activeCell="G7" sqref="G7"/>
    </sheetView>
  </sheetViews>
  <sheetFormatPr defaultColWidth="9" defaultRowHeight="18"/>
  <cols>
    <col min="1" max="1" width="4.5" style="24" bestFit="1" customWidth="1"/>
    <col min="2" max="2" width="17.19921875" style="24" bestFit="1" customWidth="1"/>
    <col min="3" max="3" width="10.59765625" style="24" customWidth="1"/>
    <col min="4" max="4" width="31.69921875" style="24" customWidth="1"/>
    <col min="5" max="5" width="36" style="24" customWidth="1"/>
    <col min="6" max="6" width="9" style="24"/>
    <col min="7" max="7" width="9.296875" style="24" bestFit="1" customWidth="1"/>
    <col min="8" max="16384" width="9" style="24"/>
  </cols>
  <sheetData>
    <row r="1" spans="1:7" s="22" customFormat="1" ht="26.4">
      <c r="A1" s="52" t="str" cm="1">
        <f t="array" aca="1" ref="A1" ca="1">MID(CELL("filename",A1),FIND("]",CELL("filename",A1))+1,255)</f>
        <v>マスター</v>
      </c>
      <c r="B1" s="52"/>
      <c r="C1" s="53" t="s">
        <v>154</v>
      </c>
      <c r="D1" s="53"/>
      <c r="E1" s="53"/>
      <c r="F1" s="57" t="s">
        <v>332</v>
      </c>
      <c r="G1" s="22">
        <f>G2+G3</f>
        <v>96</v>
      </c>
    </row>
    <row r="2" spans="1:7" ht="26.4">
      <c r="A2" s="23" t="s">
        <v>0</v>
      </c>
      <c r="B2" s="23" t="s">
        <v>10</v>
      </c>
      <c r="C2" s="54" t="s">
        <v>152</v>
      </c>
      <c r="D2" s="55"/>
      <c r="E2" s="23" t="s">
        <v>9</v>
      </c>
      <c r="F2" s="58" t="s">
        <v>333</v>
      </c>
      <c r="G2" s="22">
        <f>SUM('１区１班:１区12班'!F1)</f>
        <v>38</v>
      </c>
    </row>
    <row r="3" spans="1:7" ht="43.5" customHeight="1">
      <c r="A3" s="25">
        <v>0</v>
      </c>
      <c r="B3" s="26" t="s">
        <v>153</v>
      </c>
      <c r="C3" s="27" t="s">
        <v>265</v>
      </c>
      <c r="D3" s="28" t="s">
        <v>159</v>
      </c>
      <c r="E3" s="29" t="s">
        <v>266</v>
      </c>
      <c r="F3" s="58" t="s">
        <v>334</v>
      </c>
      <c r="G3" s="22">
        <f>SUM('２区１班:２区12班'!F1)</f>
        <v>58</v>
      </c>
    </row>
    <row r="4" spans="1:7" ht="42" customHeight="1">
      <c r="A4" s="30">
        <v>1</v>
      </c>
      <c r="B4" s="31"/>
      <c r="C4" s="32" t="s">
        <v>157</v>
      </c>
      <c r="D4" s="33"/>
      <c r="E4" s="34" t="s">
        <v>158</v>
      </c>
    </row>
    <row r="5" spans="1:7" ht="42" customHeight="1">
      <c r="A5" s="30">
        <v>2</v>
      </c>
      <c r="B5" s="31"/>
      <c r="C5" s="32" t="s">
        <v>157</v>
      </c>
      <c r="D5" s="33"/>
      <c r="E5" s="34" t="s">
        <v>158</v>
      </c>
    </row>
    <row r="6" spans="1:7" ht="42" customHeight="1">
      <c r="A6" s="30">
        <v>3</v>
      </c>
      <c r="B6" s="31"/>
      <c r="C6" s="32" t="s">
        <v>157</v>
      </c>
      <c r="D6" s="33"/>
      <c r="E6" s="34" t="s">
        <v>158</v>
      </c>
    </row>
    <row r="7" spans="1:7" ht="42" customHeight="1">
      <c r="A7" s="30">
        <v>4</v>
      </c>
      <c r="B7" s="31"/>
      <c r="C7" s="32" t="s">
        <v>157</v>
      </c>
      <c r="D7" s="33"/>
      <c r="E7" s="34" t="s">
        <v>158</v>
      </c>
    </row>
    <row r="8" spans="1:7" ht="42" customHeight="1">
      <c r="A8" s="30">
        <v>5</v>
      </c>
      <c r="B8" s="31"/>
      <c r="C8" s="32" t="s">
        <v>157</v>
      </c>
      <c r="D8" s="33"/>
      <c r="E8" s="34" t="s">
        <v>158</v>
      </c>
    </row>
    <row r="9" spans="1:7" ht="42" customHeight="1">
      <c r="A9" s="30">
        <v>6</v>
      </c>
      <c r="B9" s="31"/>
      <c r="C9" s="32" t="s">
        <v>157</v>
      </c>
      <c r="D9" s="33"/>
      <c r="E9" s="34" t="s">
        <v>158</v>
      </c>
    </row>
    <row r="10" spans="1:7" ht="42" customHeight="1">
      <c r="A10" s="30">
        <v>7</v>
      </c>
      <c r="B10" s="31"/>
      <c r="C10" s="32" t="s">
        <v>157</v>
      </c>
      <c r="D10" s="33"/>
      <c r="E10" s="34" t="s">
        <v>158</v>
      </c>
    </row>
    <row r="11" spans="1:7" s="35" customFormat="1" ht="42" customHeight="1">
      <c r="A11" s="30">
        <v>8</v>
      </c>
      <c r="B11" s="31"/>
      <c r="C11" s="32" t="s">
        <v>157</v>
      </c>
      <c r="D11" s="33"/>
      <c r="E11" s="34" t="s">
        <v>158</v>
      </c>
    </row>
    <row r="12" spans="1:7" ht="42" customHeight="1">
      <c r="A12" s="30">
        <v>9</v>
      </c>
      <c r="B12" s="31"/>
      <c r="C12" s="32" t="s">
        <v>157</v>
      </c>
      <c r="D12" s="33"/>
      <c r="E12" s="34" t="s">
        <v>158</v>
      </c>
    </row>
    <row r="13" spans="1:7" ht="42" customHeight="1">
      <c r="A13" s="30">
        <v>10</v>
      </c>
      <c r="B13" s="31"/>
      <c r="C13" s="32" t="s">
        <v>157</v>
      </c>
      <c r="D13" s="33"/>
      <c r="E13" s="34" t="s">
        <v>158</v>
      </c>
    </row>
    <row r="14" spans="1:7" ht="42" customHeight="1">
      <c r="A14" s="30">
        <v>11</v>
      </c>
      <c r="B14" s="31"/>
      <c r="C14" s="32" t="s">
        <v>157</v>
      </c>
      <c r="D14" s="33"/>
      <c r="E14" s="34" t="s">
        <v>158</v>
      </c>
    </row>
    <row r="15" spans="1:7" ht="42" customHeight="1">
      <c r="A15" s="30">
        <v>12</v>
      </c>
      <c r="B15" s="31"/>
      <c r="C15" s="32" t="s">
        <v>157</v>
      </c>
      <c r="D15" s="33"/>
      <c r="E15" s="34" t="s">
        <v>158</v>
      </c>
    </row>
    <row r="16" spans="1:7" ht="42" customHeight="1">
      <c r="A16" s="30">
        <v>13</v>
      </c>
      <c r="B16" s="31"/>
      <c r="C16" s="32" t="s">
        <v>157</v>
      </c>
      <c r="D16" s="33"/>
      <c r="E16" s="34" t="s">
        <v>158</v>
      </c>
    </row>
    <row r="17" spans="1:5" ht="42" customHeight="1">
      <c r="A17" s="30">
        <v>14</v>
      </c>
      <c r="B17" s="31"/>
      <c r="C17" s="32" t="s">
        <v>157</v>
      </c>
      <c r="D17" s="33"/>
      <c r="E17" s="34" t="s">
        <v>158</v>
      </c>
    </row>
    <row r="18" spans="1:5" ht="42" customHeight="1">
      <c r="A18" s="30">
        <v>15</v>
      </c>
      <c r="B18" s="31"/>
      <c r="C18" s="32" t="s">
        <v>157</v>
      </c>
      <c r="D18" s="33"/>
      <c r="E18" s="34" t="s">
        <v>158</v>
      </c>
    </row>
    <row r="19" spans="1:5" ht="42" customHeight="1">
      <c r="A19" s="30">
        <v>16</v>
      </c>
      <c r="B19" s="31"/>
      <c r="C19" s="32" t="s">
        <v>157</v>
      </c>
      <c r="D19" s="33"/>
      <c r="E19" s="34" t="s">
        <v>158</v>
      </c>
    </row>
    <row r="20" spans="1:5" ht="9.75" customHeight="1"/>
    <row r="21" spans="1:5">
      <c r="A21" s="36" t="s">
        <v>11</v>
      </c>
      <c r="B21" s="37" t="s">
        <v>155</v>
      </c>
    </row>
    <row r="22" spans="1:5">
      <c r="A22" s="36"/>
      <c r="B22" s="38" t="s">
        <v>267</v>
      </c>
    </row>
    <row r="23" spans="1:5" ht="9.75" customHeight="1">
      <c r="A23" s="36"/>
      <c r="B23" s="38"/>
    </row>
    <row r="24" spans="1:5">
      <c r="A24" s="36" t="s">
        <v>11</v>
      </c>
      <c r="B24" s="37" t="s">
        <v>160</v>
      </c>
    </row>
    <row r="25" spans="1:5">
      <c r="A25" s="36"/>
      <c r="B25" s="38" t="s">
        <v>151</v>
      </c>
    </row>
    <row r="26" spans="1:5">
      <c r="A26" s="36"/>
      <c r="B26" s="39" t="s">
        <v>156</v>
      </c>
    </row>
    <row r="27" spans="1:5">
      <c r="A27" s="36"/>
      <c r="B27" s="38" t="s">
        <v>268</v>
      </c>
    </row>
    <row r="28" spans="1:5">
      <c r="A28" s="36"/>
      <c r="B28" s="38" t="s">
        <v>161</v>
      </c>
    </row>
    <row r="29" spans="1:5">
      <c r="A29" s="36"/>
      <c r="B29" s="39" t="s">
        <v>162</v>
      </c>
    </row>
  </sheetData>
  <mergeCells count="3">
    <mergeCell ref="A1:B1"/>
    <mergeCell ref="C1:E1"/>
    <mergeCell ref="C2:D2"/>
  </mergeCells>
  <phoneticPr fontId="4"/>
  <pageMargins left="0.9055118110236221" right="0.51181102362204722" top="0.74803149606299213" bottom="0.55118110236220474" header="0.31496062992125984" footer="0.31496062992125984"/>
  <pageSetup paperSize="9" scale="63" orientation="portrait" r:id="rId1"/>
  <headerFooter>
    <oddHeader>&amp;R&amp;14駒寄町内会</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5DC47-E9C8-46FA-B3F7-2E00297ADBC4}">
  <sheetPr>
    <pageSetUpPr fitToPage="1"/>
  </sheetPr>
  <dimension ref="A1:F30"/>
  <sheetViews>
    <sheetView tabSelected="1" view="pageBreakPreview" zoomScale="60" zoomScaleNormal="100" workbookViewId="0">
      <selection activeCell="D17" sqref="D17"/>
    </sheetView>
  </sheetViews>
  <sheetFormatPr defaultRowHeight="18"/>
  <cols>
    <col min="1" max="1" width="4.5" bestFit="1" customWidth="1"/>
    <col min="2" max="2" width="17.19921875" bestFit="1" customWidth="1"/>
    <col min="3" max="3" width="10.59765625" customWidth="1"/>
    <col min="4" max="4" width="31.69921875" customWidth="1"/>
    <col min="5" max="5" width="39.09765625" customWidth="1"/>
  </cols>
  <sheetData>
    <row r="1" spans="1:6" s="5" customFormat="1" ht="26.4">
      <c r="A1" s="48" t="str" cm="1">
        <f t="array" aca="1" ref="A1" ca="1">MID(CELL("filename",A1),FIND("]",CELL("filename",A1))+1,255)</f>
        <v>１区１班</v>
      </c>
      <c r="B1" s="48"/>
      <c r="C1" s="49" t="s">
        <v>163</v>
      </c>
      <c r="D1" s="49"/>
      <c r="E1" s="49"/>
      <c r="F1" s="5">
        <v>8</v>
      </c>
    </row>
    <row r="2" spans="1:6">
      <c r="A2" s="4" t="s">
        <v>0</v>
      </c>
      <c r="B2" s="4" t="s">
        <v>10</v>
      </c>
      <c r="C2" s="50" t="s">
        <v>152</v>
      </c>
      <c r="D2" s="51"/>
      <c r="E2" s="4" t="s">
        <v>9</v>
      </c>
    </row>
    <row r="3" spans="1:6" ht="45.75" customHeight="1">
      <c r="A3" s="8">
        <v>0</v>
      </c>
      <c r="B3" s="9" t="s">
        <v>153</v>
      </c>
      <c r="C3" s="59" t="s">
        <v>335</v>
      </c>
      <c r="D3" s="17" t="s">
        <v>309</v>
      </c>
      <c r="E3" s="44" t="s">
        <v>310</v>
      </c>
    </row>
    <row r="4" spans="1:6" ht="42" customHeight="1">
      <c r="A4" s="1">
        <v>1</v>
      </c>
      <c r="B4" s="13" t="s">
        <v>164</v>
      </c>
      <c r="C4" s="56" t="s">
        <v>330</v>
      </c>
      <c r="D4" s="19" t="s">
        <v>164</v>
      </c>
      <c r="E4" s="41" t="s">
        <v>158</v>
      </c>
    </row>
    <row r="5" spans="1:6" ht="42" customHeight="1">
      <c r="A5" s="1">
        <v>2</v>
      </c>
      <c r="B5" s="13" t="s">
        <v>1</v>
      </c>
      <c r="C5" s="56" t="s">
        <v>330</v>
      </c>
      <c r="D5" s="19" t="s">
        <v>165</v>
      </c>
      <c r="E5" s="41" t="s">
        <v>158</v>
      </c>
    </row>
    <row r="6" spans="1:6" ht="42" customHeight="1">
      <c r="A6" s="1">
        <v>3</v>
      </c>
      <c r="B6" s="13" t="s">
        <v>2</v>
      </c>
      <c r="C6" s="56" t="s">
        <v>330</v>
      </c>
      <c r="D6" s="19" t="s">
        <v>166</v>
      </c>
      <c r="E6" s="41" t="s">
        <v>158</v>
      </c>
    </row>
    <row r="7" spans="1:6" ht="42" customHeight="1">
      <c r="A7" s="1">
        <v>4</v>
      </c>
      <c r="B7" s="13" t="s">
        <v>3</v>
      </c>
      <c r="C7" s="56" t="s">
        <v>330</v>
      </c>
      <c r="D7" s="40" t="s">
        <v>269</v>
      </c>
      <c r="E7" s="41" t="s">
        <v>158</v>
      </c>
    </row>
    <row r="8" spans="1:6" ht="42" customHeight="1">
      <c r="A8" s="1">
        <v>5</v>
      </c>
      <c r="B8" s="14" t="s">
        <v>4</v>
      </c>
      <c r="C8" s="56" t="s">
        <v>330</v>
      </c>
      <c r="D8" s="19" t="s">
        <v>167</v>
      </c>
      <c r="E8" s="41" t="s">
        <v>158</v>
      </c>
    </row>
    <row r="9" spans="1:6" ht="42" customHeight="1">
      <c r="A9" s="1">
        <v>6</v>
      </c>
      <c r="B9" s="14" t="s">
        <v>5</v>
      </c>
      <c r="C9" s="56" t="s">
        <v>330</v>
      </c>
      <c r="D9" s="19" t="s">
        <v>168</v>
      </c>
      <c r="E9" s="41" t="s">
        <v>158</v>
      </c>
    </row>
    <row r="10" spans="1:6" ht="42" customHeight="1">
      <c r="A10" s="1">
        <v>7</v>
      </c>
      <c r="B10" s="14" t="s">
        <v>6</v>
      </c>
      <c r="C10" s="56" t="s">
        <v>330</v>
      </c>
      <c r="D10" s="19" t="s">
        <v>169</v>
      </c>
      <c r="E10" s="41" t="s">
        <v>158</v>
      </c>
    </row>
    <row r="11" spans="1:6" s="10" customFormat="1" ht="42" customHeight="1">
      <c r="A11" s="1">
        <v>8</v>
      </c>
      <c r="B11" s="14" t="s">
        <v>7</v>
      </c>
      <c r="C11" s="56" t="s">
        <v>157</v>
      </c>
      <c r="D11" s="19"/>
      <c r="E11" s="41" t="s">
        <v>158</v>
      </c>
    </row>
    <row r="12" spans="1:6" ht="42" customHeight="1">
      <c r="A12" s="1">
        <v>9</v>
      </c>
      <c r="B12" s="14" t="s">
        <v>8</v>
      </c>
      <c r="C12" s="56" t="s">
        <v>330</v>
      </c>
      <c r="D12" s="19" t="s">
        <v>170</v>
      </c>
      <c r="E12" s="41" t="s">
        <v>158</v>
      </c>
    </row>
    <row r="13" spans="1:6" ht="42" customHeight="1">
      <c r="A13" s="1">
        <v>10</v>
      </c>
      <c r="B13" s="14" t="s">
        <v>244</v>
      </c>
      <c r="C13" s="56" t="s">
        <v>157</v>
      </c>
      <c r="D13" s="20"/>
      <c r="E13" s="41" t="s">
        <v>158</v>
      </c>
    </row>
    <row r="14" spans="1:6" ht="42" customHeight="1">
      <c r="A14" s="1">
        <v>11</v>
      </c>
      <c r="B14" s="14" t="s">
        <v>245</v>
      </c>
      <c r="C14" s="56" t="s">
        <v>157</v>
      </c>
      <c r="D14" s="20"/>
      <c r="E14" s="41" t="s">
        <v>158</v>
      </c>
    </row>
    <row r="15" spans="1:6" ht="42" customHeight="1">
      <c r="A15" s="1">
        <v>12</v>
      </c>
      <c r="B15" s="14"/>
      <c r="C15" s="56" t="s">
        <v>157</v>
      </c>
      <c r="D15" s="20"/>
      <c r="E15" s="41" t="s">
        <v>158</v>
      </c>
    </row>
    <row r="16" spans="1:6" ht="42" customHeight="1">
      <c r="A16" s="1">
        <v>13</v>
      </c>
      <c r="B16" s="14"/>
      <c r="C16" s="56" t="s">
        <v>157</v>
      </c>
      <c r="D16" s="20"/>
      <c r="E16" s="41" t="s">
        <v>158</v>
      </c>
    </row>
    <row r="17" spans="1:5" ht="42" customHeight="1">
      <c r="A17" s="1">
        <v>14</v>
      </c>
      <c r="B17" s="14"/>
      <c r="C17" s="56" t="s">
        <v>157</v>
      </c>
      <c r="D17" s="20"/>
      <c r="E17" s="41" t="s">
        <v>158</v>
      </c>
    </row>
    <row r="18" spans="1:5" ht="42" customHeight="1">
      <c r="A18" s="1">
        <v>15</v>
      </c>
      <c r="B18" s="14"/>
      <c r="C18" s="56" t="s">
        <v>157</v>
      </c>
      <c r="D18" s="20"/>
      <c r="E18" s="41" t="s">
        <v>158</v>
      </c>
    </row>
    <row r="19" spans="1:5" ht="42" customHeight="1">
      <c r="A19" s="1">
        <v>16</v>
      </c>
      <c r="B19" s="14"/>
      <c r="C19" s="56" t="s">
        <v>157</v>
      </c>
      <c r="D19" s="20"/>
      <c r="E19" s="41" t="s">
        <v>158</v>
      </c>
    </row>
    <row r="20" spans="1:5" ht="9.75" customHeight="1"/>
    <row r="21" spans="1:5">
      <c r="A21" s="6" t="s">
        <v>11</v>
      </c>
      <c r="B21" s="15" t="s">
        <v>155</v>
      </c>
    </row>
    <row r="22" spans="1:5">
      <c r="A22" s="6"/>
      <c r="B22" s="43" t="s">
        <v>305</v>
      </c>
    </row>
    <row r="23" spans="1:5">
      <c r="A23" s="6"/>
      <c r="B23" s="12" t="s">
        <v>304</v>
      </c>
    </row>
    <row r="24" spans="1:5" ht="9.75" customHeight="1">
      <c r="A24" s="6"/>
      <c r="B24" s="7"/>
    </row>
    <row r="25" spans="1:5">
      <c r="A25" s="6" t="s">
        <v>11</v>
      </c>
      <c r="B25" s="15" t="s">
        <v>160</v>
      </c>
    </row>
    <row r="26" spans="1:5">
      <c r="A26" s="6"/>
      <c r="B26" s="7" t="s">
        <v>151</v>
      </c>
    </row>
    <row r="27" spans="1:5">
      <c r="A27" s="6"/>
      <c r="B27" s="12" t="s">
        <v>312</v>
      </c>
    </row>
    <row r="28" spans="1:5">
      <c r="A28" s="6"/>
      <c r="B28" s="7" t="s">
        <v>302</v>
      </c>
    </row>
    <row r="29" spans="1:5">
      <c r="A29" s="6"/>
      <c r="B29" s="7" t="s">
        <v>259</v>
      </c>
    </row>
    <row r="30" spans="1:5">
      <c r="A30" s="6"/>
      <c r="B30" s="12" t="s">
        <v>303</v>
      </c>
    </row>
  </sheetData>
  <mergeCells count="3">
    <mergeCell ref="A1:B1"/>
    <mergeCell ref="C1:E1"/>
    <mergeCell ref="C2:D2"/>
  </mergeCells>
  <phoneticPr fontId="4"/>
  <pageMargins left="0.9055118110236221" right="0.51181102362204722" top="0.74803149606299213" bottom="0.55118110236220474" header="0.31496062992125984" footer="0.31496062992125984"/>
  <pageSetup paperSize="9" scale="77" orientation="portrait" r:id="rId1"/>
  <headerFooter>
    <oddHeader>&amp;R&amp;14駒寄町内会</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BD1CE-C22F-4877-9B33-62ACC3785F55}">
  <sheetPr>
    <pageSetUpPr fitToPage="1"/>
  </sheetPr>
  <dimension ref="A1:F30"/>
  <sheetViews>
    <sheetView view="pageBreakPreview" zoomScale="60" zoomScaleNormal="100" workbookViewId="0">
      <selection activeCell="D8" sqref="C8:D8"/>
    </sheetView>
  </sheetViews>
  <sheetFormatPr defaultRowHeight="18"/>
  <cols>
    <col min="1" max="1" width="4.5" bestFit="1" customWidth="1"/>
    <col min="2" max="2" width="17.19921875" bestFit="1" customWidth="1"/>
    <col min="3" max="3" width="10.59765625" customWidth="1"/>
    <col min="4" max="4" width="31.69921875" customWidth="1"/>
    <col min="5" max="5" width="39.09765625" customWidth="1"/>
  </cols>
  <sheetData>
    <row r="1" spans="1:6" s="5" customFormat="1" ht="26.4">
      <c r="A1" s="48" t="str" cm="1">
        <f t="array" aca="1" ref="A1" ca="1">MID(CELL("filename",A1),FIND("]",CELL("filename",A1))+1,255)</f>
        <v>１区２班</v>
      </c>
      <c r="B1" s="48"/>
      <c r="C1" s="49" t="str">
        <f>'１区１班'!C1</f>
        <v>Ｒ８年度 敬老祝い品　受取り対象者　聞き取り票</v>
      </c>
      <c r="D1" s="49"/>
      <c r="E1" s="49"/>
      <c r="F1" s="5">
        <v>3</v>
      </c>
    </row>
    <row r="2" spans="1:6">
      <c r="A2" s="4" t="s">
        <v>0</v>
      </c>
      <c r="B2" s="4" t="s">
        <v>10</v>
      </c>
      <c r="C2" s="50" t="s">
        <v>152</v>
      </c>
      <c r="D2" s="51"/>
      <c r="E2" s="4" t="s">
        <v>9</v>
      </c>
    </row>
    <row r="3" spans="1:6" ht="42">
      <c r="A3" s="8">
        <v>0</v>
      </c>
      <c r="B3" s="9" t="s">
        <v>153</v>
      </c>
      <c r="C3" s="59" t="s">
        <v>335</v>
      </c>
      <c r="D3" s="17" t="s">
        <v>309</v>
      </c>
      <c r="E3" s="44" t="s">
        <v>311</v>
      </c>
    </row>
    <row r="4" spans="1:6" ht="42" customHeight="1">
      <c r="A4" s="1">
        <v>1</v>
      </c>
      <c r="B4" s="13" t="s">
        <v>12</v>
      </c>
      <c r="C4" s="56" t="s">
        <v>157</v>
      </c>
      <c r="D4" s="20"/>
      <c r="E4" s="41" t="s">
        <v>158</v>
      </c>
    </row>
    <row r="5" spans="1:6" ht="42" customHeight="1">
      <c r="A5" s="1">
        <v>2</v>
      </c>
      <c r="B5" s="13" t="s">
        <v>13</v>
      </c>
      <c r="C5" s="56" t="s">
        <v>157</v>
      </c>
      <c r="D5" s="20"/>
      <c r="E5" s="41" t="s">
        <v>158</v>
      </c>
    </row>
    <row r="6" spans="1:6" ht="42" customHeight="1">
      <c r="A6" s="1">
        <v>3</v>
      </c>
      <c r="B6" s="13" t="s">
        <v>14</v>
      </c>
      <c r="C6" s="56" t="s">
        <v>330</v>
      </c>
      <c r="D6" s="19" t="s">
        <v>171</v>
      </c>
      <c r="E6" s="41" t="s">
        <v>158</v>
      </c>
    </row>
    <row r="7" spans="1:6" ht="42" customHeight="1">
      <c r="A7" s="1">
        <v>4</v>
      </c>
      <c r="B7" s="14" t="s">
        <v>15</v>
      </c>
      <c r="C7" s="56" t="s">
        <v>330</v>
      </c>
      <c r="D7" s="19" t="s">
        <v>172</v>
      </c>
      <c r="E7" s="41" t="s">
        <v>158</v>
      </c>
    </row>
    <row r="8" spans="1:6" ht="42" customHeight="1">
      <c r="A8" s="1">
        <v>5</v>
      </c>
      <c r="B8" s="14" t="s">
        <v>270</v>
      </c>
      <c r="C8" s="61" t="s">
        <v>331</v>
      </c>
      <c r="D8" s="62" t="s">
        <v>271</v>
      </c>
      <c r="E8" s="41" t="s">
        <v>313</v>
      </c>
    </row>
    <row r="9" spans="1:6" ht="42" customHeight="1">
      <c r="A9" s="1">
        <v>6</v>
      </c>
      <c r="B9" s="14" t="s">
        <v>51</v>
      </c>
      <c r="C9" s="56" t="s">
        <v>157</v>
      </c>
      <c r="D9" s="19"/>
      <c r="E9" s="41" t="s">
        <v>158</v>
      </c>
    </row>
    <row r="10" spans="1:6" ht="42" customHeight="1">
      <c r="A10" s="1">
        <v>7</v>
      </c>
      <c r="B10" s="14" t="s">
        <v>16</v>
      </c>
      <c r="C10" s="56" t="s">
        <v>157</v>
      </c>
      <c r="D10" s="19"/>
      <c r="E10" s="41" t="s">
        <v>158</v>
      </c>
    </row>
    <row r="11" spans="1:6" s="10" customFormat="1" ht="42" customHeight="1">
      <c r="A11" s="1">
        <v>8</v>
      </c>
      <c r="B11" s="14" t="s">
        <v>17</v>
      </c>
      <c r="C11" s="56" t="s">
        <v>157</v>
      </c>
      <c r="D11" s="19"/>
      <c r="E11" s="41" t="s">
        <v>158</v>
      </c>
    </row>
    <row r="12" spans="1:6" ht="42" customHeight="1">
      <c r="A12" s="1">
        <v>9</v>
      </c>
      <c r="B12" s="14" t="s">
        <v>246</v>
      </c>
      <c r="C12" s="56" t="s">
        <v>157</v>
      </c>
      <c r="D12" s="20"/>
      <c r="E12" s="41" t="s">
        <v>158</v>
      </c>
    </row>
    <row r="13" spans="1:6" ht="42" customHeight="1">
      <c r="A13" s="1">
        <v>10</v>
      </c>
      <c r="B13" s="14"/>
      <c r="C13" s="56" t="s">
        <v>157</v>
      </c>
      <c r="D13" s="16"/>
      <c r="E13" s="41" t="s">
        <v>158</v>
      </c>
    </row>
    <row r="14" spans="1:6" ht="42" customHeight="1">
      <c r="A14" s="1">
        <v>11</v>
      </c>
      <c r="B14" s="14"/>
      <c r="C14" s="56" t="s">
        <v>157</v>
      </c>
      <c r="D14" s="16"/>
      <c r="E14" s="41" t="s">
        <v>158</v>
      </c>
    </row>
    <row r="15" spans="1:6" ht="42" customHeight="1">
      <c r="A15" s="1">
        <v>12</v>
      </c>
      <c r="B15" s="14"/>
      <c r="C15" s="56" t="s">
        <v>157</v>
      </c>
      <c r="D15" s="16"/>
      <c r="E15" s="41" t="s">
        <v>158</v>
      </c>
    </row>
    <row r="16" spans="1:6" ht="42" customHeight="1">
      <c r="A16" s="1">
        <v>13</v>
      </c>
      <c r="B16" s="14"/>
      <c r="C16" s="56" t="s">
        <v>157</v>
      </c>
      <c r="D16" s="16"/>
      <c r="E16" s="41" t="s">
        <v>158</v>
      </c>
    </row>
    <row r="17" spans="1:5" ht="42" customHeight="1">
      <c r="A17" s="1">
        <v>14</v>
      </c>
      <c r="B17" s="14"/>
      <c r="C17" s="56" t="s">
        <v>157</v>
      </c>
      <c r="D17" s="16"/>
      <c r="E17" s="41" t="s">
        <v>158</v>
      </c>
    </row>
    <row r="18" spans="1:5" ht="42" customHeight="1">
      <c r="A18" s="1">
        <v>15</v>
      </c>
      <c r="B18" s="14"/>
      <c r="C18" s="56" t="s">
        <v>157</v>
      </c>
      <c r="D18" s="16"/>
      <c r="E18" s="41" t="s">
        <v>158</v>
      </c>
    </row>
    <row r="19" spans="1:5" ht="42" customHeight="1">
      <c r="A19" s="1">
        <v>16</v>
      </c>
      <c r="B19" s="14"/>
      <c r="C19" s="56" t="s">
        <v>157</v>
      </c>
      <c r="D19" s="16"/>
      <c r="E19" s="41" t="s">
        <v>158</v>
      </c>
    </row>
    <row r="20" spans="1:5" ht="9.75" customHeight="1"/>
    <row r="21" spans="1:5">
      <c r="A21" s="6" t="s">
        <v>11</v>
      </c>
      <c r="B21" s="15" t="s">
        <v>155</v>
      </c>
    </row>
    <row r="22" spans="1:5">
      <c r="A22" s="6"/>
      <c r="B22" s="43" t="str">
        <f>'１区１班'!B22</f>
        <v>所属班の各世帯から聞き取った内容を本用紙に記入し、９月６日の定例会に必ずご持参ください。</v>
      </c>
    </row>
    <row r="23" spans="1:5">
      <c r="A23" s="6"/>
      <c r="B23" s="42" t="str">
        <f>'１区１班'!B23</f>
        <v>※既に対象者氏名が印刷されている方については年齢の記入不要です。</v>
      </c>
    </row>
    <row r="24" spans="1:5" ht="9.75" customHeight="1">
      <c r="A24" s="6"/>
      <c r="B24" s="7"/>
    </row>
    <row r="25" spans="1:5">
      <c r="A25" s="6" t="s">
        <v>11</v>
      </c>
      <c r="B25" s="15" t="s">
        <v>160</v>
      </c>
    </row>
    <row r="26" spans="1:5">
      <c r="A26" s="6"/>
      <c r="B26" s="7" t="str">
        <f>'１区１班'!B26</f>
        <v>① 駒寄町内会会員であること（世帯代表者および同一生計者）</v>
      </c>
    </row>
    <row r="27" spans="1:5">
      <c r="A27" s="6"/>
      <c r="B27" s="42" t="str">
        <f>'１区１班'!B27</f>
        <v>※長期入院、ホーム長期入居者は対象外となります。</v>
      </c>
    </row>
    <row r="28" spans="1:5">
      <c r="A28" s="6"/>
      <c r="B28" s="7" t="str">
        <f>'１区１班'!B28</f>
        <v>② 昭和26年（1951年）12月31日以前生れの方（2026年12月31日時点で75歳以上の方）</v>
      </c>
    </row>
    <row r="29" spans="1:5">
      <c r="A29" s="6"/>
      <c r="B29" s="7" t="str">
        <f>'１区１班'!B29</f>
        <v>③ 敬老の日（9月21日午前中）祝い品（お赤飯を）お受け取り可能な方</v>
      </c>
    </row>
    <row r="30" spans="1:5">
      <c r="A30" s="6"/>
      <c r="B30" s="42" t="str">
        <f>'１区１班'!B30</f>
        <v>※お赤飯は食品につき、当日受け取り可能な方のみを対象とさせていただきます。</v>
      </c>
    </row>
  </sheetData>
  <mergeCells count="3">
    <mergeCell ref="A1:B1"/>
    <mergeCell ref="C1:E1"/>
    <mergeCell ref="C2:D2"/>
  </mergeCells>
  <phoneticPr fontId="4"/>
  <pageMargins left="0.9055118110236221" right="0.51181102362204722" top="0.74803149606299213" bottom="0.55118110236220474" header="0.31496062992125984" footer="0.31496062992125984"/>
  <pageSetup paperSize="9" scale="77" orientation="portrait" r:id="rId1"/>
  <headerFooter>
    <oddHeader>&amp;R&amp;14駒寄町内会</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0249F-029E-4048-AFEC-C54D589F31A8}">
  <sheetPr>
    <pageSetUpPr fitToPage="1"/>
  </sheetPr>
  <dimension ref="A1:F30"/>
  <sheetViews>
    <sheetView view="pageBreakPreview" zoomScale="60" zoomScaleNormal="100" workbookViewId="0">
      <selection activeCell="H13" sqref="H13"/>
    </sheetView>
  </sheetViews>
  <sheetFormatPr defaultRowHeight="18"/>
  <cols>
    <col min="1" max="1" width="4.5" bestFit="1" customWidth="1"/>
    <col min="2" max="2" width="17.19921875" bestFit="1" customWidth="1"/>
    <col min="3" max="3" width="10.59765625" customWidth="1"/>
    <col min="4" max="4" width="31.69921875" customWidth="1"/>
    <col min="5" max="5" width="39.09765625" customWidth="1"/>
  </cols>
  <sheetData>
    <row r="1" spans="1:6" s="5" customFormat="1" ht="26.4">
      <c r="A1" s="48" t="str" cm="1">
        <f t="array" aca="1" ref="A1" ca="1">MID(CELL("filename",A1),FIND("]",CELL("filename",A1))+1,255)</f>
        <v>１区３班</v>
      </c>
      <c r="B1" s="48"/>
      <c r="C1" s="49" t="str">
        <f>'１区１班'!C1</f>
        <v>Ｒ８年度 敬老祝い品　受取り対象者　聞き取り票</v>
      </c>
      <c r="D1" s="49"/>
      <c r="E1" s="49"/>
      <c r="F1" s="5">
        <v>5</v>
      </c>
    </row>
    <row r="2" spans="1:6">
      <c r="A2" s="4" t="s">
        <v>0</v>
      </c>
      <c r="B2" s="4" t="s">
        <v>10</v>
      </c>
      <c r="C2" s="50" t="s">
        <v>152</v>
      </c>
      <c r="D2" s="51"/>
      <c r="E2" s="4" t="s">
        <v>9</v>
      </c>
    </row>
    <row r="3" spans="1:6" ht="42">
      <c r="A3" s="8">
        <v>0</v>
      </c>
      <c r="B3" s="9" t="s">
        <v>153</v>
      </c>
      <c r="C3" s="59" t="s">
        <v>335</v>
      </c>
      <c r="D3" s="17" t="s">
        <v>309</v>
      </c>
      <c r="E3" s="44" t="s">
        <v>311</v>
      </c>
    </row>
    <row r="4" spans="1:6" ht="42" customHeight="1">
      <c r="A4" s="1">
        <v>1</v>
      </c>
      <c r="B4" s="13" t="s">
        <v>18</v>
      </c>
      <c r="C4" s="56" t="s">
        <v>330</v>
      </c>
      <c r="D4" s="19" t="s">
        <v>173</v>
      </c>
      <c r="E4" s="41" t="s">
        <v>158</v>
      </c>
    </row>
    <row r="5" spans="1:6" ht="42" customHeight="1">
      <c r="A5" s="1">
        <v>2</v>
      </c>
      <c r="B5" s="13" t="s">
        <v>247</v>
      </c>
      <c r="C5" s="56" t="s">
        <v>157</v>
      </c>
      <c r="D5" s="19"/>
      <c r="E5" s="41" t="s">
        <v>158</v>
      </c>
    </row>
    <row r="6" spans="1:6" ht="42" customHeight="1">
      <c r="A6" s="1">
        <v>3</v>
      </c>
      <c r="B6" s="13" t="s">
        <v>19</v>
      </c>
      <c r="C6" s="56" t="s">
        <v>330</v>
      </c>
      <c r="D6" s="19" t="s">
        <v>174</v>
      </c>
      <c r="E6" s="41" t="s">
        <v>158</v>
      </c>
    </row>
    <row r="7" spans="1:6" ht="42" customHeight="1">
      <c r="A7" s="1">
        <v>4</v>
      </c>
      <c r="B7" s="14" t="s">
        <v>20</v>
      </c>
      <c r="C7" s="56" t="s">
        <v>157</v>
      </c>
      <c r="D7" s="19"/>
      <c r="E7" s="41" t="s">
        <v>158</v>
      </c>
    </row>
    <row r="8" spans="1:6" ht="42" customHeight="1">
      <c r="A8" s="1">
        <v>5</v>
      </c>
      <c r="B8" s="14" t="s">
        <v>21</v>
      </c>
      <c r="C8" s="56" t="s">
        <v>157</v>
      </c>
      <c r="D8" s="19"/>
      <c r="E8" s="41" t="s">
        <v>158</v>
      </c>
    </row>
    <row r="9" spans="1:6" ht="42" customHeight="1">
      <c r="A9" s="1">
        <v>6</v>
      </c>
      <c r="B9" s="14" t="s">
        <v>22</v>
      </c>
      <c r="C9" s="56" t="s">
        <v>330</v>
      </c>
      <c r="D9" s="19" t="s">
        <v>175</v>
      </c>
      <c r="E9" s="41" t="s">
        <v>158</v>
      </c>
    </row>
    <row r="10" spans="1:6" ht="42" customHeight="1">
      <c r="A10" s="1">
        <v>7</v>
      </c>
      <c r="B10" s="14" t="s">
        <v>23</v>
      </c>
      <c r="C10" s="56" t="s">
        <v>157</v>
      </c>
      <c r="D10" s="19"/>
      <c r="E10" s="41" t="s">
        <v>158</v>
      </c>
    </row>
    <row r="11" spans="1:6" s="10" customFormat="1" ht="42" customHeight="1">
      <c r="A11" s="1">
        <v>8</v>
      </c>
      <c r="B11" s="14" t="s">
        <v>24</v>
      </c>
      <c r="C11" s="56" t="s">
        <v>330</v>
      </c>
      <c r="D11" s="40" t="s">
        <v>272</v>
      </c>
      <c r="E11" s="41" t="s">
        <v>158</v>
      </c>
    </row>
    <row r="12" spans="1:6" ht="42" customHeight="1">
      <c r="A12" s="1">
        <v>9</v>
      </c>
      <c r="B12" s="14"/>
      <c r="C12" s="56" t="s">
        <v>157</v>
      </c>
      <c r="D12" s="20"/>
      <c r="E12" s="41" t="s">
        <v>158</v>
      </c>
    </row>
    <row r="13" spans="1:6" ht="42" customHeight="1">
      <c r="A13" s="1">
        <v>10</v>
      </c>
      <c r="B13" s="14"/>
      <c r="C13" s="56" t="s">
        <v>157</v>
      </c>
      <c r="D13" s="20"/>
      <c r="E13" s="41" t="s">
        <v>158</v>
      </c>
    </row>
    <row r="14" spans="1:6" ht="42" customHeight="1">
      <c r="A14" s="1">
        <v>11</v>
      </c>
      <c r="B14" s="14"/>
      <c r="C14" s="56" t="s">
        <v>157</v>
      </c>
      <c r="D14" s="20"/>
      <c r="E14" s="41" t="s">
        <v>158</v>
      </c>
    </row>
    <row r="15" spans="1:6" ht="42" customHeight="1">
      <c r="A15" s="1">
        <v>12</v>
      </c>
      <c r="B15" s="14"/>
      <c r="C15" s="56" t="s">
        <v>157</v>
      </c>
      <c r="D15" s="20"/>
      <c r="E15" s="41" t="s">
        <v>158</v>
      </c>
    </row>
    <row r="16" spans="1:6" ht="42" customHeight="1">
      <c r="A16" s="1">
        <v>13</v>
      </c>
      <c r="B16" s="14"/>
      <c r="C16" s="56" t="s">
        <v>157</v>
      </c>
      <c r="D16" s="20"/>
      <c r="E16" s="41" t="s">
        <v>158</v>
      </c>
    </row>
    <row r="17" spans="1:5" ht="42" customHeight="1">
      <c r="A17" s="1">
        <v>14</v>
      </c>
      <c r="B17" s="14"/>
      <c r="C17" s="56" t="s">
        <v>157</v>
      </c>
      <c r="D17" s="20"/>
      <c r="E17" s="41" t="s">
        <v>158</v>
      </c>
    </row>
    <row r="18" spans="1:5" ht="42" customHeight="1">
      <c r="A18" s="1">
        <v>15</v>
      </c>
      <c r="B18" s="14"/>
      <c r="C18" s="56" t="s">
        <v>157</v>
      </c>
      <c r="D18" s="20"/>
      <c r="E18" s="41" t="s">
        <v>158</v>
      </c>
    </row>
    <row r="19" spans="1:5" ht="42" customHeight="1">
      <c r="A19" s="1">
        <v>16</v>
      </c>
      <c r="B19" s="14"/>
      <c r="C19" s="56" t="s">
        <v>157</v>
      </c>
      <c r="D19" s="20"/>
      <c r="E19" s="41" t="s">
        <v>158</v>
      </c>
    </row>
    <row r="20" spans="1:5" ht="9.75" customHeight="1"/>
    <row r="21" spans="1:5">
      <c r="A21" s="6" t="s">
        <v>11</v>
      </c>
      <c r="B21" s="15" t="s">
        <v>155</v>
      </c>
    </row>
    <row r="22" spans="1:5">
      <c r="A22" s="6"/>
      <c r="B22" s="43" t="str">
        <f>'１区１班'!B22</f>
        <v>所属班の各世帯から聞き取った内容を本用紙に記入し、９月６日の定例会に必ずご持参ください。</v>
      </c>
    </row>
    <row r="23" spans="1:5">
      <c r="A23" s="6"/>
      <c r="B23" s="42" t="str">
        <f>'１区１班'!B23</f>
        <v>※既に対象者氏名が印刷されている方については年齢の記入不要です。</v>
      </c>
    </row>
    <row r="24" spans="1:5" ht="9.75" customHeight="1">
      <c r="A24" s="6"/>
      <c r="B24" s="7"/>
    </row>
    <row r="25" spans="1:5">
      <c r="A25" s="6" t="s">
        <v>11</v>
      </c>
      <c r="B25" s="15" t="s">
        <v>160</v>
      </c>
    </row>
    <row r="26" spans="1:5">
      <c r="A26" s="6"/>
      <c r="B26" s="7" t="str">
        <f>'１区１班'!B26</f>
        <v>① 駒寄町内会会員であること（世帯代表者および同一生計者）</v>
      </c>
    </row>
    <row r="27" spans="1:5">
      <c r="A27" s="6"/>
      <c r="B27" s="42" t="str">
        <f>'１区１班'!B27</f>
        <v>※長期入院、ホーム長期入居者は対象外となります。</v>
      </c>
    </row>
    <row r="28" spans="1:5">
      <c r="A28" s="6"/>
      <c r="B28" s="7" t="str">
        <f>'１区１班'!B28</f>
        <v>② 昭和26年（1951年）12月31日以前生れの方（2026年12月31日時点で75歳以上の方）</v>
      </c>
    </row>
    <row r="29" spans="1:5">
      <c r="A29" s="6"/>
      <c r="B29" s="7" t="str">
        <f>'１区１班'!B29</f>
        <v>③ 敬老の日（9月21日午前中）祝い品（お赤飯を）お受け取り可能な方</v>
      </c>
    </row>
    <row r="30" spans="1:5">
      <c r="A30" s="6"/>
      <c r="B30" s="42" t="str">
        <f>'１区１班'!B30</f>
        <v>※お赤飯は食品につき、当日受け取り可能な方のみを対象とさせていただきます。</v>
      </c>
    </row>
  </sheetData>
  <mergeCells count="3">
    <mergeCell ref="A1:B1"/>
    <mergeCell ref="C1:E1"/>
    <mergeCell ref="C2:D2"/>
  </mergeCells>
  <phoneticPr fontId="4"/>
  <pageMargins left="0.9055118110236221" right="0.51181102362204722" top="0.74803149606299213" bottom="0.55118110236220474" header="0.31496062992125984" footer="0.31496062992125984"/>
  <pageSetup paperSize="9" scale="77" orientation="portrait" r:id="rId1"/>
  <headerFooter>
    <oddHeader>&amp;R&amp;14駒寄町内会</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FDB5C-9124-402D-9C38-11108E27FC65}">
  <sheetPr>
    <pageSetUpPr fitToPage="1"/>
  </sheetPr>
  <dimension ref="A1:F30"/>
  <sheetViews>
    <sheetView view="pageBreakPreview" zoomScale="60" zoomScaleNormal="100" workbookViewId="0">
      <selection activeCell="H13" sqref="H13"/>
    </sheetView>
  </sheetViews>
  <sheetFormatPr defaultRowHeight="18"/>
  <cols>
    <col min="1" max="1" width="4.5" bestFit="1" customWidth="1"/>
    <col min="2" max="2" width="17.19921875" bestFit="1" customWidth="1"/>
    <col min="3" max="3" width="10.59765625" customWidth="1"/>
    <col min="4" max="4" width="31.69921875" customWidth="1"/>
    <col min="5" max="5" width="39.09765625" customWidth="1"/>
  </cols>
  <sheetData>
    <row r="1" spans="1:6" s="5" customFormat="1" ht="26.4">
      <c r="A1" s="48" t="str" cm="1">
        <f t="array" aca="1" ref="A1" ca="1">MID(CELL("filename",A1),FIND("]",CELL("filename",A1))+1,255)</f>
        <v>１区４班</v>
      </c>
      <c r="B1" s="48"/>
      <c r="C1" s="49" t="str">
        <f>'１区１班'!C1</f>
        <v>Ｒ８年度 敬老祝い品　受取り対象者　聞き取り票</v>
      </c>
      <c r="D1" s="49"/>
      <c r="E1" s="49"/>
      <c r="F1" s="5">
        <v>5</v>
      </c>
    </row>
    <row r="2" spans="1:6">
      <c r="A2" s="4" t="s">
        <v>0</v>
      </c>
      <c r="B2" s="4" t="s">
        <v>10</v>
      </c>
      <c r="C2" s="50" t="s">
        <v>152</v>
      </c>
      <c r="D2" s="51"/>
      <c r="E2" s="4" t="s">
        <v>9</v>
      </c>
    </row>
    <row r="3" spans="1:6" ht="42">
      <c r="A3" s="8">
        <v>0</v>
      </c>
      <c r="B3" s="9" t="s">
        <v>153</v>
      </c>
      <c r="C3" s="59" t="s">
        <v>335</v>
      </c>
      <c r="D3" s="17" t="s">
        <v>309</v>
      </c>
      <c r="E3" s="44" t="s">
        <v>311</v>
      </c>
    </row>
    <row r="4" spans="1:6" ht="42" customHeight="1">
      <c r="A4" s="1">
        <v>1</v>
      </c>
      <c r="B4" s="13" t="s">
        <v>25</v>
      </c>
      <c r="C4" s="56" t="s">
        <v>157</v>
      </c>
      <c r="D4" s="19"/>
      <c r="E4" s="41" t="s">
        <v>158</v>
      </c>
    </row>
    <row r="5" spans="1:6" ht="42" customHeight="1">
      <c r="A5" s="1">
        <v>2</v>
      </c>
      <c r="B5" s="13" t="s">
        <v>26</v>
      </c>
      <c r="C5" s="56" t="s">
        <v>157</v>
      </c>
      <c r="D5" s="19"/>
      <c r="E5" s="41" t="s">
        <v>158</v>
      </c>
    </row>
    <row r="6" spans="1:6" ht="42" customHeight="1">
      <c r="A6" s="1">
        <v>3</v>
      </c>
      <c r="B6" s="13" t="s">
        <v>27</v>
      </c>
      <c r="C6" s="56" t="s">
        <v>330</v>
      </c>
      <c r="D6" s="19" t="s">
        <v>176</v>
      </c>
      <c r="E6" s="41" t="s">
        <v>158</v>
      </c>
    </row>
    <row r="7" spans="1:6" ht="42" customHeight="1">
      <c r="A7" s="1">
        <v>4</v>
      </c>
      <c r="B7" s="14" t="s">
        <v>28</v>
      </c>
      <c r="C7" s="56" t="s">
        <v>330</v>
      </c>
      <c r="D7" s="19" t="s">
        <v>177</v>
      </c>
      <c r="E7" s="41" t="s">
        <v>158</v>
      </c>
    </row>
    <row r="8" spans="1:6" ht="42" customHeight="1">
      <c r="A8" s="1">
        <v>5</v>
      </c>
      <c r="B8" s="14" t="s">
        <v>29</v>
      </c>
      <c r="C8" s="56" t="s">
        <v>330</v>
      </c>
      <c r="D8" s="19" t="s">
        <v>178</v>
      </c>
      <c r="E8" s="41" t="s">
        <v>158</v>
      </c>
    </row>
    <row r="9" spans="1:6" ht="42" customHeight="1">
      <c r="A9" s="1">
        <v>6</v>
      </c>
      <c r="B9" s="14" t="s">
        <v>30</v>
      </c>
      <c r="C9" s="56" t="s">
        <v>157</v>
      </c>
      <c r="D9" s="19"/>
      <c r="E9" s="41" t="s">
        <v>158</v>
      </c>
    </row>
    <row r="10" spans="1:6" ht="42" customHeight="1">
      <c r="A10" s="1">
        <v>7</v>
      </c>
      <c r="B10" s="14"/>
      <c r="C10" s="56" t="s">
        <v>157</v>
      </c>
      <c r="D10" s="20"/>
      <c r="E10" s="41" t="s">
        <v>158</v>
      </c>
    </row>
    <row r="11" spans="1:6" s="10" customFormat="1" ht="42" customHeight="1">
      <c r="A11" s="1">
        <v>8</v>
      </c>
      <c r="B11" s="14"/>
      <c r="C11" s="56" t="s">
        <v>157</v>
      </c>
      <c r="D11" s="20"/>
      <c r="E11" s="41" t="s">
        <v>158</v>
      </c>
    </row>
    <row r="12" spans="1:6" ht="42" customHeight="1">
      <c r="A12" s="1">
        <v>9</v>
      </c>
      <c r="B12" s="14"/>
      <c r="C12" s="56" t="s">
        <v>157</v>
      </c>
      <c r="D12" s="20"/>
      <c r="E12" s="41" t="s">
        <v>158</v>
      </c>
    </row>
    <row r="13" spans="1:6" ht="42" customHeight="1">
      <c r="A13" s="1">
        <v>10</v>
      </c>
      <c r="B13" s="14"/>
      <c r="C13" s="56" t="s">
        <v>157</v>
      </c>
      <c r="D13" s="20"/>
      <c r="E13" s="41" t="s">
        <v>158</v>
      </c>
    </row>
    <row r="14" spans="1:6" ht="42" customHeight="1">
      <c r="A14" s="1">
        <v>11</v>
      </c>
      <c r="B14" s="14"/>
      <c r="C14" s="56" t="s">
        <v>157</v>
      </c>
      <c r="D14" s="20"/>
      <c r="E14" s="41" t="s">
        <v>158</v>
      </c>
    </row>
    <row r="15" spans="1:6" ht="42" customHeight="1">
      <c r="A15" s="1">
        <v>12</v>
      </c>
      <c r="B15" s="14"/>
      <c r="C15" s="56" t="s">
        <v>157</v>
      </c>
      <c r="D15" s="20"/>
      <c r="E15" s="41" t="s">
        <v>158</v>
      </c>
    </row>
    <row r="16" spans="1:6" ht="42" customHeight="1">
      <c r="A16" s="1">
        <v>13</v>
      </c>
      <c r="B16" s="14"/>
      <c r="C16" s="56" t="s">
        <v>157</v>
      </c>
      <c r="D16" s="20"/>
      <c r="E16" s="41" t="s">
        <v>158</v>
      </c>
    </row>
    <row r="17" spans="1:5" ht="42" customHeight="1">
      <c r="A17" s="1">
        <v>14</v>
      </c>
      <c r="B17" s="14"/>
      <c r="C17" s="56" t="s">
        <v>157</v>
      </c>
      <c r="D17" s="20"/>
      <c r="E17" s="41" t="s">
        <v>158</v>
      </c>
    </row>
    <row r="18" spans="1:5" ht="42" customHeight="1">
      <c r="A18" s="1">
        <v>15</v>
      </c>
      <c r="B18" s="14"/>
      <c r="C18" s="56" t="s">
        <v>157</v>
      </c>
      <c r="D18" s="20"/>
      <c r="E18" s="41" t="s">
        <v>158</v>
      </c>
    </row>
    <row r="19" spans="1:5" ht="42" customHeight="1">
      <c r="A19" s="1">
        <v>16</v>
      </c>
      <c r="B19" s="14"/>
      <c r="C19" s="56" t="s">
        <v>157</v>
      </c>
      <c r="D19" s="20"/>
      <c r="E19" s="41" t="s">
        <v>158</v>
      </c>
    </row>
    <row r="20" spans="1:5" ht="9.75" customHeight="1"/>
    <row r="21" spans="1:5">
      <c r="A21" s="6" t="s">
        <v>11</v>
      </c>
      <c r="B21" s="15" t="s">
        <v>155</v>
      </c>
    </row>
    <row r="22" spans="1:5">
      <c r="A22" s="6"/>
      <c r="B22" s="43" t="str">
        <f>'１区１班'!B22</f>
        <v>所属班の各世帯から聞き取った内容を本用紙に記入し、９月６日の定例会に必ずご持参ください。</v>
      </c>
    </row>
    <row r="23" spans="1:5">
      <c r="A23" s="6"/>
      <c r="B23" s="42" t="str">
        <f>'１区１班'!B23</f>
        <v>※既に対象者氏名が印刷されている方については年齢の記入不要です。</v>
      </c>
    </row>
    <row r="24" spans="1:5" ht="9.75" customHeight="1">
      <c r="A24" s="6"/>
      <c r="B24" s="7"/>
    </row>
    <row r="25" spans="1:5">
      <c r="A25" s="6" t="s">
        <v>11</v>
      </c>
      <c r="B25" s="15" t="s">
        <v>160</v>
      </c>
    </row>
    <row r="26" spans="1:5">
      <c r="A26" s="6"/>
      <c r="B26" s="7" t="str">
        <f>'１区１班'!B26</f>
        <v>① 駒寄町内会会員であること（世帯代表者および同一生計者）</v>
      </c>
    </row>
    <row r="27" spans="1:5">
      <c r="A27" s="6"/>
      <c r="B27" s="42" t="str">
        <f>'１区１班'!B27</f>
        <v>※長期入院、ホーム長期入居者は対象外となります。</v>
      </c>
    </row>
    <row r="28" spans="1:5">
      <c r="A28" s="6"/>
      <c r="B28" s="7" t="str">
        <f>'１区１班'!B28</f>
        <v>② 昭和26年（1951年）12月31日以前生れの方（2026年12月31日時点で75歳以上の方）</v>
      </c>
    </row>
    <row r="29" spans="1:5">
      <c r="A29" s="6"/>
      <c r="B29" s="7" t="str">
        <f>'１区１班'!B29</f>
        <v>③ 敬老の日（9月21日午前中）祝い品（お赤飯を）お受け取り可能な方</v>
      </c>
    </row>
    <row r="30" spans="1:5">
      <c r="A30" s="6"/>
      <c r="B30" s="42" t="str">
        <f>'１区１班'!B30</f>
        <v>※お赤飯は食品につき、当日受け取り可能な方のみを対象とさせていただきます。</v>
      </c>
    </row>
  </sheetData>
  <mergeCells count="3">
    <mergeCell ref="A1:B1"/>
    <mergeCell ref="C1:E1"/>
    <mergeCell ref="C2:D2"/>
  </mergeCells>
  <phoneticPr fontId="4"/>
  <pageMargins left="0.9055118110236221" right="0.51181102362204722" top="0.74803149606299213" bottom="0.55118110236220474" header="0.31496062992125984" footer="0.31496062992125984"/>
  <pageSetup paperSize="9" scale="77" orientation="portrait" r:id="rId1"/>
  <headerFooter>
    <oddHeader>&amp;R&amp;14駒寄町内会</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D66A1-4053-457F-A3BA-541E4E14C816}">
  <sheetPr>
    <pageSetUpPr fitToPage="1"/>
  </sheetPr>
  <dimension ref="A1:F30"/>
  <sheetViews>
    <sheetView view="pageBreakPreview" zoomScale="60" zoomScaleNormal="100" workbookViewId="0">
      <selection activeCell="H13" sqref="H13"/>
    </sheetView>
  </sheetViews>
  <sheetFormatPr defaultRowHeight="18"/>
  <cols>
    <col min="1" max="1" width="4.5" bestFit="1" customWidth="1"/>
    <col min="2" max="2" width="17.19921875" bestFit="1" customWidth="1"/>
    <col min="3" max="3" width="10.59765625" customWidth="1"/>
    <col min="4" max="4" width="31.69921875" customWidth="1"/>
    <col min="5" max="5" width="39.09765625" customWidth="1"/>
  </cols>
  <sheetData>
    <row r="1" spans="1:6" s="5" customFormat="1" ht="26.4">
      <c r="A1" s="48" t="str" cm="1">
        <f t="array" aca="1" ref="A1" ca="1">MID(CELL("filename",A1),FIND("]",CELL("filename",A1))+1,255)</f>
        <v>１区５班</v>
      </c>
      <c r="B1" s="48"/>
      <c r="C1" s="49" t="str">
        <f>'１区１班'!C1</f>
        <v>Ｒ８年度 敬老祝い品　受取り対象者　聞き取り票</v>
      </c>
      <c r="D1" s="49"/>
      <c r="E1" s="49"/>
      <c r="F1" s="5">
        <v>0</v>
      </c>
    </row>
    <row r="2" spans="1:6">
      <c r="A2" s="4" t="s">
        <v>0</v>
      </c>
      <c r="B2" s="4" t="s">
        <v>10</v>
      </c>
      <c r="C2" s="50" t="s">
        <v>152</v>
      </c>
      <c r="D2" s="51"/>
      <c r="E2" s="4" t="s">
        <v>9</v>
      </c>
    </row>
    <row r="3" spans="1:6" ht="42">
      <c r="A3" s="8">
        <v>0</v>
      </c>
      <c r="B3" s="9" t="s">
        <v>153</v>
      </c>
      <c r="C3" s="59" t="s">
        <v>335</v>
      </c>
      <c r="D3" s="17" t="s">
        <v>309</v>
      </c>
      <c r="E3" s="44" t="s">
        <v>311</v>
      </c>
    </row>
    <row r="4" spans="1:6" ht="42" customHeight="1">
      <c r="A4" s="1">
        <v>1</v>
      </c>
      <c r="B4" s="3" t="s">
        <v>31</v>
      </c>
      <c r="C4" s="56" t="s">
        <v>157</v>
      </c>
      <c r="D4" s="20"/>
      <c r="E4" s="41" t="s">
        <v>158</v>
      </c>
    </row>
    <row r="5" spans="1:6" ht="42" customHeight="1">
      <c r="A5" s="1">
        <v>2</v>
      </c>
      <c r="B5" s="3" t="s">
        <v>32</v>
      </c>
      <c r="C5" s="56" t="s">
        <v>157</v>
      </c>
      <c r="D5" s="20"/>
      <c r="E5" s="41" t="s">
        <v>158</v>
      </c>
    </row>
    <row r="6" spans="1:6" ht="42" customHeight="1">
      <c r="A6" s="1">
        <v>3</v>
      </c>
      <c r="B6" s="3" t="s">
        <v>33</v>
      </c>
      <c r="C6" s="56" t="s">
        <v>157</v>
      </c>
      <c r="D6" s="20"/>
      <c r="E6" s="41" t="s">
        <v>158</v>
      </c>
    </row>
    <row r="7" spans="1:6" ht="42" customHeight="1">
      <c r="A7" s="1">
        <v>4</v>
      </c>
      <c r="B7" s="14"/>
      <c r="C7" s="56" t="s">
        <v>157</v>
      </c>
      <c r="D7" s="20"/>
      <c r="E7" s="41" t="s">
        <v>158</v>
      </c>
    </row>
    <row r="8" spans="1:6" ht="42" customHeight="1">
      <c r="A8" s="1">
        <v>5</v>
      </c>
      <c r="B8" s="14"/>
      <c r="C8" s="56" t="s">
        <v>157</v>
      </c>
      <c r="D8" s="20"/>
      <c r="E8" s="41" t="s">
        <v>158</v>
      </c>
    </row>
    <row r="9" spans="1:6" ht="42" customHeight="1">
      <c r="A9" s="1">
        <v>6</v>
      </c>
      <c r="B9" s="14"/>
      <c r="C9" s="56" t="s">
        <v>157</v>
      </c>
      <c r="D9" s="20"/>
      <c r="E9" s="41" t="s">
        <v>158</v>
      </c>
    </row>
    <row r="10" spans="1:6" ht="42" customHeight="1">
      <c r="A10" s="1">
        <v>7</v>
      </c>
      <c r="B10" s="14"/>
      <c r="C10" s="56" t="s">
        <v>157</v>
      </c>
      <c r="D10" s="20"/>
      <c r="E10" s="41" t="s">
        <v>158</v>
      </c>
    </row>
    <row r="11" spans="1:6" s="10" customFormat="1" ht="42" customHeight="1">
      <c r="A11" s="1">
        <v>8</v>
      </c>
      <c r="B11" s="14"/>
      <c r="C11" s="56" t="s">
        <v>157</v>
      </c>
      <c r="D11" s="20"/>
      <c r="E11" s="41" t="s">
        <v>158</v>
      </c>
    </row>
    <row r="12" spans="1:6" ht="42" customHeight="1">
      <c r="A12" s="1">
        <v>9</v>
      </c>
      <c r="B12" s="14"/>
      <c r="C12" s="56" t="s">
        <v>157</v>
      </c>
      <c r="D12" s="20"/>
      <c r="E12" s="41" t="s">
        <v>158</v>
      </c>
    </row>
    <row r="13" spans="1:6" ht="42" customHeight="1">
      <c r="A13" s="1">
        <v>10</v>
      </c>
      <c r="B13" s="14"/>
      <c r="C13" s="56" t="s">
        <v>157</v>
      </c>
      <c r="D13" s="20"/>
      <c r="E13" s="41" t="s">
        <v>158</v>
      </c>
    </row>
    <row r="14" spans="1:6" ht="42" customHeight="1">
      <c r="A14" s="1">
        <v>11</v>
      </c>
      <c r="B14" s="14"/>
      <c r="C14" s="56" t="s">
        <v>157</v>
      </c>
      <c r="D14" s="20"/>
      <c r="E14" s="41" t="s">
        <v>158</v>
      </c>
    </row>
    <row r="15" spans="1:6" ht="42" customHeight="1">
      <c r="A15" s="1">
        <v>12</v>
      </c>
      <c r="B15" s="14"/>
      <c r="C15" s="56" t="s">
        <v>157</v>
      </c>
      <c r="D15" s="20"/>
      <c r="E15" s="41" t="s">
        <v>158</v>
      </c>
    </row>
    <row r="16" spans="1:6" ht="42" customHeight="1">
      <c r="A16" s="1">
        <v>13</v>
      </c>
      <c r="B16" s="14"/>
      <c r="C16" s="56" t="s">
        <v>157</v>
      </c>
      <c r="D16" s="20"/>
      <c r="E16" s="41" t="s">
        <v>158</v>
      </c>
    </row>
    <row r="17" spans="1:5" ht="42" customHeight="1">
      <c r="A17" s="1">
        <v>14</v>
      </c>
      <c r="B17" s="14"/>
      <c r="C17" s="56" t="s">
        <v>157</v>
      </c>
      <c r="D17" s="20"/>
      <c r="E17" s="41" t="s">
        <v>158</v>
      </c>
    </row>
    <row r="18" spans="1:5" ht="42" customHeight="1">
      <c r="A18" s="1">
        <v>15</v>
      </c>
      <c r="B18" s="14"/>
      <c r="C18" s="56" t="s">
        <v>157</v>
      </c>
      <c r="D18" s="20"/>
      <c r="E18" s="41" t="s">
        <v>158</v>
      </c>
    </row>
    <row r="19" spans="1:5" ht="42" customHeight="1">
      <c r="A19" s="1">
        <v>16</v>
      </c>
      <c r="B19" s="14"/>
      <c r="C19" s="56" t="s">
        <v>157</v>
      </c>
      <c r="D19" s="20"/>
      <c r="E19" s="41" t="s">
        <v>158</v>
      </c>
    </row>
    <row r="20" spans="1:5" ht="9.75" customHeight="1"/>
    <row r="21" spans="1:5">
      <c r="A21" s="6" t="s">
        <v>11</v>
      </c>
      <c r="B21" s="15" t="s">
        <v>155</v>
      </c>
    </row>
    <row r="22" spans="1:5">
      <c r="A22" s="6"/>
      <c r="B22" s="43" t="str">
        <f>'１区１班'!B22</f>
        <v>所属班の各世帯から聞き取った内容を本用紙に記入し、９月６日の定例会に必ずご持参ください。</v>
      </c>
    </row>
    <row r="23" spans="1:5">
      <c r="A23" s="6"/>
      <c r="B23" s="42" t="str">
        <f>'１区１班'!B23</f>
        <v>※既に対象者氏名が印刷されている方については年齢の記入不要です。</v>
      </c>
    </row>
    <row r="24" spans="1:5" ht="9.75" customHeight="1">
      <c r="A24" s="6"/>
      <c r="B24" s="7"/>
    </row>
    <row r="25" spans="1:5">
      <c r="A25" s="6" t="s">
        <v>11</v>
      </c>
      <c r="B25" s="15" t="s">
        <v>160</v>
      </c>
    </row>
    <row r="26" spans="1:5">
      <c r="A26" s="6"/>
      <c r="B26" s="7" t="str">
        <f>'１区１班'!B26</f>
        <v>① 駒寄町内会会員であること（世帯代表者および同一生計者）</v>
      </c>
    </row>
    <row r="27" spans="1:5">
      <c r="A27" s="6"/>
      <c r="B27" s="42" t="str">
        <f>'１区１班'!B27</f>
        <v>※長期入院、ホーム長期入居者は対象外となります。</v>
      </c>
    </row>
    <row r="28" spans="1:5">
      <c r="A28" s="6"/>
      <c r="B28" s="7" t="str">
        <f>'１区１班'!B28</f>
        <v>② 昭和26年（1951年）12月31日以前生れの方（2026年12月31日時点で75歳以上の方）</v>
      </c>
    </row>
    <row r="29" spans="1:5">
      <c r="A29" s="6"/>
      <c r="B29" s="7" t="str">
        <f>'１区１班'!B29</f>
        <v>③ 敬老の日（9月21日午前中）祝い品（お赤飯を）お受け取り可能な方</v>
      </c>
    </row>
    <row r="30" spans="1:5">
      <c r="A30" s="6"/>
      <c r="B30" s="42" t="str">
        <f>'１区１班'!B30</f>
        <v>※お赤飯は食品につき、当日受け取り可能な方のみを対象とさせていただきます。</v>
      </c>
    </row>
  </sheetData>
  <mergeCells count="3">
    <mergeCell ref="A1:B1"/>
    <mergeCell ref="C1:E1"/>
    <mergeCell ref="C2:D2"/>
  </mergeCells>
  <phoneticPr fontId="4"/>
  <pageMargins left="0.9055118110236221" right="0.51181102362204722" top="0.74803149606299213" bottom="0.55118110236220474" header="0.31496062992125984" footer="0.31496062992125984"/>
  <pageSetup paperSize="9" scale="77" orientation="portrait" r:id="rId1"/>
  <headerFooter>
    <oddHeader>&amp;R&amp;14駒寄町内会</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DBA49-6F91-4C44-83E9-C58A9F6D0A03}">
  <sheetPr>
    <pageSetUpPr fitToPage="1"/>
  </sheetPr>
  <dimension ref="A1:F30"/>
  <sheetViews>
    <sheetView view="pageBreakPreview" topLeftCell="A3" zoomScale="60" zoomScaleNormal="100" workbookViewId="0">
      <selection activeCell="H13" sqref="H13"/>
    </sheetView>
  </sheetViews>
  <sheetFormatPr defaultRowHeight="18"/>
  <cols>
    <col min="1" max="1" width="4.5" bestFit="1" customWidth="1"/>
    <col min="2" max="2" width="17.19921875" bestFit="1" customWidth="1"/>
    <col min="3" max="3" width="10.59765625" customWidth="1"/>
    <col min="4" max="4" width="31.69921875" customWidth="1"/>
    <col min="5" max="5" width="39.09765625" customWidth="1"/>
  </cols>
  <sheetData>
    <row r="1" spans="1:6" s="5" customFormat="1" ht="26.4">
      <c r="A1" s="48" t="str" cm="1">
        <f t="array" aca="1" ref="A1" ca="1">MID(CELL("filename",A1),FIND("]",CELL("filename",A1))+1,255)</f>
        <v>１区６班</v>
      </c>
      <c r="B1" s="48"/>
      <c r="C1" s="49" t="str">
        <f>'１区１班'!C1</f>
        <v>Ｒ８年度 敬老祝い品　受取り対象者　聞き取り票</v>
      </c>
      <c r="D1" s="49"/>
      <c r="E1" s="49"/>
      <c r="F1" s="5">
        <v>2</v>
      </c>
    </row>
    <row r="2" spans="1:6">
      <c r="A2" s="4" t="s">
        <v>0</v>
      </c>
      <c r="B2" s="4" t="s">
        <v>10</v>
      </c>
      <c r="C2" s="50" t="s">
        <v>152</v>
      </c>
      <c r="D2" s="51"/>
      <c r="E2" s="4" t="s">
        <v>9</v>
      </c>
    </row>
    <row r="3" spans="1:6" ht="42">
      <c r="A3" s="8">
        <v>0</v>
      </c>
      <c r="B3" s="9" t="s">
        <v>153</v>
      </c>
      <c r="C3" s="59" t="s">
        <v>335</v>
      </c>
      <c r="D3" s="17" t="s">
        <v>309</v>
      </c>
      <c r="E3" s="44" t="s">
        <v>311</v>
      </c>
    </row>
    <row r="4" spans="1:6" ht="42" customHeight="1">
      <c r="A4" s="1">
        <v>1</v>
      </c>
      <c r="B4" s="3" t="s">
        <v>34</v>
      </c>
      <c r="C4" s="56" t="s">
        <v>330</v>
      </c>
      <c r="D4" s="19" t="s">
        <v>179</v>
      </c>
      <c r="E4" s="41" t="s">
        <v>158</v>
      </c>
    </row>
    <row r="5" spans="1:6" ht="42" customHeight="1">
      <c r="A5" s="1">
        <v>2</v>
      </c>
      <c r="B5" s="3" t="s">
        <v>35</v>
      </c>
      <c r="C5" s="56" t="s">
        <v>157</v>
      </c>
      <c r="D5" s="19"/>
      <c r="E5" s="41" t="s">
        <v>158</v>
      </c>
    </row>
    <row r="6" spans="1:6" ht="42" customHeight="1">
      <c r="A6" s="1">
        <v>3</v>
      </c>
      <c r="B6" s="3" t="s">
        <v>36</v>
      </c>
      <c r="C6" s="56" t="s">
        <v>330</v>
      </c>
      <c r="D6" s="19" t="s">
        <v>180</v>
      </c>
      <c r="E6" s="41" t="s">
        <v>158</v>
      </c>
    </row>
    <row r="7" spans="1:6" ht="42" customHeight="1">
      <c r="A7" s="1">
        <v>4</v>
      </c>
      <c r="B7" s="3" t="s">
        <v>37</v>
      </c>
      <c r="C7" s="56" t="s">
        <v>157</v>
      </c>
      <c r="D7" s="19"/>
      <c r="E7" s="41" t="s">
        <v>158</v>
      </c>
    </row>
    <row r="8" spans="1:6" ht="42" customHeight="1">
      <c r="A8" s="1">
        <v>5</v>
      </c>
      <c r="B8" s="3" t="s">
        <v>38</v>
      </c>
      <c r="C8" s="56" t="s">
        <v>157</v>
      </c>
      <c r="D8" s="19"/>
      <c r="E8" s="41" t="s">
        <v>158</v>
      </c>
    </row>
    <row r="9" spans="1:6" ht="42" customHeight="1">
      <c r="A9" s="1">
        <v>6</v>
      </c>
      <c r="B9" s="3" t="s">
        <v>39</v>
      </c>
      <c r="C9" s="56" t="s">
        <v>157</v>
      </c>
      <c r="D9" s="19"/>
      <c r="E9" s="41" t="s">
        <v>158</v>
      </c>
    </row>
    <row r="10" spans="1:6" ht="42" customHeight="1">
      <c r="A10" s="1">
        <v>7</v>
      </c>
      <c r="B10" s="3" t="s">
        <v>40</v>
      </c>
      <c r="C10" s="56" t="s">
        <v>157</v>
      </c>
      <c r="D10" s="19"/>
      <c r="E10" s="41" t="s">
        <v>158</v>
      </c>
    </row>
    <row r="11" spans="1:6" s="10" customFormat="1" ht="42" customHeight="1">
      <c r="A11" s="1">
        <v>8</v>
      </c>
      <c r="B11" s="14"/>
      <c r="C11" s="56" t="s">
        <v>157</v>
      </c>
      <c r="D11" s="20"/>
      <c r="E11" s="41" t="s">
        <v>158</v>
      </c>
    </row>
    <row r="12" spans="1:6" ht="42" customHeight="1">
      <c r="A12" s="1">
        <v>9</v>
      </c>
      <c r="B12" s="14"/>
      <c r="C12" s="56" t="s">
        <v>157</v>
      </c>
      <c r="D12" s="20"/>
      <c r="E12" s="41" t="s">
        <v>158</v>
      </c>
    </row>
    <row r="13" spans="1:6" ht="42" customHeight="1">
      <c r="A13" s="1">
        <v>10</v>
      </c>
      <c r="B13" s="14"/>
      <c r="C13" s="56" t="s">
        <v>157</v>
      </c>
      <c r="D13" s="20"/>
      <c r="E13" s="41" t="s">
        <v>158</v>
      </c>
    </row>
    <row r="14" spans="1:6" ht="42" customHeight="1">
      <c r="A14" s="1">
        <v>11</v>
      </c>
      <c r="B14" s="14"/>
      <c r="C14" s="56" t="s">
        <v>157</v>
      </c>
      <c r="D14" s="20"/>
      <c r="E14" s="41" t="s">
        <v>158</v>
      </c>
    </row>
    <row r="15" spans="1:6" ht="42" customHeight="1">
      <c r="A15" s="1">
        <v>12</v>
      </c>
      <c r="B15" s="14"/>
      <c r="C15" s="56" t="s">
        <v>157</v>
      </c>
      <c r="D15" s="20"/>
      <c r="E15" s="41" t="s">
        <v>158</v>
      </c>
    </row>
    <row r="16" spans="1:6" ht="42" customHeight="1">
      <c r="A16" s="1">
        <v>13</v>
      </c>
      <c r="B16" s="14"/>
      <c r="C16" s="56" t="s">
        <v>157</v>
      </c>
      <c r="D16" s="20"/>
      <c r="E16" s="41" t="s">
        <v>158</v>
      </c>
    </row>
    <row r="17" spans="1:5" ht="42" customHeight="1">
      <c r="A17" s="1">
        <v>14</v>
      </c>
      <c r="B17" s="14"/>
      <c r="C17" s="56" t="s">
        <v>157</v>
      </c>
      <c r="D17" s="20"/>
      <c r="E17" s="41" t="s">
        <v>158</v>
      </c>
    </row>
    <row r="18" spans="1:5" ht="42" customHeight="1">
      <c r="A18" s="1">
        <v>15</v>
      </c>
      <c r="B18" s="14"/>
      <c r="C18" s="56" t="s">
        <v>157</v>
      </c>
      <c r="D18" s="20"/>
      <c r="E18" s="41" t="s">
        <v>158</v>
      </c>
    </row>
    <row r="19" spans="1:5" ht="42" customHeight="1">
      <c r="A19" s="1">
        <v>16</v>
      </c>
      <c r="B19" s="14"/>
      <c r="C19" s="56" t="s">
        <v>157</v>
      </c>
      <c r="D19" s="20"/>
      <c r="E19" s="41" t="s">
        <v>158</v>
      </c>
    </row>
    <row r="20" spans="1:5" ht="9.75" customHeight="1"/>
    <row r="21" spans="1:5">
      <c r="A21" s="6" t="s">
        <v>11</v>
      </c>
      <c r="B21" s="15" t="s">
        <v>155</v>
      </c>
    </row>
    <row r="22" spans="1:5">
      <c r="A22" s="6"/>
      <c r="B22" s="43" t="str">
        <f>'１区１班'!B22</f>
        <v>所属班の各世帯から聞き取った内容を本用紙に記入し、９月６日の定例会に必ずご持参ください。</v>
      </c>
    </row>
    <row r="23" spans="1:5">
      <c r="A23" s="6"/>
      <c r="B23" s="42" t="str">
        <f>'１区１班'!B23</f>
        <v>※既に対象者氏名が印刷されている方については年齢の記入不要です。</v>
      </c>
    </row>
    <row r="24" spans="1:5" ht="9.75" customHeight="1">
      <c r="A24" s="6"/>
      <c r="B24" s="7"/>
    </row>
    <row r="25" spans="1:5">
      <c r="A25" s="6" t="s">
        <v>11</v>
      </c>
      <c r="B25" s="15" t="s">
        <v>160</v>
      </c>
    </row>
    <row r="26" spans="1:5">
      <c r="A26" s="6"/>
      <c r="B26" s="7" t="str">
        <f>'１区１班'!B26</f>
        <v>① 駒寄町内会会員であること（世帯代表者および同一生計者）</v>
      </c>
    </row>
    <row r="27" spans="1:5">
      <c r="A27" s="6"/>
      <c r="B27" s="42" t="str">
        <f>'１区１班'!B27</f>
        <v>※長期入院、ホーム長期入居者は対象外となります。</v>
      </c>
    </row>
    <row r="28" spans="1:5">
      <c r="A28" s="6"/>
      <c r="B28" s="7" t="str">
        <f>'１区１班'!B28</f>
        <v>② 昭和26年（1951年）12月31日以前生れの方（2026年12月31日時点で75歳以上の方）</v>
      </c>
    </row>
    <row r="29" spans="1:5">
      <c r="A29" s="6"/>
      <c r="B29" s="7" t="str">
        <f>'１区１班'!B29</f>
        <v>③ 敬老の日（9月21日午前中）祝い品（お赤飯を）お受け取り可能な方</v>
      </c>
    </row>
    <row r="30" spans="1:5">
      <c r="A30" s="6"/>
      <c r="B30" s="42" t="str">
        <f>'１区１班'!B30</f>
        <v>※お赤飯は食品につき、当日受け取り可能な方のみを対象とさせていただきます。</v>
      </c>
    </row>
  </sheetData>
  <mergeCells count="3">
    <mergeCell ref="A1:B1"/>
    <mergeCell ref="C1:E1"/>
    <mergeCell ref="C2:D2"/>
  </mergeCells>
  <phoneticPr fontId="4"/>
  <pageMargins left="0.9055118110236221" right="0.51181102362204722" top="0.74803149606299213" bottom="0.55118110236220474" header="0.31496062992125984" footer="0.31496062992125984"/>
  <pageSetup paperSize="9" scale="77" orientation="portrait" r:id="rId1"/>
  <headerFooter>
    <oddHeader>&amp;R&amp;14駒寄町内会</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30465-BFCA-4CEE-84A2-080FBAE302C6}">
  <sheetPr>
    <pageSetUpPr fitToPage="1"/>
  </sheetPr>
  <dimension ref="A1:F30"/>
  <sheetViews>
    <sheetView view="pageBreakPreview" zoomScale="60" zoomScaleNormal="100" workbookViewId="0">
      <selection activeCell="H13" sqref="H13"/>
    </sheetView>
  </sheetViews>
  <sheetFormatPr defaultRowHeight="18"/>
  <cols>
    <col min="1" max="1" width="4.5" bestFit="1" customWidth="1"/>
    <col min="2" max="2" width="17.19921875" bestFit="1" customWidth="1"/>
    <col min="3" max="3" width="10.59765625" customWidth="1"/>
    <col min="4" max="4" width="31.69921875" customWidth="1"/>
    <col min="5" max="5" width="39.09765625" customWidth="1"/>
  </cols>
  <sheetData>
    <row r="1" spans="1:6" s="5" customFormat="1" ht="26.4">
      <c r="A1" s="48" t="str" cm="1">
        <f t="array" aca="1" ref="A1" ca="1">MID(CELL("filename",A1),FIND("]",CELL("filename",A1))+1,255)</f>
        <v>１区７班</v>
      </c>
      <c r="B1" s="48"/>
      <c r="C1" s="49" t="str">
        <f>'１区１班'!C1</f>
        <v>Ｒ８年度 敬老祝い品　受取り対象者　聞き取り票</v>
      </c>
      <c r="D1" s="49"/>
      <c r="E1" s="49"/>
      <c r="F1" s="5">
        <v>1</v>
      </c>
    </row>
    <row r="2" spans="1:6">
      <c r="A2" s="4" t="s">
        <v>0</v>
      </c>
      <c r="B2" s="4" t="s">
        <v>10</v>
      </c>
      <c r="C2" s="50" t="s">
        <v>152</v>
      </c>
      <c r="D2" s="51"/>
      <c r="E2" s="4" t="s">
        <v>9</v>
      </c>
    </row>
    <row r="3" spans="1:6" ht="42">
      <c r="A3" s="8">
        <v>0</v>
      </c>
      <c r="B3" s="9" t="s">
        <v>153</v>
      </c>
      <c r="C3" s="59" t="s">
        <v>335</v>
      </c>
      <c r="D3" s="17" t="s">
        <v>309</v>
      </c>
      <c r="E3" s="44" t="s">
        <v>311</v>
      </c>
    </row>
    <row r="4" spans="1:6" ht="42" customHeight="1">
      <c r="A4" s="1">
        <v>1</v>
      </c>
      <c r="B4" s="3" t="s">
        <v>41</v>
      </c>
      <c r="C4" s="56" t="s">
        <v>157</v>
      </c>
      <c r="D4" s="19"/>
      <c r="E4" s="41" t="s">
        <v>158</v>
      </c>
    </row>
    <row r="5" spans="1:6" ht="42" customHeight="1">
      <c r="A5" s="1">
        <v>2</v>
      </c>
      <c r="B5" s="3" t="s">
        <v>42</v>
      </c>
      <c r="C5" s="56" t="s">
        <v>157</v>
      </c>
      <c r="D5" s="19"/>
      <c r="E5" s="41" t="s">
        <v>158</v>
      </c>
    </row>
    <row r="6" spans="1:6" ht="42" customHeight="1">
      <c r="A6" s="1">
        <v>3</v>
      </c>
      <c r="B6" s="3" t="s">
        <v>248</v>
      </c>
      <c r="C6" s="56" t="s">
        <v>157</v>
      </c>
      <c r="D6" s="19"/>
      <c r="E6" s="41" t="s">
        <v>158</v>
      </c>
    </row>
    <row r="7" spans="1:6" ht="42" customHeight="1">
      <c r="A7" s="1">
        <v>4</v>
      </c>
      <c r="B7" s="3" t="s">
        <v>43</v>
      </c>
      <c r="C7" s="56" t="s">
        <v>330</v>
      </c>
      <c r="D7" s="19" t="s">
        <v>181</v>
      </c>
      <c r="E7" s="41" t="s">
        <v>158</v>
      </c>
    </row>
    <row r="8" spans="1:6" ht="42" customHeight="1">
      <c r="A8" s="1">
        <v>5</v>
      </c>
      <c r="B8" s="3" t="s">
        <v>44</v>
      </c>
      <c r="C8" s="56" t="s">
        <v>157</v>
      </c>
      <c r="D8" s="19"/>
      <c r="E8" s="41" t="s">
        <v>158</v>
      </c>
    </row>
    <row r="9" spans="1:6" ht="42" customHeight="1">
      <c r="A9" s="1">
        <v>6</v>
      </c>
      <c r="B9" s="3"/>
      <c r="C9" s="56" t="s">
        <v>157</v>
      </c>
      <c r="D9" s="20"/>
      <c r="E9" s="41" t="s">
        <v>158</v>
      </c>
    </row>
    <row r="10" spans="1:6" ht="42" customHeight="1">
      <c r="A10" s="1">
        <v>7</v>
      </c>
      <c r="B10" s="3"/>
      <c r="C10" s="56" t="s">
        <v>157</v>
      </c>
      <c r="D10" s="20"/>
      <c r="E10" s="41" t="s">
        <v>158</v>
      </c>
    </row>
    <row r="11" spans="1:6" s="10" customFormat="1" ht="42" customHeight="1">
      <c r="A11" s="1">
        <v>8</v>
      </c>
      <c r="B11" s="14"/>
      <c r="C11" s="56" t="s">
        <v>157</v>
      </c>
      <c r="D11" s="20"/>
      <c r="E11" s="41" t="s">
        <v>158</v>
      </c>
    </row>
    <row r="12" spans="1:6" ht="42" customHeight="1">
      <c r="A12" s="1">
        <v>9</v>
      </c>
      <c r="B12" s="14"/>
      <c r="C12" s="56" t="s">
        <v>157</v>
      </c>
      <c r="D12" s="20"/>
      <c r="E12" s="41" t="s">
        <v>158</v>
      </c>
    </row>
    <row r="13" spans="1:6" ht="42" customHeight="1">
      <c r="A13" s="1">
        <v>10</v>
      </c>
      <c r="B13" s="14"/>
      <c r="C13" s="56" t="s">
        <v>157</v>
      </c>
      <c r="D13" s="20"/>
      <c r="E13" s="41" t="s">
        <v>158</v>
      </c>
    </row>
    <row r="14" spans="1:6" ht="42" customHeight="1">
      <c r="A14" s="1">
        <v>11</v>
      </c>
      <c r="B14" s="14"/>
      <c r="C14" s="56" t="s">
        <v>157</v>
      </c>
      <c r="D14" s="20"/>
      <c r="E14" s="41" t="s">
        <v>158</v>
      </c>
    </row>
    <row r="15" spans="1:6" ht="42" customHeight="1">
      <c r="A15" s="1">
        <v>12</v>
      </c>
      <c r="B15" s="14"/>
      <c r="C15" s="56" t="s">
        <v>157</v>
      </c>
      <c r="D15" s="20"/>
      <c r="E15" s="41" t="s">
        <v>158</v>
      </c>
    </row>
    <row r="16" spans="1:6" ht="42" customHeight="1">
      <c r="A16" s="1">
        <v>13</v>
      </c>
      <c r="B16" s="14"/>
      <c r="C16" s="56" t="s">
        <v>157</v>
      </c>
      <c r="D16" s="20"/>
      <c r="E16" s="41" t="s">
        <v>158</v>
      </c>
    </row>
    <row r="17" spans="1:5" ht="42" customHeight="1">
      <c r="A17" s="1">
        <v>14</v>
      </c>
      <c r="B17" s="14"/>
      <c r="C17" s="56" t="s">
        <v>157</v>
      </c>
      <c r="D17" s="20"/>
      <c r="E17" s="41" t="s">
        <v>158</v>
      </c>
    </row>
    <row r="18" spans="1:5" ht="42" customHeight="1">
      <c r="A18" s="1">
        <v>15</v>
      </c>
      <c r="B18" s="14"/>
      <c r="C18" s="56" t="s">
        <v>157</v>
      </c>
      <c r="D18" s="20"/>
      <c r="E18" s="41" t="s">
        <v>158</v>
      </c>
    </row>
    <row r="19" spans="1:5" ht="42" customHeight="1">
      <c r="A19" s="1">
        <v>16</v>
      </c>
      <c r="B19" s="14"/>
      <c r="C19" s="56" t="s">
        <v>157</v>
      </c>
      <c r="D19" s="20"/>
      <c r="E19" s="41" t="s">
        <v>158</v>
      </c>
    </row>
    <row r="20" spans="1:5" ht="9.75" customHeight="1"/>
    <row r="21" spans="1:5">
      <c r="A21" s="6" t="s">
        <v>11</v>
      </c>
      <c r="B21" s="15" t="s">
        <v>155</v>
      </c>
    </row>
    <row r="22" spans="1:5">
      <c r="A22" s="6"/>
      <c r="B22" s="43" t="str">
        <f>'１区１班'!B22</f>
        <v>所属班の各世帯から聞き取った内容を本用紙に記入し、９月６日の定例会に必ずご持参ください。</v>
      </c>
    </row>
    <row r="23" spans="1:5">
      <c r="A23" s="6"/>
      <c r="B23" s="42" t="str">
        <f>'１区１班'!B23</f>
        <v>※既に対象者氏名が印刷されている方については年齢の記入不要です。</v>
      </c>
    </row>
    <row r="24" spans="1:5" ht="9.75" customHeight="1">
      <c r="A24" s="6"/>
      <c r="B24" s="7"/>
    </row>
    <row r="25" spans="1:5">
      <c r="A25" s="6" t="s">
        <v>11</v>
      </c>
      <c r="B25" s="15" t="s">
        <v>160</v>
      </c>
    </row>
    <row r="26" spans="1:5">
      <c r="A26" s="6"/>
      <c r="B26" s="7" t="str">
        <f>'１区１班'!B26</f>
        <v>① 駒寄町内会会員であること（世帯代表者および同一生計者）</v>
      </c>
    </row>
    <row r="27" spans="1:5">
      <c r="A27" s="6"/>
      <c r="B27" s="42" t="str">
        <f>'１区１班'!B27</f>
        <v>※長期入院、ホーム長期入居者は対象外となります。</v>
      </c>
    </row>
    <row r="28" spans="1:5">
      <c r="A28" s="6"/>
      <c r="B28" s="7" t="str">
        <f>'１区１班'!B28</f>
        <v>② 昭和26年（1951年）12月31日以前生れの方（2026年12月31日時点で75歳以上の方）</v>
      </c>
    </row>
    <row r="29" spans="1:5">
      <c r="A29" s="6"/>
      <c r="B29" s="7" t="str">
        <f>'１区１班'!B29</f>
        <v>③ 敬老の日（9月21日午前中）祝い品（お赤飯を）お受け取り可能な方</v>
      </c>
    </row>
    <row r="30" spans="1:5">
      <c r="A30" s="6"/>
      <c r="B30" s="42" t="str">
        <f>'１区１班'!B30</f>
        <v>※お赤飯は食品につき、当日受け取り可能な方のみを対象とさせていただきます。</v>
      </c>
    </row>
  </sheetData>
  <mergeCells count="3">
    <mergeCell ref="A1:B1"/>
    <mergeCell ref="C1:E1"/>
    <mergeCell ref="C2:D2"/>
  </mergeCells>
  <phoneticPr fontId="4"/>
  <pageMargins left="0.9055118110236221" right="0.51181102362204722" top="0.74803149606299213" bottom="0.55118110236220474" header="0.31496062992125984" footer="0.31496062992125984"/>
  <pageSetup paperSize="9" scale="77" orientation="portrait" r:id="rId1"/>
  <headerFooter>
    <oddHeader>&amp;R&amp;14駒寄町内会</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74FC7-7F1B-4A39-8A98-5D647E5BC1FD}">
  <sheetPr>
    <pageSetUpPr fitToPage="1"/>
  </sheetPr>
  <dimension ref="A1:F30"/>
  <sheetViews>
    <sheetView view="pageBreakPreview" zoomScale="60" zoomScaleNormal="100" workbookViewId="0">
      <selection activeCell="D7" sqref="C7:D7"/>
    </sheetView>
  </sheetViews>
  <sheetFormatPr defaultRowHeight="18"/>
  <cols>
    <col min="1" max="1" width="4.5" bestFit="1" customWidth="1"/>
    <col min="2" max="2" width="17.19921875" bestFit="1" customWidth="1"/>
    <col min="3" max="3" width="10.59765625" customWidth="1"/>
    <col min="4" max="4" width="31.69921875" customWidth="1"/>
    <col min="5" max="5" width="39.09765625" customWidth="1"/>
  </cols>
  <sheetData>
    <row r="1" spans="1:6" s="5" customFormat="1" ht="26.4">
      <c r="A1" s="48" t="str" cm="1">
        <f t="array" aca="1" ref="A1" ca="1">MID(CELL("filename",A1),FIND("]",CELL("filename",A1))+1,255)</f>
        <v>１区８班</v>
      </c>
      <c r="B1" s="48"/>
      <c r="C1" s="49" t="str">
        <f>'１区１班'!C1</f>
        <v>Ｒ８年度 敬老祝い品　受取り対象者　聞き取り票</v>
      </c>
      <c r="D1" s="49"/>
      <c r="E1" s="49"/>
      <c r="F1" s="5">
        <v>4</v>
      </c>
    </row>
    <row r="2" spans="1:6">
      <c r="A2" s="4" t="s">
        <v>0</v>
      </c>
      <c r="B2" s="4" t="s">
        <v>10</v>
      </c>
      <c r="C2" s="50" t="s">
        <v>152</v>
      </c>
      <c r="D2" s="51"/>
      <c r="E2" s="4" t="s">
        <v>9</v>
      </c>
    </row>
    <row r="3" spans="1:6" ht="42">
      <c r="A3" s="8">
        <v>0</v>
      </c>
      <c r="B3" s="9" t="s">
        <v>153</v>
      </c>
      <c r="C3" s="59" t="s">
        <v>335</v>
      </c>
      <c r="D3" s="17" t="s">
        <v>309</v>
      </c>
      <c r="E3" s="44" t="s">
        <v>311</v>
      </c>
    </row>
    <row r="4" spans="1:6" ht="42" customHeight="1">
      <c r="A4" s="1">
        <v>1</v>
      </c>
      <c r="B4" s="2" t="s">
        <v>249</v>
      </c>
      <c r="C4" s="56" t="s">
        <v>157</v>
      </c>
      <c r="D4" s="19"/>
      <c r="E4" s="41" t="s">
        <v>158</v>
      </c>
    </row>
    <row r="5" spans="1:6" ht="42" customHeight="1">
      <c r="A5" s="1">
        <v>2</v>
      </c>
      <c r="B5" s="2" t="s">
        <v>45</v>
      </c>
      <c r="C5" s="56" t="s">
        <v>330</v>
      </c>
      <c r="D5" s="19" t="s">
        <v>182</v>
      </c>
      <c r="E5" s="41" t="s">
        <v>158</v>
      </c>
    </row>
    <row r="6" spans="1:6" ht="42" customHeight="1">
      <c r="A6" s="1">
        <v>3</v>
      </c>
      <c r="B6" s="2" t="s">
        <v>46</v>
      </c>
      <c r="C6" s="56" t="s">
        <v>330</v>
      </c>
      <c r="D6" s="19" t="s">
        <v>183</v>
      </c>
      <c r="E6" s="41" t="s">
        <v>158</v>
      </c>
    </row>
    <row r="7" spans="1:6" ht="42" customHeight="1">
      <c r="A7" s="1">
        <v>4</v>
      </c>
      <c r="B7" s="2" t="s">
        <v>47</v>
      </c>
      <c r="C7" s="61" t="s">
        <v>331</v>
      </c>
      <c r="D7" s="62" t="s">
        <v>273</v>
      </c>
      <c r="E7" s="41" t="s">
        <v>321</v>
      </c>
    </row>
    <row r="8" spans="1:6" ht="42" customHeight="1">
      <c r="A8" s="1">
        <v>5</v>
      </c>
      <c r="B8" s="11" t="s">
        <v>48</v>
      </c>
      <c r="C8" s="56" t="s">
        <v>157</v>
      </c>
      <c r="D8" s="19"/>
      <c r="E8" s="41" t="s">
        <v>158</v>
      </c>
    </row>
    <row r="9" spans="1:6" ht="42" customHeight="1">
      <c r="A9" s="1">
        <v>6</v>
      </c>
      <c r="B9" s="2" t="s">
        <v>49</v>
      </c>
      <c r="C9" s="56" t="s">
        <v>330</v>
      </c>
      <c r="D9" s="19" t="s">
        <v>184</v>
      </c>
      <c r="E9" s="41" t="s">
        <v>158</v>
      </c>
    </row>
    <row r="10" spans="1:6" ht="42" customHeight="1">
      <c r="A10" s="1">
        <v>7</v>
      </c>
      <c r="B10" s="2" t="s">
        <v>50</v>
      </c>
      <c r="C10" s="56" t="s">
        <v>157</v>
      </c>
      <c r="D10" s="19"/>
      <c r="E10" s="41" t="s">
        <v>158</v>
      </c>
    </row>
    <row r="11" spans="1:6" s="10" customFormat="1" ht="42" customHeight="1">
      <c r="A11" s="1">
        <v>8</v>
      </c>
      <c r="B11" s="14"/>
      <c r="C11" s="56" t="s">
        <v>157</v>
      </c>
      <c r="D11" s="20"/>
      <c r="E11" s="41" t="s">
        <v>158</v>
      </c>
    </row>
    <row r="12" spans="1:6" ht="42" customHeight="1">
      <c r="A12" s="1">
        <v>9</v>
      </c>
      <c r="B12" s="14"/>
      <c r="C12" s="56" t="s">
        <v>157</v>
      </c>
      <c r="D12" s="20"/>
      <c r="E12" s="41" t="s">
        <v>158</v>
      </c>
    </row>
    <row r="13" spans="1:6" ht="42" customHeight="1">
      <c r="A13" s="1">
        <v>10</v>
      </c>
      <c r="B13" s="14"/>
      <c r="C13" s="56" t="s">
        <v>157</v>
      </c>
      <c r="D13" s="20"/>
      <c r="E13" s="41" t="s">
        <v>158</v>
      </c>
    </row>
    <row r="14" spans="1:6" ht="42" customHeight="1">
      <c r="A14" s="1">
        <v>11</v>
      </c>
      <c r="B14" s="14"/>
      <c r="C14" s="56" t="s">
        <v>157</v>
      </c>
      <c r="D14" s="20"/>
      <c r="E14" s="41" t="s">
        <v>158</v>
      </c>
    </row>
    <row r="15" spans="1:6" ht="42" customHeight="1">
      <c r="A15" s="1">
        <v>12</v>
      </c>
      <c r="B15" s="14"/>
      <c r="C15" s="56" t="s">
        <v>157</v>
      </c>
      <c r="D15" s="20"/>
      <c r="E15" s="41" t="s">
        <v>158</v>
      </c>
    </row>
    <row r="16" spans="1:6" ht="42" customHeight="1">
      <c r="A16" s="1">
        <v>13</v>
      </c>
      <c r="B16" s="14"/>
      <c r="C16" s="56" t="s">
        <v>157</v>
      </c>
      <c r="D16" s="20"/>
      <c r="E16" s="41" t="s">
        <v>158</v>
      </c>
    </row>
    <row r="17" spans="1:5" ht="42" customHeight="1">
      <c r="A17" s="1">
        <v>14</v>
      </c>
      <c r="B17" s="14"/>
      <c r="C17" s="56" t="s">
        <v>157</v>
      </c>
      <c r="D17" s="20"/>
      <c r="E17" s="41" t="s">
        <v>158</v>
      </c>
    </row>
    <row r="18" spans="1:5" ht="42" customHeight="1">
      <c r="A18" s="1">
        <v>15</v>
      </c>
      <c r="B18" s="14"/>
      <c r="C18" s="56" t="s">
        <v>157</v>
      </c>
      <c r="D18" s="20"/>
      <c r="E18" s="41" t="s">
        <v>158</v>
      </c>
    </row>
    <row r="19" spans="1:5" ht="42" customHeight="1">
      <c r="A19" s="1">
        <v>16</v>
      </c>
      <c r="B19" s="14"/>
      <c r="C19" s="56" t="s">
        <v>157</v>
      </c>
      <c r="D19" s="20"/>
      <c r="E19" s="41" t="s">
        <v>158</v>
      </c>
    </row>
    <row r="20" spans="1:5" ht="9.75" customHeight="1"/>
    <row r="21" spans="1:5">
      <c r="A21" s="6" t="s">
        <v>11</v>
      </c>
      <c r="B21" s="15" t="s">
        <v>155</v>
      </c>
    </row>
    <row r="22" spans="1:5">
      <c r="A22" s="6"/>
      <c r="B22" s="43" t="str">
        <f>'１区１班'!B22</f>
        <v>所属班の各世帯から聞き取った内容を本用紙に記入し、９月６日の定例会に必ずご持参ください。</v>
      </c>
    </row>
    <row r="23" spans="1:5">
      <c r="A23" s="6"/>
      <c r="B23" s="42" t="str">
        <f>'１区１班'!B23</f>
        <v>※既に対象者氏名が印刷されている方については年齢の記入不要です。</v>
      </c>
    </row>
    <row r="24" spans="1:5" ht="9.75" customHeight="1">
      <c r="A24" s="6"/>
      <c r="B24" s="7"/>
    </row>
    <row r="25" spans="1:5">
      <c r="A25" s="6" t="s">
        <v>11</v>
      </c>
      <c r="B25" s="15" t="s">
        <v>160</v>
      </c>
    </row>
    <row r="26" spans="1:5">
      <c r="A26" s="6"/>
      <c r="B26" s="7" t="str">
        <f>'１区１班'!B26</f>
        <v>① 駒寄町内会会員であること（世帯代表者および同一生計者）</v>
      </c>
    </row>
    <row r="27" spans="1:5">
      <c r="A27" s="6"/>
      <c r="B27" s="42" t="str">
        <f>'１区１班'!B27</f>
        <v>※長期入院、ホーム長期入居者は対象外となります。</v>
      </c>
    </row>
    <row r="28" spans="1:5">
      <c r="A28" s="6"/>
      <c r="B28" s="7" t="str">
        <f>'１区１班'!B28</f>
        <v>② 昭和26年（1951年）12月31日以前生れの方（2026年12月31日時点で75歳以上の方）</v>
      </c>
    </row>
    <row r="29" spans="1:5">
      <c r="A29" s="6"/>
      <c r="B29" s="7" t="str">
        <f>'１区１班'!B29</f>
        <v>③ 敬老の日（9月21日午前中）祝い品（お赤飯を）お受け取り可能な方</v>
      </c>
    </row>
    <row r="30" spans="1:5">
      <c r="A30" s="6"/>
      <c r="B30" s="42" t="str">
        <f>'１区１班'!B30</f>
        <v>※お赤飯は食品につき、当日受け取り可能な方のみを対象とさせていただきます。</v>
      </c>
    </row>
  </sheetData>
  <mergeCells count="3">
    <mergeCell ref="A1:B1"/>
    <mergeCell ref="C1:E1"/>
    <mergeCell ref="C2:D2"/>
  </mergeCells>
  <phoneticPr fontId="4"/>
  <pageMargins left="0.9055118110236221" right="0.51181102362204722" top="0.74803149606299213" bottom="0.55118110236220474" header="0.31496062992125984" footer="0.31496062992125984"/>
  <pageSetup paperSize="9" scale="77" orientation="portrait" r:id="rId1"/>
  <headerFooter>
    <oddHeader>&amp;R&amp;14駒寄町内会</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17983-030A-455C-8EFE-07968D58DF5D}">
  <sheetPr>
    <pageSetUpPr fitToPage="1"/>
  </sheetPr>
  <dimension ref="A1:F30"/>
  <sheetViews>
    <sheetView view="pageBreakPreview" zoomScale="60" zoomScaleNormal="100" workbookViewId="0">
      <selection activeCell="H13" sqref="H13"/>
    </sheetView>
  </sheetViews>
  <sheetFormatPr defaultRowHeight="18"/>
  <cols>
    <col min="1" max="1" width="4.5" bestFit="1" customWidth="1"/>
    <col min="2" max="2" width="17.19921875" bestFit="1" customWidth="1"/>
    <col min="3" max="3" width="10.59765625" customWidth="1"/>
    <col min="4" max="4" width="31.69921875" customWidth="1"/>
    <col min="5" max="5" width="39.09765625" customWidth="1"/>
  </cols>
  <sheetData>
    <row r="1" spans="1:6" s="5" customFormat="1" ht="26.4">
      <c r="A1" s="48" t="str" cm="1">
        <f t="array" aca="1" ref="A1" ca="1">MID(CELL("filename",A1),FIND("]",CELL("filename",A1))+1,255)</f>
        <v>１区９班</v>
      </c>
      <c r="B1" s="48"/>
      <c r="C1" s="49" t="str">
        <f>'１区１班'!C1</f>
        <v>Ｒ８年度 敬老祝い品　受取り対象者　聞き取り票</v>
      </c>
      <c r="D1" s="49"/>
      <c r="E1" s="49"/>
      <c r="F1" s="5">
        <v>4</v>
      </c>
    </row>
    <row r="2" spans="1:6">
      <c r="A2" s="4" t="s">
        <v>0</v>
      </c>
      <c r="B2" s="4" t="s">
        <v>10</v>
      </c>
      <c r="C2" s="50" t="s">
        <v>152</v>
      </c>
      <c r="D2" s="51"/>
      <c r="E2" s="4" t="s">
        <v>9</v>
      </c>
    </row>
    <row r="3" spans="1:6" ht="42">
      <c r="A3" s="8">
        <v>0</v>
      </c>
      <c r="B3" s="9" t="s">
        <v>153</v>
      </c>
      <c r="C3" s="59" t="s">
        <v>335</v>
      </c>
      <c r="D3" s="17" t="s">
        <v>309</v>
      </c>
      <c r="E3" s="44" t="s">
        <v>311</v>
      </c>
    </row>
    <row r="4" spans="1:6" ht="42" customHeight="1">
      <c r="A4" s="1">
        <v>1</v>
      </c>
      <c r="B4" s="2" t="s">
        <v>52</v>
      </c>
      <c r="C4" s="56" t="s">
        <v>330</v>
      </c>
      <c r="D4" s="19" t="s">
        <v>185</v>
      </c>
      <c r="E4" s="41" t="s">
        <v>158</v>
      </c>
    </row>
    <row r="5" spans="1:6" ht="42" customHeight="1">
      <c r="A5" s="1">
        <v>2</v>
      </c>
      <c r="B5" s="2" t="s">
        <v>53</v>
      </c>
      <c r="C5" s="56" t="s">
        <v>330</v>
      </c>
      <c r="D5" s="40" t="s">
        <v>314</v>
      </c>
      <c r="E5" s="41" t="s">
        <v>158</v>
      </c>
    </row>
    <row r="6" spans="1:6" ht="42" customHeight="1">
      <c r="A6" s="1">
        <v>3</v>
      </c>
      <c r="B6" s="2" t="s">
        <v>54</v>
      </c>
      <c r="C6" s="56" t="s">
        <v>157</v>
      </c>
      <c r="D6" s="19"/>
      <c r="E6" s="41" t="s">
        <v>158</v>
      </c>
    </row>
    <row r="7" spans="1:6" ht="42" customHeight="1">
      <c r="A7" s="1">
        <v>4</v>
      </c>
      <c r="B7" s="2" t="s">
        <v>55</v>
      </c>
      <c r="C7" s="56" t="s">
        <v>157</v>
      </c>
      <c r="D7" s="19"/>
      <c r="E7" s="41" t="s">
        <v>158</v>
      </c>
    </row>
    <row r="8" spans="1:6" ht="42" customHeight="1">
      <c r="A8" s="1">
        <v>5</v>
      </c>
      <c r="B8" s="11" t="s">
        <v>56</v>
      </c>
      <c r="C8" s="56" t="s">
        <v>157</v>
      </c>
      <c r="D8" s="19"/>
      <c r="E8" s="41" t="s">
        <v>158</v>
      </c>
    </row>
    <row r="9" spans="1:6" ht="42" customHeight="1">
      <c r="A9" s="1">
        <v>6</v>
      </c>
      <c r="B9" s="2" t="s">
        <v>57</v>
      </c>
      <c r="C9" s="56" t="s">
        <v>330</v>
      </c>
      <c r="D9" s="19" t="s">
        <v>315</v>
      </c>
      <c r="E9" s="41" t="s">
        <v>158</v>
      </c>
    </row>
    <row r="10" spans="1:6" ht="42" customHeight="1">
      <c r="A10" s="1">
        <v>7</v>
      </c>
      <c r="B10" s="2" t="s">
        <v>58</v>
      </c>
      <c r="C10" s="56" t="s">
        <v>330</v>
      </c>
      <c r="D10" s="19" t="s">
        <v>186</v>
      </c>
      <c r="E10" s="41" t="s">
        <v>158</v>
      </c>
    </row>
    <row r="11" spans="1:6" s="10" customFormat="1" ht="42" customHeight="1">
      <c r="A11" s="1">
        <v>8</v>
      </c>
      <c r="B11" s="14" t="s">
        <v>59</v>
      </c>
      <c r="C11" s="56" t="s">
        <v>157</v>
      </c>
      <c r="D11" s="19"/>
      <c r="E11" s="41" t="s">
        <v>158</v>
      </c>
    </row>
    <row r="12" spans="1:6" ht="42" customHeight="1">
      <c r="A12" s="1">
        <v>9</v>
      </c>
      <c r="B12" s="14" t="s">
        <v>60</v>
      </c>
      <c r="C12" s="56" t="s">
        <v>157</v>
      </c>
      <c r="D12" s="19"/>
      <c r="E12" s="41" t="s">
        <v>158</v>
      </c>
    </row>
    <row r="13" spans="1:6" ht="42" customHeight="1">
      <c r="A13" s="1">
        <v>10</v>
      </c>
      <c r="B13" s="14"/>
      <c r="C13" s="56" t="s">
        <v>157</v>
      </c>
      <c r="D13" s="20"/>
      <c r="E13" s="41" t="s">
        <v>158</v>
      </c>
    </row>
    <row r="14" spans="1:6" ht="42" customHeight="1">
      <c r="A14" s="1">
        <v>11</v>
      </c>
      <c r="B14" s="14"/>
      <c r="C14" s="56" t="s">
        <v>157</v>
      </c>
      <c r="D14" s="20"/>
      <c r="E14" s="41" t="s">
        <v>158</v>
      </c>
    </row>
    <row r="15" spans="1:6" ht="42" customHeight="1">
      <c r="A15" s="1">
        <v>12</v>
      </c>
      <c r="B15" s="14"/>
      <c r="C15" s="56" t="s">
        <v>157</v>
      </c>
      <c r="D15" s="20"/>
      <c r="E15" s="41" t="s">
        <v>158</v>
      </c>
    </row>
    <row r="16" spans="1:6" ht="42" customHeight="1">
      <c r="A16" s="1">
        <v>13</v>
      </c>
      <c r="B16" s="14"/>
      <c r="C16" s="56" t="s">
        <v>157</v>
      </c>
      <c r="D16" s="20"/>
      <c r="E16" s="41" t="s">
        <v>158</v>
      </c>
    </row>
    <row r="17" spans="1:5" ht="42" customHeight="1">
      <c r="A17" s="1">
        <v>14</v>
      </c>
      <c r="B17" s="14"/>
      <c r="C17" s="56" t="s">
        <v>157</v>
      </c>
      <c r="D17" s="20"/>
      <c r="E17" s="41" t="s">
        <v>158</v>
      </c>
    </row>
    <row r="18" spans="1:5" ht="42" customHeight="1">
      <c r="A18" s="1">
        <v>15</v>
      </c>
      <c r="B18" s="14"/>
      <c r="C18" s="56" t="s">
        <v>157</v>
      </c>
      <c r="D18" s="20"/>
      <c r="E18" s="41" t="s">
        <v>158</v>
      </c>
    </row>
    <row r="19" spans="1:5" ht="42" customHeight="1">
      <c r="A19" s="1">
        <v>16</v>
      </c>
      <c r="B19" s="14"/>
      <c r="C19" s="56" t="s">
        <v>157</v>
      </c>
      <c r="D19" s="20"/>
      <c r="E19" s="41" t="s">
        <v>158</v>
      </c>
    </row>
    <row r="20" spans="1:5" ht="9.75" customHeight="1"/>
    <row r="21" spans="1:5">
      <c r="A21" s="6" t="s">
        <v>11</v>
      </c>
      <c r="B21" s="15" t="s">
        <v>155</v>
      </c>
    </row>
    <row r="22" spans="1:5">
      <c r="A22" s="6"/>
      <c r="B22" s="43" t="str">
        <f>'１区１班'!B22</f>
        <v>所属班の各世帯から聞き取った内容を本用紙に記入し、９月６日の定例会に必ずご持参ください。</v>
      </c>
    </row>
    <row r="23" spans="1:5">
      <c r="A23" s="6"/>
      <c r="B23" s="42" t="str">
        <f>'１区１班'!B23</f>
        <v>※既に対象者氏名が印刷されている方については年齢の記入不要です。</v>
      </c>
    </row>
    <row r="24" spans="1:5" ht="9.75" customHeight="1">
      <c r="A24" s="6"/>
      <c r="B24" s="7"/>
    </row>
    <row r="25" spans="1:5">
      <c r="A25" s="6" t="s">
        <v>11</v>
      </c>
      <c r="B25" s="15" t="s">
        <v>160</v>
      </c>
    </row>
    <row r="26" spans="1:5">
      <c r="A26" s="6"/>
      <c r="B26" s="7" t="str">
        <f>'１区１班'!B26</f>
        <v>① 駒寄町内会会員であること（世帯代表者および同一生計者）</v>
      </c>
    </row>
    <row r="27" spans="1:5">
      <c r="A27" s="6"/>
      <c r="B27" s="42" t="str">
        <f>'１区１班'!B27</f>
        <v>※長期入院、ホーム長期入居者は対象外となります。</v>
      </c>
    </row>
    <row r="28" spans="1:5">
      <c r="A28" s="6"/>
      <c r="B28" s="7" t="str">
        <f>'１区１班'!B28</f>
        <v>② 昭和26年（1951年）12月31日以前生れの方（2026年12月31日時点で75歳以上の方）</v>
      </c>
    </row>
    <row r="29" spans="1:5">
      <c r="A29" s="6"/>
      <c r="B29" s="7" t="str">
        <f>'１区１班'!B29</f>
        <v>③ 敬老の日（9月21日午前中）祝い品（お赤飯を）お受け取り可能な方</v>
      </c>
    </row>
    <row r="30" spans="1:5">
      <c r="A30" s="6"/>
      <c r="B30" s="42" t="str">
        <f>'１区１班'!B30</f>
        <v>※お赤飯は食品につき、当日受け取り可能な方のみを対象とさせていただきます。</v>
      </c>
    </row>
  </sheetData>
  <mergeCells count="3">
    <mergeCell ref="A1:B1"/>
    <mergeCell ref="C1:E1"/>
    <mergeCell ref="C2:D2"/>
  </mergeCells>
  <phoneticPr fontId="4"/>
  <pageMargins left="0.9055118110236221" right="0.51181102362204722" top="0.74803149606299213" bottom="0.55118110236220474" header="0.31496062992125984" footer="0.31496062992125984"/>
  <pageSetup paperSize="9" scale="77" orientation="portrait" r:id="rId1"/>
  <headerFooter>
    <oddHeader>&amp;R&amp;14駒寄町内会</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63ABD-BCB6-42EB-93E4-D71F6F045115}">
  <sheetPr>
    <pageSetUpPr fitToPage="1"/>
  </sheetPr>
  <dimension ref="A1:F30"/>
  <sheetViews>
    <sheetView view="pageBreakPreview" zoomScale="60" zoomScaleNormal="100" workbookViewId="0">
      <selection activeCell="H13" sqref="H13"/>
    </sheetView>
  </sheetViews>
  <sheetFormatPr defaultRowHeight="18"/>
  <cols>
    <col min="1" max="1" width="4.5" bestFit="1" customWidth="1"/>
    <col min="2" max="2" width="17.19921875" bestFit="1" customWidth="1"/>
    <col min="3" max="3" width="10.59765625" customWidth="1"/>
    <col min="4" max="4" width="31.69921875" customWidth="1"/>
    <col min="5" max="5" width="39.09765625" customWidth="1"/>
  </cols>
  <sheetData>
    <row r="1" spans="1:6" s="5" customFormat="1" ht="26.4">
      <c r="A1" s="48" t="str" cm="1">
        <f t="array" aca="1" ref="A1" ca="1">MID(CELL("filename",A1),FIND("]",CELL("filename",A1))+1,255)</f>
        <v>１区10班</v>
      </c>
      <c r="B1" s="48"/>
      <c r="C1" s="49" t="str">
        <f>'１区１班'!C1</f>
        <v>Ｒ８年度 敬老祝い品　受取り対象者　聞き取り票</v>
      </c>
      <c r="D1" s="49"/>
      <c r="E1" s="49"/>
      <c r="F1" s="5">
        <v>3</v>
      </c>
    </row>
    <row r="2" spans="1:6">
      <c r="A2" s="4" t="s">
        <v>0</v>
      </c>
      <c r="B2" s="4" t="s">
        <v>10</v>
      </c>
      <c r="C2" s="50" t="s">
        <v>152</v>
      </c>
      <c r="D2" s="51"/>
      <c r="E2" s="4" t="s">
        <v>9</v>
      </c>
    </row>
    <row r="3" spans="1:6" ht="42">
      <c r="A3" s="8">
        <v>0</v>
      </c>
      <c r="B3" s="9" t="s">
        <v>153</v>
      </c>
      <c r="C3" s="59" t="s">
        <v>335</v>
      </c>
      <c r="D3" s="17" t="s">
        <v>309</v>
      </c>
      <c r="E3" s="44" t="s">
        <v>311</v>
      </c>
    </row>
    <row r="4" spans="1:6" ht="42" customHeight="1">
      <c r="A4" s="1">
        <v>1</v>
      </c>
      <c r="B4" s="2" t="s">
        <v>61</v>
      </c>
      <c r="C4" s="56" t="s">
        <v>157</v>
      </c>
      <c r="D4" s="19"/>
      <c r="E4" s="41" t="s">
        <v>158</v>
      </c>
    </row>
    <row r="5" spans="1:6" ht="42" customHeight="1">
      <c r="A5" s="1">
        <v>2</v>
      </c>
      <c r="B5" s="2" t="s">
        <v>62</v>
      </c>
      <c r="C5" s="56" t="s">
        <v>330</v>
      </c>
      <c r="D5" s="19" t="s">
        <v>187</v>
      </c>
      <c r="E5" s="41" t="s">
        <v>158</v>
      </c>
    </row>
    <row r="6" spans="1:6" ht="42" customHeight="1">
      <c r="A6" s="1">
        <v>3</v>
      </c>
      <c r="B6" s="2" t="s">
        <v>63</v>
      </c>
      <c r="C6" s="56" t="s">
        <v>330</v>
      </c>
      <c r="D6" s="19" t="s">
        <v>188</v>
      </c>
      <c r="E6" s="41" t="s">
        <v>158</v>
      </c>
    </row>
    <row r="7" spans="1:6" ht="42" customHeight="1">
      <c r="A7" s="1">
        <v>4</v>
      </c>
      <c r="B7" s="2" t="s">
        <v>64</v>
      </c>
      <c r="C7" s="56" t="s">
        <v>330</v>
      </c>
      <c r="D7" s="19" t="s">
        <v>189</v>
      </c>
      <c r="E7" s="41" t="s">
        <v>158</v>
      </c>
    </row>
    <row r="8" spans="1:6" ht="42" customHeight="1">
      <c r="A8" s="1">
        <v>5</v>
      </c>
      <c r="B8" s="11" t="s">
        <v>65</v>
      </c>
      <c r="C8" s="56" t="s">
        <v>157</v>
      </c>
      <c r="D8" s="19"/>
      <c r="E8" s="41" t="s">
        <v>158</v>
      </c>
    </row>
    <row r="9" spans="1:6" ht="42" customHeight="1">
      <c r="A9" s="1">
        <v>6</v>
      </c>
      <c r="B9" s="2" t="s">
        <v>250</v>
      </c>
      <c r="C9" s="56" t="s">
        <v>157</v>
      </c>
      <c r="D9" s="20"/>
      <c r="E9" s="41" t="s">
        <v>158</v>
      </c>
    </row>
    <row r="10" spans="1:6" ht="42" customHeight="1">
      <c r="A10" s="1">
        <v>7</v>
      </c>
      <c r="B10" s="2"/>
      <c r="C10" s="56" t="s">
        <v>157</v>
      </c>
      <c r="D10" s="20"/>
      <c r="E10" s="41" t="s">
        <v>158</v>
      </c>
    </row>
    <row r="11" spans="1:6" s="10" customFormat="1" ht="42" customHeight="1">
      <c r="A11" s="1">
        <v>8</v>
      </c>
      <c r="B11" s="14"/>
      <c r="C11" s="56" t="s">
        <v>157</v>
      </c>
      <c r="D11" s="20"/>
      <c r="E11" s="41" t="s">
        <v>158</v>
      </c>
    </row>
    <row r="12" spans="1:6" ht="42" customHeight="1">
      <c r="A12" s="1">
        <v>9</v>
      </c>
      <c r="B12" s="14"/>
      <c r="C12" s="56" t="s">
        <v>157</v>
      </c>
      <c r="D12" s="20"/>
      <c r="E12" s="41" t="s">
        <v>158</v>
      </c>
    </row>
    <row r="13" spans="1:6" ht="42" customHeight="1">
      <c r="A13" s="1">
        <v>10</v>
      </c>
      <c r="B13" s="14"/>
      <c r="C13" s="56" t="s">
        <v>157</v>
      </c>
      <c r="D13" s="20"/>
      <c r="E13" s="41" t="s">
        <v>158</v>
      </c>
    </row>
    <row r="14" spans="1:6" ht="42" customHeight="1">
      <c r="A14" s="1">
        <v>11</v>
      </c>
      <c r="B14" s="14"/>
      <c r="C14" s="56" t="s">
        <v>157</v>
      </c>
      <c r="D14" s="20"/>
      <c r="E14" s="41" t="s">
        <v>158</v>
      </c>
    </row>
    <row r="15" spans="1:6" ht="42" customHeight="1">
      <c r="A15" s="1">
        <v>12</v>
      </c>
      <c r="B15" s="14"/>
      <c r="C15" s="56" t="s">
        <v>157</v>
      </c>
      <c r="D15" s="20"/>
      <c r="E15" s="41" t="s">
        <v>158</v>
      </c>
    </row>
    <row r="16" spans="1:6" ht="42" customHeight="1">
      <c r="A16" s="1">
        <v>13</v>
      </c>
      <c r="B16" s="14"/>
      <c r="C16" s="56" t="s">
        <v>157</v>
      </c>
      <c r="D16" s="20"/>
      <c r="E16" s="41" t="s">
        <v>158</v>
      </c>
    </row>
    <row r="17" spans="1:5" ht="42" customHeight="1">
      <c r="A17" s="1">
        <v>14</v>
      </c>
      <c r="B17" s="14"/>
      <c r="C17" s="56" t="s">
        <v>157</v>
      </c>
      <c r="D17" s="20"/>
      <c r="E17" s="41" t="s">
        <v>158</v>
      </c>
    </row>
    <row r="18" spans="1:5" ht="42" customHeight="1">
      <c r="A18" s="1">
        <v>15</v>
      </c>
      <c r="B18" s="14"/>
      <c r="C18" s="56" t="s">
        <v>157</v>
      </c>
      <c r="D18" s="20"/>
      <c r="E18" s="41" t="s">
        <v>158</v>
      </c>
    </row>
    <row r="19" spans="1:5" ht="42" customHeight="1">
      <c r="A19" s="1">
        <v>16</v>
      </c>
      <c r="B19" s="14"/>
      <c r="C19" s="56" t="s">
        <v>157</v>
      </c>
      <c r="D19" s="20"/>
      <c r="E19" s="41" t="s">
        <v>158</v>
      </c>
    </row>
    <row r="20" spans="1:5" ht="9.75" customHeight="1"/>
    <row r="21" spans="1:5">
      <c r="A21" s="6" t="s">
        <v>11</v>
      </c>
      <c r="B21" s="15" t="s">
        <v>155</v>
      </c>
    </row>
    <row r="22" spans="1:5">
      <c r="A22" s="6"/>
      <c r="B22" s="43" t="str">
        <f>'１区１班'!B22</f>
        <v>所属班の各世帯から聞き取った内容を本用紙に記入し、９月６日の定例会に必ずご持参ください。</v>
      </c>
    </row>
    <row r="23" spans="1:5">
      <c r="A23" s="6"/>
      <c r="B23" s="42" t="str">
        <f>'１区１班'!B23</f>
        <v>※既に対象者氏名が印刷されている方については年齢の記入不要です。</v>
      </c>
    </row>
    <row r="24" spans="1:5" ht="9.75" customHeight="1">
      <c r="A24" s="6"/>
      <c r="B24" s="7"/>
    </row>
    <row r="25" spans="1:5">
      <c r="A25" s="6" t="s">
        <v>11</v>
      </c>
      <c r="B25" s="15" t="s">
        <v>160</v>
      </c>
    </row>
    <row r="26" spans="1:5">
      <c r="A26" s="6"/>
      <c r="B26" s="7" t="str">
        <f>'１区１班'!B26</f>
        <v>① 駒寄町内会会員であること（世帯代表者および同一生計者）</v>
      </c>
    </row>
    <row r="27" spans="1:5">
      <c r="A27" s="6"/>
      <c r="B27" s="42" t="str">
        <f>'１区１班'!B27</f>
        <v>※長期入院、ホーム長期入居者は対象外となります。</v>
      </c>
    </row>
    <row r="28" spans="1:5">
      <c r="A28" s="6"/>
      <c r="B28" s="7" t="str">
        <f>'１区１班'!B28</f>
        <v>② 昭和26年（1951年）12月31日以前生れの方（2026年12月31日時点で75歳以上の方）</v>
      </c>
    </row>
    <row r="29" spans="1:5">
      <c r="A29" s="6"/>
      <c r="B29" s="7" t="str">
        <f>'１区１班'!B29</f>
        <v>③ 敬老の日（9月21日午前中）祝い品（お赤飯を）お受け取り可能な方</v>
      </c>
    </row>
    <row r="30" spans="1:5">
      <c r="A30" s="6"/>
      <c r="B30" s="42" t="str">
        <f>'１区１班'!B30</f>
        <v>※お赤飯は食品につき、当日受け取り可能な方のみを対象とさせていただきます。</v>
      </c>
    </row>
  </sheetData>
  <mergeCells count="3">
    <mergeCell ref="A1:B1"/>
    <mergeCell ref="C1:E1"/>
    <mergeCell ref="C2:D2"/>
  </mergeCells>
  <phoneticPr fontId="4"/>
  <pageMargins left="0.9055118110236221" right="0.51181102362204722" top="0.74803149606299213" bottom="0.55118110236220474" header="0.31496062992125984" footer="0.31496062992125984"/>
  <pageSetup paperSize="9" scale="77" orientation="portrait" r:id="rId1"/>
  <headerFooter>
    <oddHeader>&amp;R&amp;14駒寄町内会</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E175D-4D41-4E5F-8C97-1C853C5B5BEA}">
  <sheetPr>
    <pageSetUpPr fitToPage="1"/>
  </sheetPr>
  <dimension ref="A1:F30"/>
  <sheetViews>
    <sheetView view="pageBreakPreview" zoomScale="60" zoomScaleNormal="100" workbookViewId="0">
      <selection activeCell="D4" sqref="C4:D4"/>
    </sheetView>
  </sheetViews>
  <sheetFormatPr defaultRowHeight="18"/>
  <cols>
    <col min="1" max="1" width="4.5" bestFit="1" customWidth="1"/>
    <col min="2" max="2" width="17.19921875" bestFit="1" customWidth="1"/>
    <col min="3" max="3" width="10.59765625" customWidth="1"/>
    <col min="4" max="4" width="31.69921875" customWidth="1"/>
    <col min="5" max="5" width="39.09765625" customWidth="1"/>
  </cols>
  <sheetData>
    <row r="1" spans="1:6" s="5" customFormat="1" ht="26.4">
      <c r="A1" s="48" t="str" cm="1">
        <f t="array" aca="1" ref="A1" ca="1">MID(CELL("filename",A1),FIND("]",CELL("filename",A1))+1,255)</f>
        <v>１区11班</v>
      </c>
      <c r="B1" s="48"/>
      <c r="C1" s="49" t="str">
        <f>'１区１班'!C1</f>
        <v>Ｒ８年度 敬老祝い品　受取り対象者　聞き取り票</v>
      </c>
      <c r="D1" s="49"/>
      <c r="E1" s="49"/>
      <c r="F1" s="5">
        <v>3</v>
      </c>
    </row>
    <row r="2" spans="1:6">
      <c r="A2" s="4" t="s">
        <v>0</v>
      </c>
      <c r="B2" s="4" t="s">
        <v>10</v>
      </c>
      <c r="C2" s="50" t="s">
        <v>152</v>
      </c>
      <c r="D2" s="51"/>
      <c r="E2" s="4" t="s">
        <v>9</v>
      </c>
    </row>
    <row r="3" spans="1:6" ht="42">
      <c r="A3" s="8">
        <v>0</v>
      </c>
      <c r="B3" s="9" t="s">
        <v>153</v>
      </c>
      <c r="C3" s="59" t="s">
        <v>335</v>
      </c>
      <c r="D3" s="17" t="s">
        <v>309</v>
      </c>
      <c r="E3" s="44" t="s">
        <v>311</v>
      </c>
    </row>
    <row r="4" spans="1:6" ht="42" customHeight="1">
      <c r="A4" s="1">
        <v>1</v>
      </c>
      <c r="B4" s="18" t="s">
        <v>285</v>
      </c>
      <c r="C4" s="61" t="s">
        <v>157</v>
      </c>
      <c r="D4" s="60" t="s">
        <v>190</v>
      </c>
      <c r="E4" s="41" t="s">
        <v>321</v>
      </c>
    </row>
    <row r="5" spans="1:6" ht="42" customHeight="1">
      <c r="A5" s="1">
        <v>2</v>
      </c>
      <c r="B5" s="18" t="s">
        <v>284</v>
      </c>
      <c r="C5" s="56" t="s">
        <v>330</v>
      </c>
      <c r="D5" s="19" t="s">
        <v>191</v>
      </c>
      <c r="E5" s="41" t="s">
        <v>158</v>
      </c>
    </row>
    <row r="6" spans="1:6" ht="42" customHeight="1">
      <c r="A6" s="1">
        <v>3</v>
      </c>
      <c r="B6" s="45" t="s">
        <v>306</v>
      </c>
      <c r="C6" s="56" t="s">
        <v>157</v>
      </c>
      <c r="D6" s="19"/>
      <c r="E6" s="41" t="s">
        <v>158</v>
      </c>
    </row>
    <row r="7" spans="1:6" ht="42" customHeight="1">
      <c r="A7" s="1">
        <v>4</v>
      </c>
      <c r="B7" s="45" t="s">
        <v>307</v>
      </c>
      <c r="C7" s="56" t="s">
        <v>157</v>
      </c>
      <c r="D7" s="19"/>
      <c r="E7" s="41" t="s">
        <v>158</v>
      </c>
    </row>
    <row r="8" spans="1:6" ht="42" customHeight="1">
      <c r="A8" s="1">
        <v>5</v>
      </c>
      <c r="B8" s="18" t="s">
        <v>283</v>
      </c>
      <c r="C8" s="56" t="s">
        <v>330</v>
      </c>
      <c r="D8" s="19" t="s">
        <v>192</v>
      </c>
      <c r="E8" s="41" t="s">
        <v>158</v>
      </c>
    </row>
    <row r="9" spans="1:6" ht="42" customHeight="1">
      <c r="A9" s="1">
        <v>6</v>
      </c>
      <c r="B9" s="18" t="s">
        <v>282</v>
      </c>
      <c r="C9" s="56" t="s">
        <v>157</v>
      </c>
      <c r="D9" s="19"/>
      <c r="E9" s="41" t="s">
        <v>158</v>
      </c>
    </row>
    <row r="10" spans="1:6" ht="42" customHeight="1">
      <c r="A10" s="1">
        <v>7</v>
      </c>
      <c r="B10" s="18" t="s">
        <v>322</v>
      </c>
      <c r="C10" s="56" t="s">
        <v>157</v>
      </c>
      <c r="D10" s="46" t="s">
        <v>323</v>
      </c>
      <c r="E10" s="41" t="s">
        <v>158</v>
      </c>
    </row>
    <row r="11" spans="1:6" s="10" customFormat="1" ht="42" customHeight="1">
      <c r="A11" s="1">
        <v>8</v>
      </c>
      <c r="B11" s="45" t="s">
        <v>308</v>
      </c>
      <c r="C11" s="56" t="s">
        <v>157</v>
      </c>
      <c r="D11" s="19"/>
      <c r="E11" s="41" t="s">
        <v>158</v>
      </c>
    </row>
    <row r="12" spans="1:6" ht="42" customHeight="1">
      <c r="A12" s="1">
        <v>9</v>
      </c>
      <c r="B12" s="18" t="s">
        <v>281</v>
      </c>
      <c r="C12" s="56" t="s">
        <v>157</v>
      </c>
      <c r="D12" s="19"/>
      <c r="E12" s="41" t="s">
        <v>158</v>
      </c>
    </row>
    <row r="13" spans="1:6" ht="42" customHeight="1">
      <c r="A13" s="1">
        <v>10</v>
      </c>
      <c r="B13" s="18" t="s">
        <v>280</v>
      </c>
      <c r="C13" s="61" t="s">
        <v>331</v>
      </c>
      <c r="D13" s="60" t="s">
        <v>318</v>
      </c>
      <c r="E13" s="41" t="s">
        <v>158</v>
      </c>
    </row>
    <row r="14" spans="1:6" ht="42" customHeight="1">
      <c r="A14" s="1">
        <v>11</v>
      </c>
      <c r="B14" s="18" t="s">
        <v>279</v>
      </c>
      <c r="C14" s="56" t="s">
        <v>157</v>
      </c>
      <c r="D14" s="19"/>
      <c r="E14" s="41" t="s">
        <v>158</v>
      </c>
    </row>
    <row r="15" spans="1:6" ht="42" customHeight="1">
      <c r="A15" s="1">
        <v>12</v>
      </c>
      <c r="B15" s="18" t="s">
        <v>316</v>
      </c>
      <c r="C15" s="56" t="s">
        <v>157</v>
      </c>
      <c r="D15" s="19"/>
      <c r="E15" s="41" t="s">
        <v>158</v>
      </c>
    </row>
    <row r="16" spans="1:6" ht="42" customHeight="1">
      <c r="A16" s="1">
        <v>13</v>
      </c>
      <c r="B16" s="18" t="s">
        <v>277</v>
      </c>
      <c r="C16" s="56" t="s">
        <v>157</v>
      </c>
      <c r="D16" s="19"/>
      <c r="E16" s="41" t="s">
        <v>158</v>
      </c>
    </row>
    <row r="17" spans="1:5" ht="42" customHeight="1">
      <c r="A17" s="1">
        <v>14</v>
      </c>
      <c r="B17" s="18" t="s">
        <v>264</v>
      </c>
      <c r="C17" s="56" t="s">
        <v>330</v>
      </c>
      <c r="D17" s="19" t="s">
        <v>193</v>
      </c>
      <c r="E17" s="41" t="s">
        <v>158</v>
      </c>
    </row>
    <row r="18" spans="1:5" ht="42" customHeight="1">
      <c r="A18" s="1">
        <v>15</v>
      </c>
      <c r="B18" s="18" t="s">
        <v>278</v>
      </c>
      <c r="C18" s="56" t="s">
        <v>157</v>
      </c>
      <c r="D18" s="19"/>
      <c r="E18" s="41" t="s">
        <v>158</v>
      </c>
    </row>
    <row r="19" spans="1:5" ht="42" customHeight="1">
      <c r="A19" s="1">
        <v>16</v>
      </c>
      <c r="B19" s="18" t="s">
        <v>317</v>
      </c>
      <c r="C19" s="56" t="s">
        <v>157</v>
      </c>
      <c r="D19" s="19"/>
      <c r="E19" s="41" t="s">
        <v>158</v>
      </c>
    </row>
    <row r="20" spans="1:5" ht="9.75" customHeight="1"/>
    <row r="21" spans="1:5">
      <c r="A21" s="6" t="s">
        <v>11</v>
      </c>
      <c r="B21" s="15" t="s">
        <v>155</v>
      </c>
    </row>
    <row r="22" spans="1:5">
      <c r="A22" s="6"/>
      <c r="B22" s="43" t="str">
        <f>'１区１班'!B22</f>
        <v>所属班の各世帯から聞き取った内容を本用紙に記入し、９月６日の定例会に必ずご持参ください。</v>
      </c>
    </row>
    <row r="23" spans="1:5">
      <c r="A23" s="6"/>
      <c r="B23" s="42" t="str">
        <f>'１区１班'!B23</f>
        <v>※既に対象者氏名が印刷されている方については年齢の記入不要です。</v>
      </c>
    </row>
    <row r="24" spans="1:5" ht="9.75" customHeight="1">
      <c r="A24" s="6"/>
      <c r="B24" s="7"/>
    </row>
    <row r="25" spans="1:5">
      <c r="A25" s="6" t="s">
        <v>11</v>
      </c>
      <c r="B25" s="15" t="s">
        <v>160</v>
      </c>
    </row>
    <row r="26" spans="1:5">
      <c r="A26" s="6"/>
      <c r="B26" s="7" t="str">
        <f>'１区１班'!B26</f>
        <v>① 駒寄町内会会員であること（世帯代表者および同一生計者）</v>
      </c>
    </row>
    <row r="27" spans="1:5">
      <c r="A27" s="6"/>
      <c r="B27" s="42" t="str">
        <f>'１区１班'!B27</f>
        <v>※長期入院、ホーム長期入居者は対象外となります。</v>
      </c>
    </row>
    <row r="28" spans="1:5">
      <c r="A28" s="6"/>
      <c r="B28" s="7" t="str">
        <f>'１区１班'!B28</f>
        <v>② 昭和26年（1951年）12月31日以前生れの方（2026年12月31日時点で75歳以上の方）</v>
      </c>
    </row>
    <row r="29" spans="1:5">
      <c r="A29" s="6"/>
      <c r="B29" s="7" t="str">
        <f>'１区１班'!B29</f>
        <v>③ 敬老の日（9月21日午前中）祝い品（お赤飯を）お受け取り可能な方</v>
      </c>
    </row>
    <row r="30" spans="1:5">
      <c r="A30" s="6"/>
      <c r="B30" s="42" t="str">
        <f>'１区１班'!B30</f>
        <v>※お赤飯は食品につき、当日受け取り可能な方のみを対象とさせていただきます。</v>
      </c>
    </row>
  </sheetData>
  <mergeCells count="3">
    <mergeCell ref="A1:B1"/>
    <mergeCell ref="C1:E1"/>
    <mergeCell ref="C2:D2"/>
  </mergeCells>
  <phoneticPr fontId="4"/>
  <pageMargins left="0.9055118110236221" right="0.51181102362204722" top="0.74803149606299213" bottom="0.55118110236220474" header="0.31496062992125984" footer="0.31496062992125984"/>
  <pageSetup paperSize="9" scale="77" orientation="portrait" r:id="rId1"/>
  <headerFooter>
    <oddHeader>&amp;R&amp;14駒寄町内会</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51A5C-D17A-42A1-A95B-25187DE4D211}">
  <sheetPr>
    <pageSetUpPr fitToPage="1"/>
  </sheetPr>
  <dimension ref="A1:F30"/>
  <sheetViews>
    <sheetView view="pageBreakPreview" zoomScale="60" zoomScaleNormal="100" workbookViewId="0">
      <selection activeCell="D11" sqref="C11:D11"/>
    </sheetView>
  </sheetViews>
  <sheetFormatPr defaultRowHeight="18"/>
  <cols>
    <col min="1" max="1" width="4.5" bestFit="1" customWidth="1"/>
    <col min="2" max="2" width="17.19921875" bestFit="1" customWidth="1"/>
    <col min="3" max="3" width="10.59765625" customWidth="1"/>
    <col min="4" max="4" width="31.69921875" customWidth="1"/>
    <col min="5" max="5" width="39.09765625" customWidth="1"/>
  </cols>
  <sheetData>
    <row r="1" spans="1:6" s="5" customFormat="1" ht="26.4">
      <c r="A1" s="48" t="str" cm="1">
        <f t="array" aca="1" ref="A1" ca="1">MID(CELL("filename",A1),FIND("]",CELL("filename",A1))+1,255)</f>
        <v>１区12班</v>
      </c>
      <c r="B1" s="48"/>
      <c r="C1" s="49" t="str">
        <f>'１区１班'!C1</f>
        <v>Ｒ８年度 敬老祝い品　受取り対象者　聞き取り票</v>
      </c>
      <c r="D1" s="49"/>
      <c r="E1" s="49"/>
      <c r="F1" s="5">
        <v>0</v>
      </c>
    </row>
    <row r="2" spans="1:6">
      <c r="A2" s="4" t="s">
        <v>0</v>
      </c>
      <c r="B2" s="4" t="s">
        <v>10</v>
      </c>
      <c r="C2" s="50" t="s">
        <v>152</v>
      </c>
      <c r="D2" s="51"/>
      <c r="E2" s="4" t="s">
        <v>9</v>
      </c>
    </row>
    <row r="3" spans="1:6" ht="42">
      <c r="A3" s="8">
        <v>0</v>
      </c>
      <c r="B3" s="9" t="s">
        <v>153</v>
      </c>
      <c r="C3" s="59" t="s">
        <v>335</v>
      </c>
      <c r="D3" s="17" t="s">
        <v>309</v>
      </c>
      <c r="E3" s="44" t="s">
        <v>311</v>
      </c>
    </row>
    <row r="4" spans="1:6" ht="42" customHeight="1">
      <c r="A4" s="1">
        <v>1</v>
      </c>
      <c r="B4" s="18" t="s">
        <v>286</v>
      </c>
      <c r="C4" s="61" t="s">
        <v>157</v>
      </c>
      <c r="D4" s="60" t="s">
        <v>194</v>
      </c>
      <c r="E4" s="41" t="s">
        <v>319</v>
      </c>
    </row>
    <row r="5" spans="1:6" ht="42" customHeight="1">
      <c r="A5" s="1">
        <v>2</v>
      </c>
      <c r="B5" s="18" t="s">
        <v>287</v>
      </c>
      <c r="C5" s="56" t="s">
        <v>157</v>
      </c>
      <c r="D5" s="19"/>
      <c r="E5" s="41" t="s">
        <v>158</v>
      </c>
    </row>
    <row r="6" spans="1:6" ht="42" customHeight="1">
      <c r="A6" s="1">
        <v>3</v>
      </c>
      <c r="B6" s="18" t="s">
        <v>288</v>
      </c>
      <c r="C6" s="56" t="s">
        <v>157</v>
      </c>
      <c r="D6" s="19"/>
      <c r="E6" s="41" t="s">
        <v>158</v>
      </c>
    </row>
    <row r="7" spans="1:6" ht="42" customHeight="1">
      <c r="A7" s="1">
        <v>4</v>
      </c>
      <c r="B7" s="18" t="s">
        <v>289</v>
      </c>
      <c r="C7" s="56" t="s">
        <v>157</v>
      </c>
      <c r="D7" s="19"/>
      <c r="E7" s="41" t="s">
        <v>158</v>
      </c>
    </row>
    <row r="8" spans="1:6" ht="42" customHeight="1">
      <c r="A8" s="1">
        <v>5</v>
      </c>
      <c r="B8" s="18" t="s">
        <v>290</v>
      </c>
      <c r="C8" s="56" t="s">
        <v>157</v>
      </c>
      <c r="D8" s="19"/>
      <c r="E8" s="41" t="s">
        <v>158</v>
      </c>
    </row>
    <row r="9" spans="1:6" ht="42" customHeight="1">
      <c r="A9" s="1">
        <v>6</v>
      </c>
      <c r="B9" s="18" t="s">
        <v>291</v>
      </c>
      <c r="C9" s="56" t="s">
        <v>157</v>
      </c>
      <c r="D9" s="19"/>
      <c r="E9" s="41" t="s">
        <v>158</v>
      </c>
    </row>
    <row r="10" spans="1:6" ht="42" customHeight="1">
      <c r="A10" s="1">
        <v>7</v>
      </c>
      <c r="B10" s="18" t="s">
        <v>292</v>
      </c>
      <c r="C10" s="56" t="s">
        <v>157</v>
      </c>
      <c r="D10" s="19"/>
      <c r="E10" s="41" t="s">
        <v>158</v>
      </c>
    </row>
    <row r="11" spans="1:6" s="10" customFormat="1" ht="42" customHeight="1">
      <c r="A11" s="1">
        <v>8</v>
      </c>
      <c r="B11" s="18" t="s">
        <v>293</v>
      </c>
      <c r="C11" s="61" t="s">
        <v>157</v>
      </c>
      <c r="D11" s="60" t="s">
        <v>195</v>
      </c>
      <c r="E11" s="41" t="s">
        <v>320</v>
      </c>
    </row>
    <row r="12" spans="1:6" ht="42" customHeight="1">
      <c r="A12" s="1">
        <v>9</v>
      </c>
      <c r="B12" s="18" t="s">
        <v>294</v>
      </c>
      <c r="C12" s="56" t="s">
        <v>157</v>
      </c>
      <c r="D12" s="19"/>
      <c r="E12" s="41" t="s">
        <v>158</v>
      </c>
    </row>
    <row r="13" spans="1:6" ht="42" customHeight="1">
      <c r="A13" s="1">
        <v>10</v>
      </c>
      <c r="B13" s="18" t="s">
        <v>295</v>
      </c>
      <c r="C13" s="56" t="s">
        <v>157</v>
      </c>
      <c r="D13" s="19"/>
      <c r="E13" s="41" t="s">
        <v>158</v>
      </c>
    </row>
    <row r="14" spans="1:6" ht="42" customHeight="1">
      <c r="A14" s="1">
        <v>11</v>
      </c>
      <c r="B14" s="18" t="s">
        <v>296</v>
      </c>
      <c r="C14" s="56" t="s">
        <v>157</v>
      </c>
      <c r="D14" s="19"/>
      <c r="E14" s="41" t="s">
        <v>158</v>
      </c>
    </row>
    <row r="15" spans="1:6" ht="42" customHeight="1">
      <c r="A15" s="1">
        <v>12</v>
      </c>
      <c r="B15" s="18" t="s">
        <v>297</v>
      </c>
      <c r="C15" s="56" t="s">
        <v>157</v>
      </c>
      <c r="D15" s="19"/>
      <c r="E15" s="41" t="s">
        <v>158</v>
      </c>
    </row>
    <row r="16" spans="1:6" ht="42" customHeight="1">
      <c r="A16" s="1">
        <v>13</v>
      </c>
      <c r="B16" s="18" t="s">
        <v>298</v>
      </c>
      <c r="C16" s="56" t="s">
        <v>157</v>
      </c>
      <c r="D16" s="19"/>
      <c r="E16" s="41" t="s">
        <v>158</v>
      </c>
    </row>
    <row r="17" spans="1:5" ht="42" customHeight="1">
      <c r="A17" s="1">
        <v>14</v>
      </c>
      <c r="B17" s="18" t="s">
        <v>299</v>
      </c>
      <c r="C17" s="56" t="s">
        <v>157</v>
      </c>
      <c r="D17" s="19"/>
      <c r="E17" s="41" t="s">
        <v>158</v>
      </c>
    </row>
    <row r="18" spans="1:5" ht="42" customHeight="1">
      <c r="A18" s="1">
        <v>15</v>
      </c>
      <c r="B18" s="18" t="s">
        <v>300</v>
      </c>
      <c r="C18" s="56" t="s">
        <v>157</v>
      </c>
      <c r="D18" s="19"/>
      <c r="E18" s="41" t="s">
        <v>158</v>
      </c>
    </row>
    <row r="19" spans="1:5" ht="42" customHeight="1">
      <c r="A19" s="1">
        <v>16</v>
      </c>
      <c r="B19" s="18" t="s">
        <v>301</v>
      </c>
      <c r="C19" s="56" t="s">
        <v>157</v>
      </c>
      <c r="D19" s="20"/>
      <c r="E19" s="41" t="s">
        <v>158</v>
      </c>
    </row>
    <row r="20" spans="1:5" ht="9.75" customHeight="1"/>
    <row r="21" spans="1:5">
      <c r="A21" s="6" t="s">
        <v>11</v>
      </c>
      <c r="B21" s="15" t="s">
        <v>155</v>
      </c>
    </row>
    <row r="22" spans="1:5">
      <c r="A22" s="6"/>
      <c r="B22" s="43" t="str">
        <f>'１区１班'!B22</f>
        <v>所属班の各世帯から聞き取った内容を本用紙に記入し、９月６日の定例会に必ずご持参ください。</v>
      </c>
    </row>
    <row r="23" spans="1:5">
      <c r="A23" s="6"/>
      <c r="B23" s="42" t="str">
        <f>'１区１班'!B23</f>
        <v>※既に対象者氏名が印刷されている方については年齢の記入不要です。</v>
      </c>
    </row>
    <row r="24" spans="1:5" ht="9.75" customHeight="1">
      <c r="A24" s="6"/>
      <c r="B24" s="7"/>
    </row>
    <row r="25" spans="1:5">
      <c r="A25" s="6" t="s">
        <v>11</v>
      </c>
      <c r="B25" s="15" t="s">
        <v>160</v>
      </c>
    </row>
    <row r="26" spans="1:5">
      <c r="A26" s="6"/>
      <c r="B26" s="7" t="str">
        <f>'１区１班'!B26</f>
        <v>① 駒寄町内会会員であること（世帯代表者および同一生計者）</v>
      </c>
    </row>
    <row r="27" spans="1:5">
      <c r="A27" s="6"/>
      <c r="B27" s="42" t="str">
        <f>'１区１班'!B27</f>
        <v>※長期入院、ホーム長期入居者は対象外となります。</v>
      </c>
    </row>
    <row r="28" spans="1:5">
      <c r="A28" s="6"/>
      <c r="B28" s="7" t="str">
        <f>'１区１班'!B28</f>
        <v>② 昭和26年（1951年）12月31日以前生れの方（2026年12月31日時点で75歳以上の方）</v>
      </c>
    </row>
    <row r="29" spans="1:5">
      <c r="A29" s="6"/>
      <c r="B29" s="7" t="str">
        <f>'１区１班'!B29</f>
        <v>③ 敬老の日（9月21日午前中）祝い品（お赤飯を）お受け取り可能な方</v>
      </c>
    </row>
    <row r="30" spans="1:5">
      <c r="A30" s="6"/>
      <c r="B30" s="42" t="str">
        <f>'１区１班'!B30</f>
        <v>※お赤飯は食品につき、当日受け取り可能な方のみを対象とさせていただきます。</v>
      </c>
    </row>
  </sheetData>
  <mergeCells count="3">
    <mergeCell ref="A1:B1"/>
    <mergeCell ref="C1:E1"/>
    <mergeCell ref="C2:D2"/>
  </mergeCells>
  <phoneticPr fontId="4"/>
  <pageMargins left="0.9055118110236221" right="0.51181102362204722" top="0.74803149606299213" bottom="0.55118110236220474" header="0.31496062992125984" footer="0.31496062992125984"/>
  <pageSetup paperSize="9" scale="77" orientation="portrait" r:id="rId1"/>
  <headerFooter>
    <oddHeader>&amp;R&amp;14駒寄町内会</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0D7D5-4AC6-4401-BB5D-E199C766C8FB}">
  <sheetPr>
    <pageSetUpPr fitToPage="1"/>
  </sheetPr>
  <dimension ref="A1:F30"/>
  <sheetViews>
    <sheetView view="pageBreakPreview" zoomScale="60" zoomScaleNormal="100" workbookViewId="0">
      <selection activeCell="D6" sqref="C6:D6"/>
    </sheetView>
  </sheetViews>
  <sheetFormatPr defaultRowHeight="18"/>
  <cols>
    <col min="1" max="1" width="4.5" bestFit="1" customWidth="1"/>
    <col min="2" max="2" width="17.19921875" bestFit="1" customWidth="1"/>
    <col min="3" max="3" width="10.59765625" customWidth="1"/>
    <col min="4" max="4" width="31.69921875" customWidth="1"/>
    <col min="5" max="5" width="39.09765625" customWidth="1"/>
  </cols>
  <sheetData>
    <row r="1" spans="1:6" s="5" customFormat="1" ht="26.4">
      <c r="A1" s="48" t="str" cm="1">
        <f t="array" aca="1" ref="A1" ca="1">MID(CELL("filename",A1),FIND("]",CELL("filename",A1))+1,255)</f>
        <v>２区１班</v>
      </c>
      <c r="B1" s="48"/>
      <c r="C1" s="49" t="str">
        <f>'１区１班'!C1</f>
        <v>Ｒ８年度 敬老祝い品　受取り対象者　聞き取り票</v>
      </c>
      <c r="D1" s="49"/>
      <c r="E1" s="49"/>
      <c r="F1" s="5">
        <v>4</v>
      </c>
    </row>
    <row r="2" spans="1:6">
      <c r="A2" s="4" t="s">
        <v>0</v>
      </c>
      <c r="B2" s="4" t="s">
        <v>10</v>
      </c>
      <c r="C2" s="50" t="s">
        <v>152</v>
      </c>
      <c r="D2" s="51"/>
      <c r="E2" s="4" t="s">
        <v>9</v>
      </c>
    </row>
    <row r="3" spans="1:6" ht="42">
      <c r="A3" s="8">
        <v>0</v>
      </c>
      <c r="B3" s="9" t="s">
        <v>153</v>
      </c>
      <c r="C3" s="59" t="s">
        <v>335</v>
      </c>
      <c r="D3" s="17" t="s">
        <v>309</v>
      </c>
      <c r="E3" s="44" t="s">
        <v>311</v>
      </c>
    </row>
    <row r="4" spans="1:6" ht="42" customHeight="1">
      <c r="A4" s="1">
        <v>1</v>
      </c>
      <c r="B4" s="2" t="s">
        <v>66</v>
      </c>
      <c r="C4" s="56" t="s">
        <v>157</v>
      </c>
      <c r="D4" s="19"/>
      <c r="E4" s="41" t="s">
        <v>158</v>
      </c>
    </row>
    <row r="5" spans="1:6" ht="42" customHeight="1">
      <c r="A5" s="1">
        <v>2</v>
      </c>
      <c r="B5" s="2" t="s">
        <v>67</v>
      </c>
      <c r="C5" s="56" t="s">
        <v>157</v>
      </c>
      <c r="D5" s="19"/>
      <c r="E5" s="41" t="s">
        <v>158</v>
      </c>
    </row>
    <row r="6" spans="1:6" ht="42" customHeight="1">
      <c r="A6" s="1">
        <v>3</v>
      </c>
      <c r="B6" s="2" t="s">
        <v>68</v>
      </c>
      <c r="C6" s="61" t="s">
        <v>331</v>
      </c>
      <c r="D6" s="62" t="s">
        <v>274</v>
      </c>
      <c r="E6" s="41" t="s">
        <v>324</v>
      </c>
    </row>
    <row r="7" spans="1:6" ht="42" customHeight="1">
      <c r="A7" s="1">
        <v>4</v>
      </c>
      <c r="B7" s="2" t="s">
        <v>69</v>
      </c>
      <c r="C7" s="56" t="s">
        <v>330</v>
      </c>
      <c r="D7" s="19" t="s">
        <v>196</v>
      </c>
      <c r="E7" s="41" t="s">
        <v>158</v>
      </c>
    </row>
    <row r="8" spans="1:6" ht="42" customHeight="1">
      <c r="A8" s="1">
        <v>5</v>
      </c>
      <c r="B8" s="11" t="s">
        <v>70</v>
      </c>
      <c r="C8" s="56" t="s">
        <v>157</v>
      </c>
      <c r="D8" s="19"/>
      <c r="E8" s="41" t="s">
        <v>158</v>
      </c>
    </row>
    <row r="9" spans="1:6" ht="42" customHeight="1">
      <c r="A9" s="1">
        <v>6</v>
      </c>
      <c r="B9" s="2" t="s">
        <v>71</v>
      </c>
      <c r="C9" s="56" t="s">
        <v>330</v>
      </c>
      <c r="D9" s="19" t="s">
        <v>197</v>
      </c>
      <c r="E9" s="41" t="s">
        <v>158</v>
      </c>
    </row>
    <row r="10" spans="1:6" ht="42" customHeight="1">
      <c r="A10" s="1">
        <v>7</v>
      </c>
      <c r="B10" s="2" t="s">
        <v>72</v>
      </c>
      <c r="C10" s="56" t="s">
        <v>157</v>
      </c>
      <c r="D10" s="19"/>
      <c r="E10" s="41" t="s">
        <v>158</v>
      </c>
    </row>
    <row r="11" spans="1:6" s="10" customFormat="1" ht="42" customHeight="1">
      <c r="A11" s="1">
        <v>8</v>
      </c>
      <c r="B11" s="14" t="s">
        <v>73</v>
      </c>
      <c r="C11" s="56" t="s">
        <v>330</v>
      </c>
      <c r="D11" s="19" t="s">
        <v>198</v>
      </c>
      <c r="E11" s="41" t="s">
        <v>158</v>
      </c>
    </row>
    <row r="12" spans="1:6" ht="42" customHeight="1">
      <c r="A12" s="1">
        <v>9</v>
      </c>
      <c r="B12" s="14"/>
      <c r="C12" s="56" t="s">
        <v>157</v>
      </c>
      <c r="D12" s="20"/>
      <c r="E12" s="41" t="s">
        <v>158</v>
      </c>
    </row>
    <row r="13" spans="1:6" ht="42" customHeight="1">
      <c r="A13" s="1">
        <v>10</v>
      </c>
      <c r="B13" s="14"/>
      <c r="C13" s="56" t="s">
        <v>157</v>
      </c>
      <c r="D13" s="20"/>
      <c r="E13" s="41" t="s">
        <v>158</v>
      </c>
    </row>
    <row r="14" spans="1:6" ht="42" customHeight="1">
      <c r="A14" s="1">
        <v>11</v>
      </c>
      <c r="B14" s="14"/>
      <c r="C14" s="56" t="s">
        <v>157</v>
      </c>
      <c r="D14" s="20"/>
      <c r="E14" s="41" t="s">
        <v>158</v>
      </c>
    </row>
    <row r="15" spans="1:6" ht="42" customHeight="1">
      <c r="A15" s="1">
        <v>12</v>
      </c>
      <c r="B15" s="14"/>
      <c r="C15" s="56" t="s">
        <v>157</v>
      </c>
      <c r="D15" s="20"/>
      <c r="E15" s="41" t="s">
        <v>158</v>
      </c>
    </row>
    <row r="16" spans="1:6" ht="42" customHeight="1">
      <c r="A16" s="1">
        <v>13</v>
      </c>
      <c r="B16" s="14"/>
      <c r="C16" s="56" t="s">
        <v>157</v>
      </c>
      <c r="D16" s="20"/>
      <c r="E16" s="41" t="s">
        <v>158</v>
      </c>
    </row>
    <row r="17" spans="1:5" ht="42" customHeight="1">
      <c r="A17" s="1">
        <v>14</v>
      </c>
      <c r="B17" s="14"/>
      <c r="C17" s="56" t="s">
        <v>157</v>
      </c>
      <c r="D17" s="20"/>
      <c r="E17" s="41" t="s">
        <v>158</v>
      </c>
    </row>
    <row r="18" spans="1:5" ht="42" customHeight="1">
      <c r="A18" s="1">
        <v>15</v>
      </c>
      <c r="B18" s="14"/>
      <c r="C18" s="56" t="s">
        <v>157</v>
      </c>
      <c r="D18" s="20"/>
      <c r="E18" s="41" t="s">
        <v>158</v>
      </c>
    </row>
    <row r="19" spans="1:5" ht="42" customHeight="1">
      <c r="A19" s="1">
        <v>16</v>
      </c>
      <c r="B19" s="14"/>
      <c r="C19" s="56" t="s">
        <v>157</v>
      </c>
      <c r="D19" s="20"/>
      <c r="E19" s="41" t="s">
        <v>158</v>
      </c>
    </row>
    <row r="20" spans="1:5" ht="9.75" customHeight="1"/>
    <row r="21" spans="1:5">
      <c r="A21" s="6" t="s">
        <v>11</v>
      </c>
      <c r="B21" s="15" t="s">
        <v>155</v>
      </c>
    </row>
    <row r="22" spans="1:5">
      <c r="A22" s="6"/>
      <c r="B22" s="43" t="str">
        <f>'１区１班'!B22</f>
        <v>所属班の各世帯から聞き取った内容を本用紙に記入し、９月６日の定例会に必ずご持参ください。</v>
      </c>
    </row>
    <row r="23" spans="1:5">
      <c r="A23" s="6"/>
      <c r="B23" s="42" t="str">
        <f>'１区１班'!B23</f>
        <v>※既に対象者氏名が印刷されている方については年齢の記入不要です。</v>
      </c>
    </row>
    <row r="24" spans="1:5" ht="9.75" customHeight="1">
      <c r="A24" s="6"/>
      <c r="B24" s="7"/>
    </row>
    <row r="25" spans="1:5">
      <c r="A25" s="6" t="s">
        <v>11</v>
      </c>
      <c r="B25" s="15" t="s">
        <v>160</v>
      </c>
    </row>
    <row r="26" spans="1:5">
      <c r="A26" s="6"/>
      <c r="B26" s="7" t="str">
        <f>'１区１班'!B26</f>
        <v>① 駒寄町内会会員であること（世帯代表者および同一生計者）</v>
      </c>
    </row>
    <row r="27" spans="1:5">
      <c r="A27" s="6"/>
      <c r="B27" s="42" t="str">
        <f>'１区１班'!B27</f>
        <v>※長期入院、ホーム長期入居者は対象外となります。</v>
      </c>
    </row>
    <row r="28" spans="1:5">
      <c r="A28" s="6"/>
      <c r="B28" s="7" t="str">
        <f>'１区１班'!B28</f>
        <v>② 昭和26年（1951年）12月31日以前生れの方（2026年12月31日時点で75歳以上の方）</v>
      </c>
    </row>
    <row r="29" spans="1:5">
      <c r="A29" s="6"/>
      <c r="B29" s="7" t="str">
        <f>'１区１班'!B29</f>
        <v>③ 敬老の日（9月21日午前中）祝い品（お赤飯を）お受け取り可能な方</v>
      </c>
    </row>
    <row r="30" spans="1:5">
      <c r="A30" s="6"/>
      <c r="B30" s="42" t="str">
        <f>'１区１班'!B30</f>
        <v>※お赤飯は食品につき、当日受け取り可能な方のみを対象とさせていただきます。</v>
      </c>
    </row>
  </sheetData>
  <mergeCells count="3">
    <mergeCell ref="A1:B1"/>
    <mergeCell ref="C1:E1"/>
    <mergeCell ref="C2:D2"/>
  </mergeCells>
  <phoneticPr fontId="4"/>
  <pageMargins left="0.9055118110236221" right="0.51181102362204722" top="0.74803149606299213" bottom="0.55118110236220474" header="0.31496062992125984" footer="0.31496062992125984"/>
  <pageSetup paperSize="9" scale="77" orientation="portrait" r:id="rId1"/>
  <headerFooter>
    <oddHeader>&amp;R&amp;14駒寄町内会</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8134E-BDF4-4663-88DD-493153FB3E95}">
  <sheetPr>
    <pageSetUpPr fitToPage="1"/>
  </sheetPr>
  <dimension ref="A1:F30"/>
  <sheetViews>
    <sheetView view="pageBreakPreview" zoomScale="60" zoomScaleNormal="100" workbookViewId="0">
      <selection activeCell="D4" sqref="C4:D4"/>
    </sheetView>
  </sheetViews>
  <sheetFormatPr defaultRowHeight="18"/>
  <cols>
    <col min="1" max="1" width="4.5" bestFit="1" customWidth="1"/>
    <col min="2" max="2" width="17.19921875" bestFit="1" customWidth="1"/>
    <col min="3" max="3" width="10.59765625" customWidth="1"/>
    <col min="4" max="4" width="31.69921875" customWidth="1"/>
    <col min="5" max="5" width="39.09765625" customWidth="1"/>
  </cols>
  <sheetData>
    <row r="1" spans="1:6" s="5" customFormat="1" ht="26.4">
      <c r="A1" s="48" t="str" cm="1">
        <f t="array" aca="1" ref="A1" ca="1">MID(CELL("filename",A1),FIND("]",CELL("filename",A1))+1,255)</f>
        <v>２区２班</v>
      </c>
      <c r="B1" s="48"/>
      <c r="C1" s="49" t="str">
        <f>'１区１班'!C1</f>
        <v>Ｒ８年度 敬老祝い品　受取り対象者　聞き取り票</v>
      </c>
      <c r="D1" s="49"/>
      <c r="E1" s="49"/>
      <c r="F1" s="5">
        <v>3</v>
      </c>
    </row>
    <row r="2" spans="1:6">
      <c r="A2" s="4" t="s">
        <v>0</v>
      </c>
      <c r="B2" s="4" t="s">
        <v>10</v>
      </c>
      <c r="C2" s="50" t="s">
        <v>152</v>
      </c>
      <c r="D2" s="51"/>
      <c r="E2" s="4" t="s">
        <v>9</v>
      </c>
    </row>
    <row r="3" spans="1:6" ht="42">
      <c r="A3" s="8">
        <v>0</v>
      </c>
      <c r="B3" s="9" t="s">
        <v>153</v>
      </c>
      <c r="C3" s="59" t="s">
        <v>335</v>
      </c>
      <c r="D3" s="17" t="s">
        <v>309</v>
      </c>
      <c r="E3" s="44" t="s">
        <v>311</v>
      </c>
    </row>
    <row r="4" spans="1:6" ht="42" customHeight="1">
      <c r="A4" s="1">
        <v>1</v>
      </c>
      <c r="B4" s="2" t="s">
        <v>74</v>
      </c>
      <c r="C4" s="61" t="s">
        <v>331</v>
      </c>
      <c r="D4" s="62" t="s">
        <v>263</v>
      </c>
      <c r="E4" s="41" t="s">
        <v>324</v>
      </c>
    </row>
    <row r="5" spans="1:6" ht="42" customHeight="1">
      <c r="A5" s="1">
        <v>2</v>
      </c>
      <c r="B5" s="2" t="s">
        <v>75</v>
      </c>
      <c r="C5" s="56" t="s">
        <v>157</v>
      </c>
      <c r="D5" s="19"/>
      <c r="E5" s="41" t="s">
        <v>158</v>
      </c>
    </row>
    <row r="6" spans="1:6" ht="42" customHeight="1">
      <c r="A6" s="1">
        <v>3</v>
      </c>
      <c r="B6" s="2" t="s">
        <v>76</v>
      </c>
      <c r="C6" s="56" t="s">
        <v>157</v>
      </c>
      <c r="D6" s="19"/>
      <c r="E6" s="41" t="s">
        <v>158</v>
      </c>
    </row>
    <row r="7" spans="1:6" ht="42" customHeight="1">
      <c r="A7" s="1">
        <v>4</v>
      </c>
      <c r="B7" s="2" t="s">
        <v>77</v>
      </c>
      <c r="C7" s="56" t="s">
        <v>330</v>
      </c>
      <c r="D7" s="19" t="s">
        <v>199</v>
      </c>
      <c r="E7" s="41" t="s">
        <v>158</v>
      </c>
    </row>
    <row r="8" spans="1:6" ht="42" customHeight="1">
      <c r="A8" s="1">
        <v>5</v>
      </c>
      <c r="B8" s="11" t="s">
        <v>78</v>
      </c>
      <c r="C8" s="56" t="s">
        <v>330</v>
      </c>
      <c r="D8" s="19" t="s">
        <v>200</v>
      </c>
      <c r="E8" s="41" t="s">
        <v>158</v>
      </c>
    </row>
    <row r="9" spans="1:6" ht="42" customHeight="1">
      <c r="A9" s="1">
        <v>6</v>
      </c>
      <c r="B9" s="2"/>
      <c r="C9" s="56" t="s">
        <v>157</v>
      </c>
      <c r="D9" s="19"/>
      <c r="E9" s="41" t="s">
        <v>158</v>
      </c>
    </row>
    <row r="10" spans="1:6" ht="42" customHeight="1">
      <c r="A10" s="1">
        <v>7</v>
      </c>
      <c r="B10" s="2"/>
      <c r="C10" s="56" t="s">
        <v>157</v>
      </c>
      <c r="D10" s="19"/>
      <c r="E10" s="41" t="s">
        <v>158</v>
      </c>
    </row>
    <row r="11" spans="1:6" s="10" customFormat="1" ht="42" customHeight="1">
      <c r="A11" s="1">
        <v>8</v>
      </c>
      <c r="B11" s="14"/>
      <c r="C11" s="56" t="s">
        <v>157</v>
      </c>
      <c r="D11" s="19"/>
      <c r="E11" s="41" t="s">
        <v>158</v>
      </c>
    </row>
    <row r="12" spans="1:6" ht="42" customHeight="1">
      <c r="A12" s="1">
        <v>9</v>
      </c>
      <c r="B12" s="14"/>
      <c r="C12" s="56" t="s">
        <v>157</v>
      </c>
      <c r="D12" s="19"/>
      <c r="E12" s="41" t="s">
        <v>158</v>
      </c>
    </row>
    <row r="13" spans="1:6" ht="42" customHeight="1">
      <c r="A13" s="1">
        <v>10</v>
      </c>
      <c r="B13" s="14"/>
      <c r="C13" s="56" t="s">
        <v>157</v>
      </c>
      <c r="D13" s="19"/>
      <c r="E13" s="41" t="s">
        <v>158</v>
      </c>
    </row>
    <row r="14" spans="1:6" ht="42" customHeight="1">
      <c r="A14" s="1">
        <v>11</v>
      </c>
      <c r="B14" s="14"/>
      <c r="C14" s="56" t="s">
        <v>157</v>
      </c>
      <c r="D14" s="19"/>
      <c r="E14" s="41" t="s">
        <v>158</v>
      </c>
    </row>
    <row r="15" spans="1:6" ht="42" customHeight="1">
      <c r="A15" s="1">
        <v>12</v>
      </c>
      <c r="B15" s="14"/>
      <c r="C15" s="56" t="s">
        <v>157</v>
      </c>
      <c r="D15" s="19"/>
      <c r="E15" s="41" t="s">
        <v>158</v>
      </c>
    </row>
    <row r="16" spans="1:6" ht="42" customHeight="1">
      <c r="A16" s="1">
        <v>13</v>
      </c>
      <c r="B16" s="14"/>
      <c r="C16" s="56" t="s">
        <v>157</v>
      </c>
      <c r="D16" s="19"/>
      <c r="E16" s="41" t="s">
        <v>158</v>
      </c>
    </row>
    <row r="17" spans="1:5" ht="42" customHeight="1">
      <c r="A17" s="1">
        <v>14</v>
      </c>
      <c r="B17" s="14"/>
      <c r="C17" s="56" t="s">
        <v>157</v>
      </c>
      <c r="D17" s="19"/>
      <c r="E17" s="41" t="s">
        <v>158</v>
      </c>
    </row>
    <row r="18" spans="1:5" ht="42" customHeight="1">
      <c r="A18" s="1">
        <v>15</v>
      </c>
      <c r="B18" s="14"/>
      <c r="C18" s="56" t="s">
        <v>157</v>
      </c>
      <c r="D18" s="19"/>
      <c r="E18" s="41" t="s">
        <v>158</v>
      </c>
    </row>
    <row r="19" spans="1:5" ht="42" customHeight="1">
      <c r="A19" s="1">
        <v>16</v>
      </c>
      <c r="B19" s="14"/>
      <c r="C19" s="56" t="s">
        <v>157</v>
      </c>
      <c r="D19" s="19"/>
      <c r="E19" s="41" t="s">
        <v>158</v>
      </c>
    </row>
    <row r="20" spans="1:5" ht="9.75" customHeight="1"/>
    <row r="21" spans="1:5">
      <c r="A21" s="6" t="s">
        <v>11</v>
      </c>
      <c r="B21" s="15" t="s">
        <v>155</v>
      </c>
    </row>
    <row r="22" spans="1:5">
      <c r="A22" s="6"/>
      <c r="B22" s="43" t="str">
        <f>'１区１班'!B22</f>
        <v>所属班の各世帯から聞き取った内容を本用紙に記入し、９月６日の定例会に必ずご持参ください。</v>
      </c>
    </row>
    <row r="23" spans="1:5">
      <c r="A23" s="6"/>
      <c r="B23" s="42" t="str">
        <f>'１区１班'!B23</f>
        <v>※既に対象者氏名が印刷されている方については年齢の記入不要です。</v>
      </c>
    </row>
    <row r="24" spans="1:5" ht="9.75" customHeight="1">
      <c r="A24" s="6"/>
      <c r="B24" s="7"/>
    </row>
    <row r="25" spans="1:5">
      <c r="A25" s="6" t="s">
        <v>11</v>
      </c>
      <c r="B25" s="15" t="s">
        <v>160</v>
      </c>
    </row>
    <row r="26" spans="1:5">
      <c r="A26" s="6"/>
      <c r="B26" s="7" t="str">
        <f>'１区１班'!B26</f>
        <v>① 駒寄町内会会員であること（世帯代表者および同一生計者）</v>
      </c>
    </row>
    <row r="27" spans="1:5">
      <c r="A27" s="6"/>
      <c r="B27" s="42" t="str">
        <f>'１区１班'!B27</f>
        <v>※長期入院、ホーム長期入居者は対象外となります。</v>
      </c>
    </row>
    <row r="28" spans="1:5">
      <c r="A28" s="6"/>
      <c r="B28" s="7" t="str">
        <f>'１区１班'!B28</f>
        <v>② 昭和26年（1951年）12月31日以前生れの方（2026年12月31日時点で75歳以上の方）</v>
      </c>
    </row>
    <row r="29" spans="1:5">
      <c r="A29" s="6"/>
      <c r="B29" s="7" t="str">
        <f>'１区１班'!B29</f>
        <v>③ 敬老の日（9月21日午前中）祝い品（お赤飯を）お受け取り可能な方</v>
      </c>
    </row>
    <row r="30" spans="1:5">
      <c r="A30" s="6"/>
      <c r="B30" s="42" t="str">
        <f>'１区１班'!B30</f>
        <v>※お赤飯は食品につき、当日受け取り可能な方のみを対象とさせていただきます。</v>
      </c>
    </row>
  </sheetData>
  <mergeCells count="3">
    <mergeCell ref="A1:B1"/>
    <mergeCell ref="C1:E1"/>
    <mergeCell ref="C2:D2"/>
  </mergeCells>
  <phoneticPr fontId="4"/>
  <pageMargins left="0.9055118110236221" right="0.51181102362204722" top="0.74803149606299213" bottom="0.55118110236220474" header="0.31496062992125984" footer="0.31496062992125984"/>
  <pageSetup paperSize="9" scale="77" orientation="portrait" r:id="rId1"/>
  <headerFooter>
    <oddHeader>&amp;R&amp;14駒寄町内会</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9BD5B-6AB7-4EE9-8DD9-7429D9414B06}">
  <sheetPr>
    <pageSetUpPr fitToPage="1"/>
  </sheetPr>
  <dimension ref="A1:F30"/>
  <sheetViews>
    <sheetView view="pageBreakPreview" zoomScale="60" zoomScaleNormal="100" workbookViewId="0">
      <selection activeCell="H13" sqref="H13"/>
    </sheetView>
  </sheetViews>
  <sheetFormatPr defaultRowHeight="18"/>
  <cols>
    <col min="1" max="1" width="4.5" bestFit="1" customWidth="1"/>
    <col min="2" max="2" width="17.19921875" bestFit="1" customWidth="1"/>
    <col min="3" max="3" width="10.59765625" customWidth="1"/>
    <col min="4" max="4" width="31.69921875" customWidth="1"/>
    <col min="5" max="5" width="39.09765625" customWidth="1"/>
  </cols>
  <sheetData>
    <row r="1" spans="1:6" s="5" customFormat="1" ht="26.4">
      <c r="A1" s="48" t="str" cm="1">
        <f t="array" aca="1" ref="A1" ca="1">MID(CELL("filename",A1),FIND("]",CELL("filename",A1))+1,255)</f>
        <v>２区３班</v>
      </c>
      <c r="B1" s="48"/>
      <c r="C1" s="49" t="str">
        <f>'１区１班'!C1</f>
        <v>Ｒ８年度 敬老祝い品　受取り対象者　聞き取り票</v>
      </c>
      <c r="D1" s="49"/>
      <c r="E1" s="49"/>
      <c r="F1" s="5">
        <v>2</v>
      </c>
    </row>
    <row r="2" spans="1:6">
      <c r="A2" s="4" t="s">
        <v>0</v>
      </c>
      <c r="B2" s="4" t="s">
        <v>10</v>
      </c>
      <c r="C2" s="50" t="s">
        <v>152</v>
      </c>
      <c r="D2" s="51"/>
      <c r="E2" s="4" t="s">
        <v>9</v>
      </c>
    </row>
    <row r="3" spans="1:6" ht="42">
      <c r="A3" s="8">
        <v>0</v>
      </c>
      <c r="B3" s="9" t="s">
        <v>153</v>
      </c>
      <c r="C3" s="59" t="s">
        <v>335</v>
      </c>
      <c r="D3" s="17" t="s">
        <v>309</v>
      </c>
      <c r="E3" s="44" t="s">
        <v>311</v>
      </c>
    </row>
    <row r="4" spans="1:6" ht="42" customHeight="1">
      <c r="A4" s="1">
        <v>1</v>
      </c>
      <c r="B4" s="2" t="s">
        <v>79</v>
      </c>
      <c r="C4" s="56" t="s">
        <v>330</v>
      </c>
      <c r="D4" s="19" t="s">
        <v>201</v>
      </c>
      <c r="E4" s="41" t="s">
        <v>158</v>
      </c>
    </row>
    <row r="5" spans="1:6" ht="42" customHeight="1">
      <c r="A5" s="1">
        <v>2</v>
      </c>
      <c r="B5" s="2" t="s">
        <v>80</v>
      </c>
      <c r="C5" s="56" t="s">
        <v>330</v>
      </c>
      <c r="D5" s="19" t="s">
        <v>202</v>
      </c>
      <c r="E5" s="41" t="s">
        <v>158</v>
      </c>
    </row>
    <row r="6" spans="1:6" ht="42" customHeight="1">
      <c r="A6" s="1">
        <v>3</v>
      </c>
      <c r="B6" s="2" t="s">
        <v>81</v>
      </c>
      <c r="C6" s="56" t="s">
        <v>157</v>
      </c>
      <c r="D6" s="19"/>
      <c r="E6" s="41" t="s">
        <v>158</v>
      </c>
    </row>
    <row r="7" spans="1:6" ht="42" customHeight="1">
      <c r="A7" s="1">
        <v>4</v>
      </c>
      <c r="B7" s="11" t="s">
        <v>251</v>
      </c>
      <c r="C7" s="56" t="s">
        <v>157</v>
      </c>
      <c r="D7" s="19"/>
      <c r="E7" s="41" t="s">
        <v>158</v>
      </c>
    </row>
    <row r="8" spans="1:6" ht="42" customHeight="1">
      <c r="A8" s="1">
        <v>5</v>
      </c>
      <c r="B8" s="2" t="s">
        <v>82</v>
      </c>
      <c r="C8" s="56" t="s">
        <v>157</v>
      </c>
      <c r="D8" s="19"/>
      <c r="E8" s="41" t="s">
        <v>158</v>
      </c>
    </row>
    <row r="9" spans="1:6" ht="42" customHeight="1">
      <c r="A9" s="1">
        <v>6</v>
      </c>
      <c r="B9" s="2"/>
      <c r="C9" s="56" t="s">
        <v>157</v>
      </c>
      <c r="D9" s="19"/>
      <c r="E9" s="41" t="s">
        <v>158</v>
      </c>
    </row>
    <row r="10" spans="1:6" ht="42" customHeight="1">
      <c r="A10" s="1">
        <v>7</v>
      </c>
      <c r="B10" s="2"/>
      <c r="C10" s="56" t="s">
        <v>157</v>
      </c>
      <c r="D10" s="20"/>
      <c r="E10" s="41" t="s">
        <v>158</v>
      </c>
    </row>
    <row r="11" spans="1:6" s="10" customFormat="1" ht="42" customHeight="1">
      <c r="A11" s="1">
        <v>8</v>
      </c>
      <c r="B11" s="14"/>
      <c r="C11" s="56" t="s">
        <v>157</v>
      </c>
      <c r="D11" s="20"/>
      <c r="E11" s="41" t="s">
        <v>158</v>
      </c>
    </row>
    <row r="12" spans="1:6" ht="42" customHeight="1">
      <c r="A12" s="1">
        <v>9</v>
      </c>
      <c r="B12" s="14"/>
      <c r="C12" s="56" t="s">
        <v>157</v>
      </c>
      <c r="D12" s="20"/>
      <c r="E12" s="41" t="s">
        <v>158</v>
      </c>
    </row>
    <row r="13" spans="1:6" ht="42" customHeight="1">
      <c r="A13" s="1">
        <v>10</v>
      </c>
      <c r="B13" s="14"/>
      <c r="C13" s="56" t="s">
        <v>157</v>
      </c>
      <c r="D13" s="20"/>
      <c r="E13" s="41" t="s">
        <v>158</v>
      </c>
    </row>
    <row r="14" spans="1:6" ht="42" customHeight="1">
      <c r="A14" s="1">
        <v>11</v>
      </c>
      <c r="B14" s="14"/>
      <c r="C14" s="56" t="s">
        <v>157</v>
      </c>
      <c r="D14" s="20"/>
      <c r="E14" s="41" t="s">
        <v>158</v>
      </c>
    </row>
    <row r="15" spans="1:6" ht="42" customHeight="1">
      <c r="A15" s="1">
        <v>12</v>
      </c>
      <c r="B15" s="14"/>
      <c r="C15" s="56" t="s">
        <v>157</v>
      </c>
      <c r="D15" s="20"/>
      <c r="E15" s="41" t="s">
        <v>158</v>
      </c>
    </row>
    <row r="16" spans="1:6" ht="42" customHeight="1">
      <c r="A16" s="1">
        <v>13</v>
      </c>
      <c r="B16" s="14"/>
      <c r="C16" s="56" t="s">
        <v>157</v>
      </c>
      <c r="D16" s="20"/>
      <c r="E16" s="41" t="s">
        <v>158</v>
      </c>
    </row>
    <row r="17" spans="1:5" ht="42" customHeight="1">
      <c r="A17" s="1">
        <v>14</v>
      </c>
      <c r="B17" s="14"/>
      <c r="C17" s="56" t="s">
        <v>157</v>
      </c>
      <c r="D17" s="20"/>
      <c r="E17" s="41" t="s">
        <v>158</v>
      </c>
    </row>
    <row r="18" spans="1:5" ht="42" customHeight="1">
      <c r="A18" s="1">
        <v>15</v>
      </c>
      <c r="B18" s="14"/>
      <c r="C18" s="56" t="s">
        <v>157</v>
      </c>
      <c r="D18" s="20"/>
      <c r="E18" s="41" t="s">
        <v>158</v>
      </c>
    </row>
    <row r="19" spans="1:5" ht="42" customHeight="1">
      <c r="A19" s="1">
        <v>16</v>
      </c>
      <c r="B19" s="14"/>
      <c r="C19" s="56" t="s">
        <v>157</v>
      </c>
      <c r="D19" s="20"/>
      <c r="E19" s="41" t="s">
        <v>158</v>
      </c>
    </row>
    <row r="20" spans="1:5" ht="9.75" customHeight="1"/>
    <row r="21" spans="1:5">
      <c r="A21" s="6" t="s">
        <v>11</v>
      </c>
      <c r="B21" s="15" t="s">
        <v>155</v>
      </c>
    </row>
    <row r="22" spans="1:5">
      <c r="A22" s="6"/>
      <c r="B22" s="43" t="str">
        <f>'１区１班'!B22</f>
        <v>所属班の各世帯から聞き取った内容を本用紙に記入し、９月６日の定例会に必ずご持参ください。</v>
      </c>
    </row>
    <row r="23" spans="1:5">
      <c r="A23" s="6"/>
      <c r="B23" s="42" t="str">
        <f>'１区１班'!B23</f>
        <v>※既に対象者氏名が印刷されている方については年齢の記入不要です。</v>
      </c>
    </row>
    <row r="24" spans="1:5" ht="9.75" customHeight="1">
      <c r="A24" s="6"/>
      <c r="B24" s="7"/>
    </row>
    <row r="25" spans="1:5">
      <c r="A25" s="6" t="s">
        <v>11</v>
      </c>
      <c r="B25" s="15" t="s">
        <v>160</v>
      </c>
    </row>
    <row r="26" spans="1:5">
      <c r="A26" s="6"/>
      <c r="B26" s="7" t="str">
        <f>'１区１班'!B26</f>
        <v>① 駒寄町内会会員であること（世帯代表者および同一生計者）</v>
      </c>
    </row>
    <row r="27" spans="1:5">
      <c r="A27" s="6"/>
      <c r="B27" s="42" t="str">
        <f>'１区１班'!B27</f>
        <v>※長期入院、ホーム長期入居者は対象外となります。</v>
      </c>
    </row>
    <row r="28" spans="1:5">
      <c r="A28" s="6"/>
      <c r="B28" s="7" t="str">
        <f>'１区１班'!B28</f>
        <v>② 昭和26年（1951年）12月31日以前生れの方（2026年12月31日時点で75歳以上の方）</v>
      </c>
    </row>
    <row r="29" spans="1:5">
      <c r="A29" s="6"/>
      <c r="B29" s="7" t="str">
        <f>'１区１班'!B29</f>
        <v>③ 敬老の日（9月21日午前中）祝い品（お赤飯を）お受け取り可能な方</v>
      </c>
    </row>
    <row r="30" spans="1:5">
      <c r="A30" s="6"/>
      <c r="B30" s="42" t="str">
        <f>'１区１班'!B30</f>
        <v>※お赤飯は食品につき、当日受け取り可能な方のみを対象とさせていただきます。</v>
      </c>
    </row>
  </sheetData>
  <mergeCells count="3">
    <mergeCell ref="A1:B1"/>
    <mergeCell ref="C1:E1"/>
    <mergeCell ref="C2:D2"/>
  </mergeCells>
  <phoneticPr fontId="4"/>
  <pageMargins left="0.9055118110236221" right="0.51181102362204722" top="0.74803149606299213" bottom="0.55118110236220474" header="0.31496062992125984" footer="0.31496062992125984"/>
  <pageSetup paperSize="9" scale="77" orientation="portrait" r:id="rId1"/>
  <headerFooter>
    <oddHeader>&amp;R&amp;14駒寄町内会</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42FB5-E0D8-4BC0-83DC-FE1CCB0F2E53}">
  <sheetPr>
    <pageSetUpPr fitToPage="1"/>
  </sheetPr>
  <dimension ref="A1:F30"/>
  <sheetViews>
    <sheetView view="pageBreakPreview" zoomScale="60" zoomScaleNormal="100" workbookViewId="0">
      <selection activeCell="H13" sqref="H13"/>
    </sheetView>
  </sheetViews>
  <sheetFormatPr defaultRowHeight="18"/>
  <cols>
    <col min="1" max="1" width="4.5" bestFit="1" customWidth="1"/>
    <col min="2" max="2" width="17.19921875" bestFit="1" customWidth="1"/>
    <col min="3" max="3" width="10.59765625" customWidth="1"/>
    <col min="4" max="4" width="31.69921875" customWidth="1"/>
    <col min="5" max="5" width="39.09765625" customWidth="1"/>
  </cols>
  <sheetData>
    <row r="1" spans="1:6" s="5" customFormat="1" ht="26.4">
      <c r="A1" s="48" t="str" cm="1">
        <f t="array" aca="1" ref="A1" ca="1">MID(CELL("filename",A1),FIND("]",CELL("filename",A1))+1,255)</f>
        <v>２区４班</v>
      </c>
      <c r="B1" s="48"/>
      <c r="C1" s="49" t="str">
        <f>'１区１班'!C1</f>
        <v>Ｒ８年度 敬老祝い品　受取り対象者　聞き取り票</v>
      </c>
      <c r="D1" s="49"/>
      <c r="E1" s="49"/>
      <c r="F1" s="5">
        <v>4</v>
      </c>
    </row>
    <row r="2" spans="1:6">
      <c r="A2" s="4" t="s">
        <v>0</v>
      </c>
      <c r="B2" s="4" t="s">
        <v>10</v>
      </c>
      <c r="C2" s="50" t="s">
        <v>152</v>
      </c>
      <c r="D2" s="51"/>
      <c r="E2" s="4" t="s">
        <v>9</v>
      </c>
    </row>
    <row r="3" spans="1:6" ht="42">
      <c r="A3" s="8">
        <v>0</v>
      </c>
      <c r="B3" s="9" t="s">
        <v>153</v>
      </c>
      <c r="C3" s="59" t="s">
        <v>335</v>
      </c>
      <c r="D3" s="17" t="s">
        <v>309</v>
      </c>
      <c r="E3" s="44" t="s">
        <v>311</v>
      </c>
    </row>
    <row r="4" spans="1:6" ht="42" customHeight="1">
      <c r="A4" s="1">
        <v>1</v>
      </c>
      <c r="B4" s="2" t="s">
        <v>83</v>
      </c>
      <c r="C4" s="56" t="s">
        <v>330</v>
      </c>
      <c r="D4" s="19" t="s">
        <v>203</v>
      </c>
      <c r="E4" s="41" t="s">
        <v>158</v>
      </c>
    </row>
    <row r="5" spans="1:6" ht="42" customHeight="1">
      <c r="A5" s="1">
        <v>2</v>
      </c>
      <c r="B5" s="2" t="s">
        <v>84</v>
      </c>
      <c r="C5" s="56" t="s">
        <v>330</v>
      </c>
      <c r="D5" s="19" t="s">
        <v>204</v>
      </c>
      <c r="E5" s="41" t="s">
        <v>158</v>
      </c>
    </row>
    <row r="6" spans="1:6" ht="42" customHeight="1">
      <c r="A6" s="1">
        <v>3</v>
      </c>
      <c r="B6" s="2" t="s">
        <v>85</v>
      </c>
      <c r="C6" s="56" t="s">
        <v>157</v>
      </c>
      <c r="D6" s="19"/>
      <c r="E6" s="41" t="s">
        <v>158</v>
      </c>
    </row>
    <row r="7" spans="1:6" ht="42" customHeight="1">
      <c r="A7" s="1">
        <v>4</v>
      </c>
      <c r="B7" s="2" t="s">
        <v>86</v>
      </c>
      <c r="C7" s="56" t="s">
        <v>157</v>
      </c>
      <c r="D7" s="19"/>
      <c r="E7" s="41" t="s">
        <v>158</v>
      </c>
    </row>
    <row r="8" spans="1:6" ht="42" customHeight="1">
      <c r="A8" s="1">
        <v>5</v>
      </c>
      <c r="B8" s="11" t="s">
        <v>87</v>
      </c>
      <c r="C8" s="56" t="s">
        <v>330</v>
      </c>
      <c r="D8" s="19" t="s">
        <v>205</v>
      </c>
      <c r="E8" s="41" t="s">
        <v>158</v>
      </c>
    </row>
    <row r="9" spans="1:6" ht="42" customHeight="1">
      <c r="A9" s="1">
        <v>6</v>
      </c>
      <c r="B9" s="2"/>
      <c r="C9" s="56" t="s">
        <v>157</v>
      </c>
      <c r="D9" s="20"/>
      <c r="E9" s="41" t="s">
        <v>158</v>
      </c>
    </row>
    <row r="10" spans="1:6" ht="42" customHeight="1">
      <c r="A10" s="1">
        <v>7</v>
      </c>
      <c r="B10" s="2"/>
      <c r="C10" s="56" t="s">
        <v>157</v>
      </c>
      <c r="D10" s="20"/>
      <c r="E10" s="41" t="s">
        <v>158</v>
      </c>
    </row>
    <row r="11" spans="1:6" s="10" customFormat="1" ht="42" customHeight="1">
      <c r="A11" s="1">
        <v>8</v>
      </c>
      <c r="B11" s="14"/>
      <c r="C11" s="56" t="s">
        <v>157</v>
      </c>
      <c r="D11" s="20"/>
      <c r="E11" s="41" t="s">
        <v>158</v>
      </c>
    </row>
    <row r="12" spans="1:6" ht="42" customHeight="1">
      <c r="A12" s="1">
        <v>9</v>
      </c>
      <c r="B12" s="14"/>
      <c r="C12" s="56" t="s">
        <v>157</v>
      </c>
      <c r="D12" s="20"/>
      <c r="E12" s="41" t="s">
        <v>158</v>
      </c>
    </row>
    <row r="13" spans="1:6" ht="42" customHeight="1">
      <c r="A13" s="1">
        <v>10</v>
      </c>
      <c r="B13" s="14"/>
      <c r="C13" s="56" t="s">
        <v>157</v>
      </c>
      <c r="D13" s="20"/>
      <c r="E13" s="41" t="s">
        <v>158</v>
      </c>
    </row>
    <row r="14" spans="1:6" ht="42" customHeight="1">
      <c r="A14" s="1">
        <v>11</v>
      </c>
      <c r="B14" s="14"/>
      <c r="C14" s="56" t="s">
        <v>157</v>
      </c>
      <c r="D14" s="20"/>
      <c r="E14" s="41" t="s">
        <v>158</v>
      </c>
    </row>
    <row r="15" spans="1:6" ht="42" customHeight="1">
      <c r="A15" s="1">
        <v>12</v>
      </c>
      <c r="B15" s="14"/>
      <c r="C15" s="56" t="s">
        <v>157</v>
      </c>
      <c r="D15" s="20"/>
      <c r="E15" s="41" t="s">
        <v>158</v>
      </c>
    </row>
    <row r="16" spans="1:6" ht="42" customHeight="1">
      <c r="A16" s="1">
        <v>13</v>
      </c>
      <c r="B16" s="14"/>
      <c r="C16" s="56" t="s">
        <v>157</v>
      </c>
      <c r="D16" s="20"/>
      <c r="E16" s="41" t="s">
        <v>158</v>
      </c>
    </row>
    <row r="17" spans="1:5" ht="42" customHeight="1">
      <c r="A17" s="1">
        <v>14</v>
      </c>
      <c r="B17" s="14"/>
      <c r="C17" s="56" t="s">
        <v>157</v>
      </c>
      <c r="D17" s="20"/>
      <c r="E17" s="41" t="s">
        <v>158</v>
      </c>
    </row>
    <row r="18" spans="1:5" ht="42" customHeight="1">
      <c r="A18" s="1">
        <v>15</v>
      </c>
      <c r="B18" s="14"/>
      <c r="C18" s="56" t="s">
        <v>157</v>
      </c>
      <c r="D18" s="20"/>
      <c r="E18" s="41" t="s">
        <v>158</v>
      </c>
    </row>
    <row r="19" spans="1:5" ht="42" customHeight="1">
      <c r="A19" s="1">
        <v>16</v>
      </c>
      <c r="B19" s="14"/>
      <c r="C19" s="56" t="s">
        <v>157</v>
      </c>
      <c r="D19" s="20"/>
      <c r="E19" s="41" t="s">
        <v>158</v>
      </c>
    </row>
    <row r="20" spans="1:5" ht="9.75" customHeight="1"/>
    <row r="21" spans="1:5">
      <c r="A21" s="6" t="s">
        <v>11</v>
      </c>
      <c r="B21" s="15" t="s">
        <v>155</v>
      </c>
    </row>
    <row r="22" spans="1:5">
      <c r="A22" s="6"/>
      <c r="B22" s="43" t="str">
        <f>'１区１班'!B22</f>
        <v>所属班の各世帯から聞き取った内容を本用紙に記入し、９月６日の定例会に必ずご持参ください。</v>
      </c>
    </row>
    <row r="23" spans="1:5">
      <c r="A23" s="6"/>
      <c r="B23" s="42" t="str">
        <f>'１区１班'!B23</f>
        <v>※既に対象者氏名が印刷されている方については年齢の記入不要です。</v>
      </c>
    </row>
    <row r="24" spans="1:5" ht="9.75" customHeight="1">
      <c r="A24" s="6"/>
      <c r="B24" s="7"/>
    </row>
    <row r="25" spans="1:5">
      <c r="A25" s="6" t="s">
        <v>11</v>
      </c>
      <c r="B25" s="15" t="s">
        <v>160</v>
      </c>
    </row>
    <row r="26" spans="1:5">
      <c r="A26" s="6"/>
      <c r="B26" s="7" t="str">
        <f>'１区１班'!B26</f>
        <v>① 駒寄町内会会員であること（世帯代表者および同一生計者）</v>
      </c>
    </row>
    <row r="27" spans="1:5">
      <c r="A27" s="6"/>
      <c r="B27" s="42" t="str">
        <f>'１区１班'!B27</f>
        <v>※長期入院、ホーム長期入居者は対象外となります。</v>
      </c>
    </row>
    <row r="28" spans="1:5">
      <c r="A28" s="6"/>
      <c r="B28" s="7" t="str">
        <f>'１区１班'!B28</f>
        <v>② 昭和26年（1951年）12月31日以前生れの方（2026年12月31日時点で75歳以上の方）</v>
      </c>
    </row>
    <row r="29" spans="1:5">
      <c r="A29" s="6"/>
      <c r="B29" s="7" t="str">
        <f>'１区１班'!B29</f>
        <v>③ 敬老の日（9月21日午前中）祝い品（お赤飯を）お受け取り可能な方</v>
      </c>
    </row>
    <row r="30" spans="1:5">
      <c r="A30" s="6"/>
      <c r="B30" s="42" t="str">
        <f>'１区１班'!B30</f>
        <v>※お赤飯は食品につき、当日受け取り可能な方のみを対象とさせていただきます。</v>
      </c>
    </row>
  </sheetData>
  <mergeCells count="3">
    <mergeCell ref="A1:B1"/>
    <mergeCell ref="C1:E1"/>
    <mergeCell ref="C2:D2"/>
  </mergeCells>
  <phoneticPr fontId="4"/>
  <pageMargins left="0.9055118110236221" right="0.51181102362204722" top="0.74803149606299213" bottom="0.55118110236220474" header="0.31496062992125984" footer="0.31496062992125984"/>
  <pageSetup paperSize="9" scale="77" orientation="portrait" r:id="rId1"/>
  <headerFooter>
    <oddHeader>&amp;R&amp;14駒寄町内会</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B8908-CAED-4AE0-B387-EB52FB7AFE0B}">
  <sheetPr>
    <pageSetUpPr fitToPage="1"/>
  </sheetPr>
  <dimension ref="A1:F30"/>
  <sheetViews>
    <sheetView view="pageBreakPreview" zoomScale="60" zoomScaleNormal="100" workbookViewId="0">
      <selection activeCell="D7" sqref="C7:D7"/>
    </sheetView>
  </sheetViews>
  <sheetFormatPr defaultRowHeight="18"/>
  <cols>
    <col min="1" max="1" width="4.5" bestFit="1" customWidth="1"/>
    <col min="2" max="2" width="17.19921875" bestFit="1" customWidth="1"/>
    <col min="3" max="3" width="10.59765625" customWidth="1"/>
    <col min="4" max="4" width="31.69921875" customWidth="1"/>
    <col min="5" max="5" width="39.09765625" customWidth="1"/>
  </cols>
  <sheetData>
    <row r="1" spans="1:6" s="5" customFormat="1" ht="26.4">
      <c r="A1" s="48" t="str" cm="1">
        <f t="array" aca="1" ref="A1" ca="1">MID(CELL("filename",A1),FIND("]",CELL("filename",A1))+1,255)</f>
        <v>２区５班</v>
      </c>
      <c r="B1" s="48"/>
      <c r="C1" s="49" t="str">
        <f>'１区１班'!C1</f>
        <v>Ｒ８年度 敬老祝い品　受取り対象者　聞き取り票</v>
      </c>
      <c r="D1" s="49"/>
      <c r="E1" s="49"/>
      <c r="F1" s="5">
        <v>4</v>
      </c>
    </row>
    <row r="2" spans="1:6">
      <c r="A2" s="4" t="s">
        <v>0</v>
      </c>
      <c r="B2" s="4" t="s">
        <v>10</v>
      </c>
      <c r="C2" s="50" t="s">
        <v>152</v>
      </c>
      <c r="D2" s="51"/>
      <c r="E2" s="4" t="s">
        <v>9</v>
      </c>
    </row>
    <row r="3" spans="1:6" ht="42">
      <c r="A3" s="8">
        <v>0</v>
      </c>
      <c r="B3" s="9" t="s">
        <v>153</v>
      </c>
      <c r="C3" s="59" t="s">
        <v>335</v>
      </c>
      <c r="D3" s="17" t="s">
        <v>309</v>
      </c>
      <c r="E3" s="44" t="s">
        <v>311</v>
      </c>
    </row>
    <row r="4" spans="1:6" ht="42" customHeight="1">
      <c r="A4" s="1">
        <v>1</v>
      </c>
      <c r="B4" s="2" t="s">
        <v>88</v>
      </c>
      <c r="C4" s="56" t="s">
        <v>157</v>
      </c>
      <c r="D4" s="19"/>
      <c r="E4" s="41" t="s">
        <v>158</v>
      </c>
    </row>
    <row r="5" spans="1:6" ht="42" customHeight="1">
      <c r="A5" s="1">
        <v>2</v>
      </c>
      <c r="B5" s="2" t="s">
        <v>89</v>
      </c>
      <c r="C5" s="56" t="s">
        <v>157</v>
      </c>
      <c r="D5" s="19"/>
      <c r="E5" s="41" t="s">
        <v>158</v>
      </c>
    </row>
    <row r="6" spans="1:6" ht="42" customHeight="1">
      <c r="A6" s="1">
        <v>3</v>
      </c>
      <c r="B6" s="2" t="s">
        <v>90</v>
      </c>
      <c r="C6" s="56" t="s">
        <v>330</v>
      </c>
      <c r="D6" s="19" t="s">
        <v>206</v>
      </c>
      <c r="E6" s="41" t="s">
        <v>158</v>
      </c>
    </row>
    <row r="7" spans="1:6" ht="42" customHeight="1">
      <c r="A7" s="1">
        <v>4</v>
      </c>
      <c r="B7" s="2" t="s">
        <v>91</v>
      </c>
      <c r="C7" s="61" t="s">
        <v>331</v>
      </c>
      <c r="D7" s="62" t="s">
        <v>275</v>
      </c>
      <c r="E7" s="41" t="s">
        <v>325</v>
      </c>
    </row>
    <row r="8" spans="1:6" ht="42" customHeight="1">
      <c r="A8" s="1">
        <v>5</v>
      </c>
      <c r="B8" s="11" t="s">
        <v>92</v>
      </c>
      <c r="C8" s="56" t="s">
        <v>330</v>
      </c>
      <c r="D8" s="19" t="s">
        <v>207</v>
      </c>
      <c r="E8" s="41" t="s">
        <v>158</v>
      </c>
    </row>
    <row r="9" spans="1:6" ht="42" customHeight="1">
      <c r="A9" s="1">
        <v>6</v>
      </c>
      <c r="B9" s="2" t="s">
        <v>93</v>
      </c>
      <c r="C9" s="56" t="s">
        <v>157</v>
      </c>
      <c r="D9" s="19"/>
      <c r="E9" s="41" t="s">
        <v>158</v>
      </c>
    </row>
    <row r="10" spans="1:6" ht="42" customHeight="1">
      <c r="A10" s="1">
        <v>7</v>
      </c>
      <c r="B10" s="14" t="s">
        <v>94</v>
      </c>
      <c r="C10" s="56" t="s">
        <v>330</v>
      </c>
      <c r="D10" s="19" t="s">
        <v>208</v>
      </c>
      <c r="E10" s="41" t="s">
        <v>326</v>
      </c>
    </row>
    <row r="11" spans="1:6" s="10" customFormat="1" ht="42" customHeight="1">
      <c r="A11" s="1">
        <v>8</v>
      </c>
      <c r="B11" s="14" t="s">
        <v>95</v>
      </c>
      <c r="C11" s="56" t="s">
        <v>157</v>
      </c>
      <c r="D11" s="47" t="s">
        <v>327</v>
      </c>
      <c r="E11" s="41" t="s">
        <v>158</v>
      </c>
    </row>
    <row r="12" spans="1:6" ht="42" customHeight="1">
      <c r="A12" s="1">
        <v>9</v>
      </c>
      <c r="B12" s="14"/>
      <c r="C12" s="56" t="s">
        <v>157</v>
      </c>
      <c r="D12" s="19"/>
      <c r="E12" s="41" t="s">
        <v>158</v>
      </c>
    </row>
    <row r="13" spans="1:6" ht="42" customHeight="1">
      <c r="A13" s="1">
        <v>10</v>
      </c>
      <c r="B13" s="14"/>
      <c r="C13" s="56" t="s">
        <v>157</v>
      </c>
      <c r="D13" s="20"/>
      <c r="E13" s="41" t="s">
        <v>158</v>
      </c>
    </row>
    <row r="14" spans="1:6" ht="42" customHeight="1">
      <c r="A14" s="1">
        <v>11</v>
      </c>
      <c r="B14" s="14"/>
      <c r="C14" s="56" t="s">
        <v>157</v>
      </c>
      <c r="D14" s="20"/>
      <c r="E14" s="41" t="s">
        <v>158</v>
      </c>
    </row>
    <row r="15" spans="1:6" ht="42" customHeight="1">
      <c r="A15" s="1">
        <v>12</v>
      </c>
      <c r="B15" s="14"/>
      <c r="C15" s="56" t="s">
        <v>157</v>
      </c>
      <c r="D15" s="20"/>
      <c r="E15" s="41" t="s">
        <v>158</v>
      </c>
    </row>
    <row r="16" spans="1:6" ht="42" customHeight="1">
      <c r="A16" s="1">
        <v>13</v>
      </c>
      <c r="B16" s="14"/>
      <c r="C16" s="56" t="s">
        <v>157</v>
      </c>
      <c r="D16" s="20"/>
      <c r="E16" s="41" t="s">
        <v>158</v>
      </c>
    </row>
    <row r="17" spans="1:5" ht="42" customHeight="1">
      <c r="A17" s="1">
        <v>14</v>
      </c>
      <c r="B17" s="14"/>
      <c r="C17" s="56" t="s">
        <v>157</v>
      </c>
      <c r="D17" s="20"/>
      <c r="E17" s="41" t="s">
        <v>158</v>
      </c>
    </row>
    <row r="18" spans="1:5" ht="42" customHeight="1">
      <c r="A18" s="1">
        <v>15</v>
      </c>
      <c r="B18" s="14"/>
      <c r="C18" s="56" t="s">
        <v>157</v>
      </c>
      <c r="D18" s="20"/>
      <c r="E18" s="41" t="s">
        <v>158</v>
      </c>
    </row>
    <row r="19" spans="1:5" ht="42" customHeight="1">
      <c r="A19" s="1">
        <v>16</v>
      </c>
      <c r="B19" s="14"/>
      <c r="C19" s="56" t="s">
        <v>157</v>
      </c>
      <c r="D19" s="20"/>
      <c r="E19" s="41" t="s">
        <v>158</v>
      </c>
    </row>
    <row r="20" spans="1:5" ht="9.75" customHeight="1"/>
    <row r="21" spans="1:5">
      <c r="A21" s="6" t="s">
        <v>11</v>
      </c>
      <c r="B21" s="15" t="s">
        <v>155</v>
      </c>
    </row>
    <row r="22" spans="1:5">
      <c r="A22" s="6"/>
      <c r="B22" s="43" t="str">
        <f>'１区１班'!B22</f>
        <v>所属班の各世帯から聞き取った内容を本用紙に記入し、９月６日の定例会に必ずご持参ください。</v>
      </c>
    </row>
    <row r="23" spans="1:5">
      <c r="A23" s="6"/>
      <c r="B23" s="42" t="str">
        <f>'１区１班'!B23</f>
        <v>※既に対象者氏名が印刷されている方については年齢の記入不要です。</v>
      </c>
    </row>
    <row r="24" spans="1:5" ht="9.75" customHeight="1">
      <c r="A24" s="6"/>
      <c r="B24" s="7"/>
    </row>
    <row r="25" spans="1:5">
      <c r="A25" s="6" t="s">
        <v>11</v>
      </c>
      <c r="B25" s="15" t="s">
        <v>160</v>
      </c>
    </row>
    <row r="26" spans="1:5">
      <c r="A26" s="6"/>
      <c r="B26" s="7" t="str">
        <f>'１区１班'!B26</f>
        <v>① 駒寄町内会会員であること（世帯代表者および同一生計者）</v>
      </c>
    </row>
    <row r="27" spans="1:5">
      <c r="A27" s="6"/>
      <c r="B27" s="42" t="str">
        <f>'１区１班'!B27</f>
        <v>※長期入院、ホーム長期入居者は対象外となります。</v>
      </c>
    </row>
    <row r="28" spans="1:5">
      <c r="A28" s="6"/>
      <c r="B28" s="7" t="str">
        <f>'１区１班'!B28</f>
        <v>② 昭和26年（1951年）12月31日以前生れの方（2026年12月31日時点で75歳以上の方）</v>
      </c>
    </row>
    <row r="29" spans="1:5">
      <c r="A29" s="6"/>
      <c r="B29" s="7" t="str">
        <f>'１区１班'!B29</f>
        <v>③ 敬老の日（9月21日午前中）祝い品（お赤飯を）お受け取り可能な方</v>
      </c>
    </row>
    <row r="30" spans="1:5">
      <c r="A30" s="6"/>
      <c r="B30" s="42" t="str">
        <f>'１区１班'!B30</f>
        <v>※お赤飯は食品につき、当日受け取り可能な方のみを対象とさせていただきます。</v>
      </c>
    </row>
  </sheetData>
  <mergeCells count="3">
    <mergeCell ref="A1:B1"/>
    <mergeCell ref="C1:E1"/>
    <mergeCell ref="C2:D2"/>
  </mergeCells>
  <phoneticPr fontId="4"/>
  <pageMargins left="0.9055118110236221" right="0.51181102362204722" top="0.74803149606299213" bottom="0.55118110236220474" header="0.31496062992125984" footer="0.31496062992125984"/>
  <pageSetup paperSize="9" scale="77" orientation="portrait" r:id="rId1"/>
  <headerFooter>
    <oddHeader>&amp;R&amp;14駒寄町内会</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37550-1603-422E-BCEB-EC2AC78F973A}">
  <sheetPr>
    <pageSetUpPr fitToPage="1"/>
  </sheetPr>
  <dimension ref="A1:F30"/>
  <sheetViews>
    <sheetView view="pageBreakPreview" zoomScale="60" zoomScaleNormal="100" workbookViewId="0">
      <selection activeCell="H13" sqref="H13"/>
    </sheetView>
  </sheetViews>
  <sheetFormatPr defaultRowHeight="18"/>
  <cols>
    <col min="1" max="1" width="4.5" bestFit="1" customWidth="1"/>
    <col min="2" max="2" width="17.19921875" bestFit="1" customWidth="1"/>
    <col min="3" max="3" width="10.59765625" customWidth="1"/>
    <col min="4" max="4" width="31.69921875" customWidth="1"/>
    <col min="5" max="5" width="39.09765625" customWidth="1"/>
  </cols>
  <sheetData>
    <row r="1" spans="1:6" s="5" customFormat="1" ht="26.4">
      <c r="A1" s="48" t="str" cm="1">
        <f t="array" aca="1" ref="A1" ca="1">MID(CELL("filename",A1),FIND("]",CELL("filename",A1))+1,255)</f>
        <v>２区６班</v>
      </c>
      <c r="B1" s="48"/>
      <c r="C1" s="49" t="str">
        <f>'１区１班'!C1</f>
        <v>Ｒ８年度 敬老祝い品　受取り対象者　聞き取り票</v>
      </c>
      <c r="D1" s="49"/>
      <c r="E1" s="49"/>
      <c r="F1" s="5">
        <v>5</v>
      </c>
    </row>
    <row r="2" spans="1:6">
      <c r="A2" s="4" t="s">
        <v>0</v>
      </c>
      <c r="B2" s="4" t="s">
        <v>10</v>
      </c>
      <c r="C2" s="50" t="s">
        <v>152</v>
      </c>
      <c r="D2" s="51"/>
      <c r="E2" s="4" t="s">
        <v>9</v>
      </c>
    </row>
    <row r="3" spans="1:6" ht="42">
      <c r="A3" s="8">
        <v>0</v>
      </c>
      <c r="B3" s="9" t="s">
        <v>153</v>
      </c>
      <c r="C3" s="59" t="s">
        <v>335</v>
      </c>
      <c r="D3" s="17" t="s">
        <v>309</v>
      </c>
      <c r="E3" s="44" t="s">
        <v>311</v>
      </c>
    </row>
    <row r="4" spans="1:6" ht="42" customHeight="1">
      <c r="A4" s="1">
        <v>1</v>
      </c>
      <c r="B4" s="2" t="s">
        <v>96</v>
      </c>
      <c r="C4" s="56" t="s">
        <v>330</v>
      </c>
      <c r="D4" s="19" t="s">
        <v>209</v>
      </c>
      <c r="E4" s="41" t="s">
        <v>158</v>
      </c>
    </row>
    <row r="5" spans="1:6" ht="42" customHeight="1">
      <c r="A5" s="1">
        <v>2</v>
      </c>
      <c r="B5" s="2" t="s">
        <v>97</v>
      </c>
      <c r="C5" s="56" t="s">
        <v>330</v>
      </c>
      <c r="D5" s="19" t="s">
        <v>210</v>
      </c>
      <c r="E5" s="41" t="s">
        <v>158</v>
      </c>
    </row>
    <row r="6" spans="1:6" ht="42" customHeight="1">
      <c r="A6" s="1">
        <v>3</v>
      </c>
      <c r="B6" s="2" t="s">
        <v>252</v>
      </c>
      <c r="C6" s="56" t="s">
        <v>157</v>
      </c>
      <c r="D6" s="19"/>
      <c r="E6" s="41" t="s">
        <v>158</v>
      </c>
    </row>
    <row r="7" spans="1:6" ht="42" customHeight="1">
      <c r="A7" s="1">
        <v>4</v>
      </c>
      <c r="B7" s="2" t="s">
        <v>98</v>
      </c>
      <c r="C7" s="56" t="s">
        <v>330</v>
      </c>
      <c r="D7" s="19" t="s">
        <v>211</v>
      </c>
      <c r="E7" s="41" t="s">
        <v>158</v>
      </c>
    </row>
    <row r="8" spans="1:6" ht="42" customHeight="1">
      <c r="A8" s="1">
        <v>5</v>
      </c>
      <c r="B8" s="11" t="s">
        <v>99</v>
      </c>
      <c r="C8" s="56" t="s">
        <v>157</v>
      </c>
      <c r="D8" s="19"/>
      <c r="E8" s="41" t="s">
        <v>158</v>
      </c>
    </row>
    <row r="9" spans="1:6" ht="42" customHeight="1">
      <c r="A9" s="1">
        <v>6</v>
      </c>
      <c r="B9" s="2" t="s">
        <v>100</v>
      </c>
      <c r="C9" s="56" t="s">
        <v>157</v>
      </c>
      <c r="D9" s="19"/>
      <c r="E9" s="41" t="s">
        <v>158</v>
      </c>
    </row>
    <row r="10" spans="1:6" ht="42" customHeight="1">
      <c r="A10" s="1">
        <v>7</v>
      </c>
      <c r="B10" s="2" t="s">
        <v>253</v>
      </c>
      <c r="C10" s="56" t="s">
        <v>157</v>
      </c>
      <c r="D10" s="20"/>
      <c r="E10" s="41" t="s">
        <v>158</v>
      </c>
    </row>
    <row r="11" spans="1:6" s="10" customFormat="1" ht="42" customHeight="1">
      <c r="A11" s="1">
        <v>8</v>
      </c>
      <c r="B11" s="14"/>
      <c r="C11" s="56" t="s">
        <v>157</v>
      </c>
      <c r="D11" s="20"/>
      <c r="E11" s="41" t="s">
        <v>158</v>
      </c>
    </row>
    <row r="12" spans="1:6" ht="42" customHeight="1">
      <c r="A12" s="1">
        <v>9</v>
      </c>
      <c r="B12" s="14"/>
      <c r="C12" s="56" t="s">
        <v>157</v>
      </c>
      <c r="D12" s="20"/>
      <c r="E12" s="41" t="s">
        <v>158</v>
      </c>
    </row>
    <row r="13" spans="1:6" ht="42" customHeight="1">
      <c r="A13" s="1">
        <v>10</v>
      </c>
      <c r="B13" s="14"/>
      <c r="C13" s="56" t="s">
        <v>157</v>
      </c>
      <c r="D13" s="20"/>
      <c r="E13" s="41" t="s">
        <v>158</v>
      </c>
    </row>
    <row r="14" spans="1:6" ht="42" customHeight="1">
      <c r="A14" s="1">
        <v>11</v>
      </c>
      <c r="B14" s="14"/>
      <c r="C14" s="56" t="s">
        <v>157</v>
      </c>
      <c r="D14" s="20"/>
      <c r="E14" s="41" t="s">
        <v>158</v>
      </c>
    </row>
    <row r="15" spans="1:6" ht="42" customHeight="1">
      <c r="A15" s="1">
        <v>12</v>
      </c>
      <c r="B15" s="14"/>
      <c r="C15" s="56" t="s">
        <v>157</v>
      </c>
      <c r="D15" s="20"/>
      <c r="E15" s="41" t="s">
        <v>158</v>
      </c>
    </row>
    <row r="16" spans="1:6" ht="42" customHeight="1">
      <c r="A16" s="1">
        <v>13</v>
      </c>
      <c r="B16" s="14"/>
      <c r="C16" s="56" t="s">
        <v>157</v>
      </c>
      <c r="D16" s="20"/>
      <c r="E16" s="41" t="s">
        <v>158</v>
      </c>
    </row>
    <row r="17" spans="1:5" ht="42" customHeight="1">
      <c r="A17" s="1">
        <v>14</v>
      </c>
      <c r="B17" s="14"/>
      <c r="C17" s="56" t="s">
        <v>157</v>
      </c>
      <c r="D17" s="20"/>
      <c r="E17" s="41" t="s">
        <v>158</v>
      </c>
    </row>
    <row r="18" spans="1:5" ht="42" customHeight="1">
      <c r="A18" s="1">
        <v>15</v>
      </c>
      <c r="B18" s="14"/>
      <c r="C18" s="56" t="s">
        <v>157</v>
      </c>
      <c r="D18" s="20"/>
      <c r="E18" s="41" t="s">
        <v>158</v>
      </c>
    </row>
    <row r="19" spans="1:5" ht="42" customHeight="1">
      <c r="A19" s="1">
        <v>16</v>
      </c>
      <c r="B19" s="14"/>
      <c r="C19" s="56" t="s">
        <v>157</v>
      </c>
      <c r="D19" s="20"/>
      <c r="E19" s="41" t="s">
        <v>158</v>
      </c>
    </row>
    <row r="20" spans="1:5" ht="9.75" customHeight="1"/>
    <row r="21" spans="1:5">
      <c r="A21" s="6" t="s">
        <v>11</v>
      </c>
      <c r="B21" s="15" t="s">
        <v>155</v>
      </c>
    </row>
    <row r="22" spans="1:5">
      <c r="A22" s="6"/>
      <c r="B22" s="43" t="str">
        <f>'１区１班'!B22</f>
        <v>所属班の各世帯から聞き取った内容を本用紙に記入し、９月６日の定例会に必ずご持参ください。</v>
      </c>
    </row>
    <row r="23" spans="1:5">
      <c r="A23" s="6"/>
      <c r="B23" s="42" t="str">
        <f>'１区１班'!B23</f>
        <v>※既に対象者氏名が印刷されている方については年齢の記入不要です。</v>
      </c>
    </row>
    <row r="24" spans="1:5" ht="9.75" customHeight="1">
      <c r="A24" s="6"/>
      <c r="B24" s="7"/>
    </row>
    <row r="25" spans="1:5">
      <c r="A25" s="6" t="s">
        <v>11</v>
      </c>
      <c r="B25" s="15" t="s">
        <v>160</v>
      </c>
    </row>
    <row r="26" spans="1:5">
      <c r="A26" s="6"/>
      <c r="B26" s="7" t="str">
        <f>'１区１班'!B26</f>
        <v>① 駒寄町内会会員であること（世帯代表者および同一生計者）</v>
      </c>
    </row>
    <row r="27" spans="1:5">
      <c r="A27" s="6"/>
      <c r="B27" s="42" t="str">
        <f>'１区１班'!B27</f>
        <v>※長期入院、ホーム長期入居者は対象外となります。</v>
      </c>
    </row>
    <row r="28" spans="1:5">
      <c r="A28" s="6"/>
      <c r="B28" s="7" t="str">
        <f>'１区１班'!B28</f>
        <v>② 昭和26年（1951年）12月31日以前生れの方（2026年12月31日時点で75歳以上の方）</v>
      </c>
    </row>
    <row r="29" spans="1:5">
      <c r="A29" s="6"/>
      <c r="B29" s="7" t="str">
        <f>'１区１班'!B29</f>
        <v>③ 敬老の日（9月21日午前中）祝い品（お赤飯を）お受け取り可能な方</v>
      </c>
    </row>
    <row r="30" spans="1:5">
      <c r="A30" s="6"/>
      <c r="B30" s="42" t="str">
        <f>'１区１班'!B30</f>
        <v>※お赤飯は食品につき、当日受け取り可能な方のみを対象とさせていただきます。</v>
      </c>
    </row>
  </sheetData>
  <mergeCells count="3">
    <mergeCell ref="A1:B1"/>
    <mergeCell ref="C1:E1"/>
    <mergeCell ref="C2:D2"/>
  </mergeCells>
  <phoneticPr fontId="4"/>
  <pageMargins left="0.9055118110236221" right="0.51181102362204722" top="0.74803149606299213" bottom="0.55118110236220474" header="0.31496062992125984" footer="0.31496062992125984"/>
  <pageSetup paperSize="9" scale="77" orientation="portrait" r:id="rId1"/>
  <headerFooter>
    <oddHeader>&amp;R&amp;14駒寄町内会</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F693C-1D11-4F7C-A54B-AC89C5C90F10}">
  <sheetPr>
    <pageSetUpPr fitToPage="1"/>
  </sheetPr>
  <dimension ref="A1:F30"/>
  <sheetViews>
    <sheetView view="pageBreakPreview" zoomScale="60" zoomScaleNormal="100" workbookViewId="0">
      <selection activeCell="D9" sqref="C9:D9"/>
    </sheetView>
  </sheetViews>
  <sheetFormatPr defaultRowHeight="18"/>
  <cols>
    <col min="1" max="1" width="4.5" bestFit="1" customWidth="1"/>
    <col min="2" max="2" width="17.19921875" bestFit="1" customWidth="1"/>
    <col min="3" max="3" width="10.59765625" customWidth="1"/>
    <col min="4" max="4" width="31.69921875" customWidth="1"/>
    <col min="5" max="5" width="39.09765625" customWidth="1"/>
  </cols>
  <sheetData>
    <row r="1" spans="1:6" s="5" customFormat="1" ht="26.4">
      <c r="A1" s="48" t="str" cm="1">
        <f t="array" aca="1" ref="A1" ca="1">MID(CELL("filename",A1),FIND("]",CELL("filename",A1))+1,255)</f>
        <v>２区７班</v>
      </c>
      <c r="B1" s="48"/>
      <c r="C1" s="49" t="str">
        <f>'１区１班'!C1</f>
        <v>Ｒ８年度 敬老祝い品　受取り対象者　聞き取り票</v>
      </c>
      <c r="D1" s="49"/>
      <c r="E1" s="49"/>
      <c r="F1" s="5">
        <v>5</v>
      </c>
    </row>
    <row r="2" spans="1:6">
      <c r="A2" s="4" t="s">
        <v>0</v>
      </c>
      <c r="B2" s="4" t="s">
        <v>10</v>
      </c>
      <c r="C2" s="50" t="s">
        <v>152</v>
      </c>
      <c r="D2" s="51"/>
      <c r="E2" s="4" t="s">
        <v>9</v>
      </c>
    </row>
    <row r="3" spans="1:6" ht="42">
      <c r="A3" s="8">
        <v>0</v>
      </c>
      <c r="B3" s="9" t="s">
        <v>153</v>
      </c>
      <c r="C3" s="59" t="s">
        <v>335</v>
      </c>
      <c r="D3" s="17" t="s">
        <v>309</v>
      </c>
      <c r="E3" s="44" t="s">
        <v>311</v>
      </c>
    </row>
    <row r="4" spans="1:6" ht="42" customHeight="1">
      <c r="A4" s="1">
        <v>1</v>
      </c>
      <c r="B4" s="2" t="s">
        <v>101</v>
      </c>
      <c r="C4" s="56" t="s">
        <v>157</v>
      </c>
      <c r="D4" s="19"/>
      <c r="E4" s="41" t="s">
        <v>158</v>
      </c>
    </row>
    <row r="5" spans="1:6" ht="42" customHeight="1">
      <c r="A5" s="1">
        <v>2</v>
      </c>
      <c r="B5" s="2" t="s">
        <v>102</v>
      </c>
      <c r="C5" s="56" t="s">
        <v>157</v>
      </c>
      <c r="D5" s="19"/>
      <c r="E5" s="41" t="s">
        <v>158</v>
      </c>
    </row>
    <row r="6" spans="1:6" ht="42" customHeight="1">
      <c r="A6" s="1">
        <v>3</v>
      </c>
      <c r="B6" s="2" t="s">
        <v>103</v>
      </c>
      <c r="C6" s="56" t="s">
        <v>330</v>
      </c>
      <c r="D6" s="19" t="s">
        <v>212</v>
      </c>
      <c r="E6" s="41" t="s">
        <v>329</v>
      </c>
    </row>
    <row r="7" spans="1:6" ht="42" customHeight="1">
      <c r="A7" s="1">
        <v>4</v>
      </c>
      <c r="B7" s="2" t="s">
        <v>104</v>
      </c>
      <c r="C7" s="56" t="s">
        <v>330</v>
      </c>
      <c r="D7" s="19" t="s">
        <v>213</v>
      </c>
      <c r="E7" s="41" t="s">
        <v>329</v>
      </c>
    </row>
    <row r="8" spans="1:6" ht="42" customHeight="1">
      <c r="A8" s="1">
        <v>5</v>
      </c>
      <c r="B8" s="11" t="s">
        <v>105</v>
      </c>
      <c r="C8" s="56" t="s">
        <v>157</v>
      </c>
      <c r="D8" s="19"/>
      <c r="E8" s="41" t="s">
        <v>158</v>
      </c>
    </row>
    <row r="9" spans="1:6" ht="42" customHeight="1">
      <c r="A9" s="1">
        <v>6</v>
      </c>
      <c r="B9" s="2" t="s">
        <v>106</v>
      </c>
      <c r="C9" s="61" t="s">
        <v>331</v>
      </c>
      <c r="D9" s="60" t="s">
        <v>214</v>
      </c>
      <c r="E9" s="41" t="s">
        <v>328</v>
      </c>
    </row>
    <row r="10" spans="1:6" ht="42" customHeight="1">
      <c r="A10" s="1">
        <v>7</v>
      </c>
      <c r="B10" s="2" t="s">
        <v>107</v>
      </c>
      <c r="C10" s="56" t="s">
        <v>330</v>
      </c>
      <c r="D10" s="19" t="s">
        <v>215</v>
      </c>
      <c r="E10" s="41" t="s">
        <v>158</v>
      </c>
    </row>
    <row r="11" spans="1:6" s="10" customFormat="1" ht="42" customHeight="1">
      <c r="A11" s="1">
        <v>8</v>
      </c>
      <c r="B11" s="14" t="s">
        <v>108</v>
      </c>
      <c r="C11" s="56" t="s">
        <v>157</v>
      </c>
      <c r="D11" s="19"/>
      <c r="E11" s="41" t="s">
        <v>158</v>
      </c>
    </row>
    <row r="12" spans="1:6" ht="42" customHeight="1">
      <c r="A12" s="1">
        <v>9</v>
      </c>
      <c r="B12" s="14" t="s">
        <v>109</v>
      </c>
      <c r="C12" s="56" t="s">
        <v>157</v>
      </c>
      <c r="D12" s="19"/>
      <c r="E12" s="41" t="s">
        <v>158</v>
      </c>
    </row>
    <row r="13" spans="1:6" ht="42" customHeight="1">
      <c r="A13" s="1">
        <v>10</v>
      </c>
      <c r="B13" s="14"/>
      <c r="C13" s="56" t="s">
        <v>157</v>
      </c>
      <c r="D13" s="19"/>
      <c r="E13" s="41" t="s">
        <v>158</v>
      </c>
    </row>
    <row r="14" spans="1:6" ht="42" customHeight="1">
      <c r="A14" s="1">
        <v>11</v>
      </c>
      <c r="B14" s="14"/>
      <c r="C14" s="56" t="s">
        <v>157</v>
      </c>
      <c r="D14" s="19"/>
      <c r="E14" s="41" t="s">
        <v>158</v>
      </c>
    </row>
    <row r="15" spans="1:6" ht="42" customHeight="1">
      <c r="A15" s="1">
        <v>12</v>
      </c>
      <c r="B15" s="14"/>
      <c r="C15" s="56" t="s">
        <v>157</v>
      </c>
      <c r="D15" s="20"/>
      <c r="E15" s="41" t="s">
        <v>158</v>
      </c>
    </row>
    <row r="16" spans="1:6" ht="42" customHeight="1">
      <c r="A16" s="1">
        <v>13</v>
      </c>
      <c r="B16" s="14"/>
      <c r="C16" s="56" t="s">
        <v>157</v>
      </c>
      <c r="D16" s="20"/>
      <c r="E16" s="41" t="s">
        <v>158</v>
      </c>
    </row>
    <row r="17" spans="1:5" ht="42" customHeight="1">
      <c r="A17" s="1">
        <v>14</v>
      </c>
      <c r="B17" s="14"/>
      <c r="C17" s="56" t="s">
        <v>157</v>
      </c>
      <c r="D17" s="20"/>
      <c r="E17" s="41" t="s">
        <v>158</v>
      </c>
    </row>
    <row r="18" spans="1:5" ht="42" customHeight="1">
      <c r="A18" s="1">
        <v>15</v>
      </c>
      <c r="B18" s="14"/>
      <c r="C18" s="56" t="s">
        <v>157</v>
      </c>
      <c r="D18" s="20"/>
      <c r="E18" s="41" t="s">
        <v>158</v>
      </c>
    </row>
    <row r="19" spans="1:5" ht="42" customHeight="1">
      <c r="A19" s="1">
        <v>16</v>
      </c>
      <c r="B19" s="14"/>
      <c r="C19" s="56" t="s">
        <v>157</v>
      </c>
      <c r="D19" s="20"/>
      <c r="E19" s="41" t="s">
        <v>158</v>
      </c>
    </row>
    <row r="20" spans="1:5" ht="9.75" customHeight="1"/>
    <row r="21" spans="1:5">
      <c r="A21" s="6" t="s">
        <v>11</v>
      </c>
      <c r="B21" s="15" t="s">
        <v>155</v>
      </c>
    </row>
    <row r="22" spans="1:5">
      <c r="A22" s="6"/>
      <c r="B22" s="43" t="str">
        <f>'１区１班'!B22</f>
        <v>所属班の各世帯から聞き取った内容を本用紙に記入し、９月６日の定例会に必ずご持参ください。</v>
      </c>
    </row>
    <row r="23" spans="1:5">
      <c r="A23" s="6"/>
      <c r="B23" s="42" t="str">
        <f>'１区１班'!B23</f>
        <v>※既に対象者氏名が印刷されている方については年齢の記入不要です。</v>
      </c>
    </row>
    <row r="24" spans="1:5" ht="9.75" customHeight="1">
      <c r="A24" s="6"/>
      <c r="B24" s="7"/>
    </row>
    <row r="25" spans="1:5">
      <c r="A25" s="6" t="s">
        <v>11</v>
      </c>
      <c r="B25" s="15" t="s">
        <v>160</v>
      </c>
    </row>
    <row r="26" spans="1:5">
      <c r="A26" s="6"/>
      <c r="B26" s="7" t="str">
        <f>'１区１班'!B26</f>
        <v>① 駒寄町内会会員であること（世帯代表者および同一生計者）</v>
      </c>
    </row>
    <row r="27" spans="1:5">
      <c r="A27" s="6"/>
      <c r="B27" s="42" t="str">
        <f>'１区１班'!B27</f>
        <v>※長期入院、ホーム長期入居者は対象外となります。</v>
      </c>
    </row>
    <row r="28" spans="1:5">
      <c r="A28" s="6"/>
      <c r="B28" s="7" t="str">
        <f>'１区１班'!B28</f>
        <v>② 昭和26年（1951年）12月31日以前生れの方（2026年12月31日時点で75歳以上の方）</v>
      </c>
    </row>
    <row r="29" spans="1:5">
      <c r="A29" s="6"/>
      <c r="B29" s="7" t="str">
        <f>'１区１班'!B29</f>
        <v>③ 敬老の日（9月21日午前中）祝い品（お赤飯を）お受け取り可能な方</v>
      </c>
    </row>
    <row r="30" spans="1:5">
      <c r="A30" s="6"/>
      <c r="B30" s="42" t="str">
        <f>'１区１班'!B30</f>
        <v>※お赤飯は食品につき、当日受け取り可能な方のみを対象とさせていただきます。</v>
      </c>
    </row>
  </sheetData>
  <mergeCells count="3">
    <mergeCell ref="A1:B1"/>
    <mergeCell ref="C1:E1"/>
    <mergeCell ref="C2:D2"/>
  </mergeCells>
  <phoneticPr fontId="4"/>
  <pageMargins left="0.9055118110236221" right="0.51181102362204722" top="0.74803149606299213" bottom="0.55118110236220474" header="0.31496062992125984" footer="0.31496062992125984"/>
  <pageSetup paperSize="9" scale="77" orientation="portrait" r:id="rId1"/>
  <headerFooter>
    <oddHeader>&amp;R&amp;14駒寄町内会</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91EC9-74B6-4F63-8DE6-8F156A7B8D53}">
  <sheetPr>
    <pageSetUpPr fitToPage="1"/>
  </sheetPr>
  <dimension ref="A1:F30"/>
  <sheetViews>
    <sheetView view="pageBreakPreview" zoomScale="60" zoomScaleNormal="100" workbookViewId="0">
      <selection activeCell="H13" sqref="H13"/>
    </sheetView>
  </sheetViews>
  <sheetFormatPr defaultRowHeight="18"/>
  <cols>
    <col min="1" max="1" width="4.5" bestFit="1" customWidth="1"/>
    <col min="2" max="2" width="17.19921875" bestFit="1" customWidth="1"/>
    <col min="3" max="3" width="10.59765625" customWidth="1"/>
    <col min="4" max="4" width="31.69921875" customWidth="1"/>
    <col min="5" max="5" width="39.09765625" customWidth="1"/>
  </cols>
  <sheetData>
    <row r="1" spans="1:6" s="5" customFormat="1" ht="26.4">
      <c r="A1" s="48" t="str" cm="1">
        <f t="array" aca="1" ref="A1" ca="1">MID(CELL("filename",A1),FIND("]",CELL("filename",A1))+1,255)</f>
        <v>２区８班</v>
      </c>
      <c r="B1" s="48"/>
      <c r="C1" s="49" t="str">
        <f>'１区１班'!C1</f>
        <v>Ｒ８年度 敬老祝い品　受取り対象者　聞き取り票</v>
      </c>
      <c r="D1" s="49"/>
      <c r="E1" s="49"/>
      <c r="F1" s="5">
        <v>6</v>
      </c>
    </row>
    <row r="2" spans="1:6">
      <c r="A2" s="4" t="s">
        <v>0</v>
      </c>
      <c r="B2" s="4" t="s">
        <v>10</v>
      </c>
      <c r="C2" s="50" t="s">
        <v>152</v>
      </c>
      <c r="D2" s="51"/>
      <c r="E2" s="4" t="s">
        <v>9</v>
      </c>
    </row>
    <row r="3" spans="1:6" ht="42">
      <c r="A3" s="8">
        <v>0</v>
      </c>
      <c r="B3" s="9" t="s">
        <v>153</v>
      </c>
      <c r="C3" s="59" t="s">
        <v>335</v>
      </c>
      <c r="D3" s="17" t="s">
        <v>309</v>
      </c>
      <c r="E3" s="44" t="s">
        <v>311</v>
      </c>
    </row>
    <row r="4" spans="1:6" ht="42" customHeight="1">
      <c r="A4" s="1">
        <v>1</v>
      </c>
      <c r="B4" s="2" t="s">
        <v>258</v>
      </c>
      <c r="C4" s="56" t="s">
        <v>330</v>
      </c>
      <c r="D4" s="19" t="s">
        <v>262</v>
      </c>
      <c r="E4" s="41" t="s">
        <v>158</v>
      </c>
    </row>
    <row r="5" spans="1:6" ht="42" customHeight="1">
      <c r="A5" s="1">
        <v>2</v>
      </c>
      <c r="B5" s="2" t="s">
        <v>111</v>
      </c>
      <c r="C5" s="56" t="s">
        <v>330</v>
      </c>
      <c r="D5" s="19" t="s">
        <v>216</v>
      </c>
      <c r="E5" s="41" t="s">
        <v>158</v>
      </c>
    </row>
    <row r="6" spans="1:6" ht="42" customHeight="1">
      <c r="A6" s="1">
        <v>3</v>
      </c>
      <c r="B6" s="2" t="s">
        <v>112</v>
      </c>
      <c r="C6" s="56" t="s">
        <v>330</v>
      </c>
      <c r="D6" s="19" t="s">
        <v>217</v>
      </c>
      <c r="E6" s="41" t="s">
        <v>158</v>
      </c>
    </row>
    <row r="7" spans="1:6" ht="42" customHeight="1">
      <c r="A7" s="1">
        <v>4</v>
      </c>
      <c r="B7" s="2" t="s">
        <v>113</v>
      </c>
      <c r="C7" s="56" t="s">
        <v>330</v>
      </c>
      <c r="D7" s="19" t="s">
        <v>218</v>
      </c>
      <c r="E7" s="41" t="s">
        <v>158</v>
      </c>
    </row>
    <row r="8" spans="1:6" ht="42" customHeight="1">
      <c r="A8" s="1">
        <v>5</v>
      </c>
      <c r="B8" s="11" t="s">
        <v>114</v>
      </c>
      <c r="C8" s="56" t="s">
        <v>330</v>
      </c>
      <c r="D8" s="19" t="s">
        <v>219</v>
      </c>
      <c r="E8" s="41" t="s">
        <v>158</v>
      </c>
    </row>
    <row r="9" spans="1:6" ht="42" customHeight="1">
      <c r="A9" s="1">
        <v>6</v>
      </c>
      <c r="B9" s="2" t="s">
        <v>115</v>
      </c>
      <c r="C9" s="56" t="s">
        <v>330</v>
      </c>
      <c r="D9" s="19" t="s">
        <v>220</v>
      </c>
      <c r="E9" s="41" t="s">
        <v>158</v>
      </c>
    </row>
    <row r="10" spans="1:6" ht="42" customHeight="1">
      <c r="A10" s="1">
        <v>7</v>
      </c>
      <c r="B10" s="14" t="s">
        <v>110</v>
      </c>
      <c r="C10" s="56" t="s">
        <v>157</v>
      </c>
      <c r="D10" s="20"/>
      <c r="E10" s="41" t="s">
        <v>158</v>
      </c>
    </row>
    <row r="11" spans="1:6" s="10" customFormat="1" ht="42" customHeight="1">
      <c r="A11" s="1">
        <v>8</v>
      </c>
      <c r="B11" s="14" t="s">
        <v>254</v>
      </c>
      <c r="C11" s="56" t="s">
        <v>157</v>
      </c>
      <c r="D11" s="21" t="s">
        <v>256</v>
      </c>
      <c r="E11" s="41" t="s">
        <v>158</v>
      </c>
    </row>
    <row r="12" spans="1:6" ht="42" customHeight="1">
      <c r="A12" s="1">
        <v>9</v>
      </c>
      <c r="B12" s="14" t="s">
        <v>255</v>
      </c>
      <c r="C12" s="56" t="s">
        <v>157</v>
      </c>
      <c r="D12" s="21" t="s">
        <v>257</v>
      </c>
      <c r="E12" s="41" t="s">
        <v>158</v>
      </c>
    </row>
    <row r="13" spans="1:6" ht="42" customHeight="1">
      <c r="A13" s="1">
        <v>10</v>
      </c>
      <c r="B13" s="14"/>
      <c r="C13" s="56" t="s">
        <v>157</v>
      </c>
      <c r="D13" s="16"/>
      <c r="E13" s="41" t="s">
        <v>158</v>
      </c>
    </row>
    <row r="14" spans="1:6" ht="42" customHeight="1">
      <c r="A14" s="1">
        <v>11</v>
      </c>
      <c r="B14" s="14"/>
      <c r="C14" s="56" t="s">
        <v>157</v>
      </c>
      <c r="D14" s="16"/>
      <c r="E14" s="41" t="s">
        <v>158</v>
      </c>
    </row>
    <row r="15" spans="1:6" ht="42" customHeight="1">
      <c r="A15" s="1">
        <v>12</v>
      </c>
      <c r="B15" s="14"/>
      <c r="C15" s="56" t="s">
        <v>157</v>
      </c>
      <c r="D15" s="16"/>
      <c r="E15" s="41" t="s">
        <v>158</v>
      </c>
    </row>
    <row r="16" spans="1:6" ht="42" customHeight="1">
      <c r="A16" s="1">
        <v>13</v>
      </c>
      <c r="B16" s="14"/>
      <c r="C16" s="56" t="s">
        <v>157</v>
      </c>
      <c r="D16" s="16"/>
      <c r="E16" s="41" t="s">
        <v>158</v>
      </c>
    </row>
    <row r="17" spans="1:5" ht="42" customHeight="1">
      <c r="A17" s="1">
        <v>14</v>
      </c>
      <c r="B17" s="14"/>
      <c r="C17" s="56" t="s">
        <v>157</v>
      </c>
      <c r="D17" s="16"/>
      <c r="E17" s="41" t="s">
        <v>158</v>
      </c>
    </row>
    <row r="18" spans="1:5" ht="42" customHeight="1">
      <c r="A18" s="1">
        <v>15</v>
      </c>
      <c r="B18" s="14"/>
      <c r="C18" s="56" t="s">
        <v>157</v>
      </c>
      <c r="D18" s="16"/>
      <c r="E18" s="41" t="s">
        <v>158</v>
      </c>
    </row>
    <row r="19" spans="1:5" ht="42" customHeight="1">
      <c r="A19" s="1">
        <v>16</v>
      </c>
      <c r="B19" s="14"/>
      <c r="C19" s="56" t="s">
        <v>157</v>
      </c>
      <c r="D19" s="16"/>
      <c r="E19" s="41" t="s">
        <v>158</v>
      </c>
    </row>
    <row r="20" spans="1:5" ht="9.75" customHeight="1"/>
    <row r="21" spans="1:5">
      <c r="A21" s="6" t="s">
        <v>11</v>
      </c>
      <c r="B21" s="15" t="s">
        <v>155</v>
      </c>
    </row>
    <row r="22" spans="1:5">
      <c r="A22" s="6"/>
      <c r="B22" s="43" t="str">
        <f>'１区１班'!B22</f>
        <v>所属班の各世帯から聞き取った内容を本用紙に記入し、９月６日の定例会に必ずご持参ください。</v>
      </c>
    </row>
    <row r="23" spans="1:5">
      <c r="A23" s="6"/>
      <c r="B23" s="42" t="str">
        <f>'１区１班'!B23</f>
        <v>※既に対象者氏名が印刷されている方については年齢の記入不要です。</v>
      </c>
    </row>
    <row r="24" spans="1:5" ht="9.75" customHeight="1">
      <c r="A24" s="6"/>
      <c r="B24" s="7"/>
    </row>
    <row r="25" spans="1:5">
      <c r="A25" s="6" t="s">
        <v>11</v>
      </c>
      <c r="B25" s="15" t="s">
        <v>160</v>
      </c>
    </row>
    <row r="26" spans="1:5">
      <c r="A26" s="6"/>
      <c r="B26" s="7" t="str">
        <f>'１区１班'!B26</f>
        <v>① 駒寄町内会会員であること（世帯代表者および同一生計者）</v>
      </c>
    </row>
    <row r="27" spans="1:5">
      <c r="A27" s="6"/>
      <c r="B27" s="42" t="str">
        <f>'１区１班'!B27</f>
        <v>※長期入院、ホーム長期入居者は対象外となります。</v>
      </c>
    </row>
    <row r="28" spans="1:5">
      <c r="A28" s="6"/>
      <c r="B28" s="7" t="str">
        <f>'１区１班'!B28</f>
        <v>② 昭和26年（1951年）12月31日以前生れの方（2026年12月31日時点で75歳以上の方）</v>
      </c>
    </row>
    <row r="29" spans="1:5">
      <c r="A29" s="6"/>
      <c r="B29" s="7" t="str">
        <f>'１区１班'!B29</f>
        <v>③ 敬老の日（9月21日午前中）祝い品（お赤飯を）お受け取り可能な方</v>
      </c>
    </row>
    <row r="30" spans="1:5">
      <c r="A30" s="6"/>
      <c r="B30" s="42" t="str">
        <f>'１区１班'!B30</f>
        <v>※お赤飯は食品につき、当日受け取り可能な方のみを対象とさせていただきます。</v>
      </c>
    </row>
  </sheetData>
  <mergeCells count="3">
    <mergeCell ref="A1:B1"/>
    <mergeCell ref="C1:E1"/>
    <mergeCell ref="C2:D2"/>
  </mergeCells>
  <phoneticPr fontId="4"/>
  <pageMargins left="0.9055118110236221" right="0.51181102362204722" top="0.74803149606299213" bottom="0.55118110236220474" header="0.31496062992125984" footer="0.31496062992125984"/>
  <pageSetup paperSize="9" scale="77" orientation="portrait" r:id="rId1"/>
  <headerFooter>
    <oddHeader>&amp;R&amp;14駒寄町内会</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0BFA6-8F60-4533-82CF-066089A21040}">
  <sheetPr>
    <pageSetUpPr fitToPage="1"/>
  </sheetPr>
  <dimension ref="A1:F30"/>
  <sheetViews>
    <sheetView view="pageBreakPreview" zoomScale="60" zoomScaleNormal="100" workbookViewId="0">
      <selection activeCell="H13" sqref="H13"/>
    </sheetView>
  </sheetViews>
  <sheetFormatPr defaultRowHeight="18"/>
  <cols>
    <col min="1" max="1" width="4.5" bestFit="1" customWidth="1"/>
    <col min="2" max="2" width="17.19921875" bestFit="1" customWidth="1"/>
    <col min="3" max="3" width="10.59765625" customWidth="1"/>
    <col min="4" max="4" width="31.69921875" customWidth="1"/>
    <col min="5" max="5" width="39.09765625" customWidth="1"/>
  </cols>
  <sheetData>
    <row r="1" spans="1:6" s="5" customFormat="1" ht="26.4">
      <c r="A1" s="48" t="str" cm="1">
        <f t="array" aca="1" ref="A1" ca="1">MID(CELL("filename",A1),FIND("]",CELL("filename",A1))+1,255)</f>
        <v>２区９班</v>
      </c>
      <c r="B1" s="48"/>
      <c r="C1" s="49" t="str">
        <f>'１区１班'!C1</f>
        <v>Ｒ８年度 敬老祝い品　受取り対象者　聞き取り票</v>
      </c>
      <c r="D1" s="49"/>
      <c r="E1" s="49"/>
      <c r="F1" s="5">
        <v>6</v>
      </c>
    </row>
    <row r="2" spans="1:6">
      <c r="A2" s="4" t="s">
        <v>0</v>
      </c>
      <c r="B2" s="4" t="s">
        <v>10</v>
      </c>
      <c r="C2" s="50" t="s">
        <v>152</v>
      </c>
      <c r="D2" s="51"/>
      <c r="E2" s="4" t="s">
        <v>9</v>
      </c>
    </row>
    <row r="3" spans="1:6" ht="42">
      <c r="A3" s="8">
        <v>0</v>
      </c>
      <c r="B3" s="9" t="s">
        <v>153</v>
      </c>
      <c r="C3" s="59" t="s">
        <v>335</v>
      </c>
      <c r="D3" s="17" t="s">
        <v>309</v>
      </c>
      <c r="E3" s="44" t="s">
        <v>311</v>
      </c>
    </row>
    <row r="4" spans="1:6" ht="42" customHeight="1">
      <c r="A4" s="1">
        <v>1</v>
      </c>
      <c r="B4" s="2" t="s">
        <v>116</v>
      </c>
      <c r="C4" s="56" t="s">
        <v>330</v>
      </c>
      <c r="D4" s="19" t="s">
        <v>221</v>
      </c>
      <c r="E4" s="41" t="s">
        <v>158</v>
      </c>
    </row>
    <row r="5" spans="1:6" ht="42" customHeight="1">
      <c r="A5" s="1">
        <v>2</v>
      </c>
      <c r="B5" s="2" t="s">
        <v>117</v>
      </c>
      <c r="C5" s="56" t="s">
        <v>157</v>
      </c>
      <c r="D5" s="19"/>
      <c r="E5" s="41" t="s">
        <v>158</v>
      </c>
    </row>
    <row r="6" spans="1:6" ht="42" customHeight="1">
      <c r="A6" s="1">
        <v>3</v>
      </c>
      <c r="B6" s="2" t="s">
        <v>118</v>
      </c>
      <c r="C6" s="56" t="s">
        <v>330</v>
      </c>
      <c r="D6" s="19" t="s">
        <v>222</v>
      </c>
      <c r="E6" s="41" t="s">
        <v>158</v>
      </c>
    </row>
    <row r="7" spans="1:6" ht="42" customHeight="1">
      <c r="A7" s="1">
        <v>4</v>
      </c>
      <c r="B7" s="2" t="s">
        <v>223</v>
      </c>
      <c r="C7" s="56" t="s">
        <v>330</v>
      </c>
      <c r="D7" s="19" t="s">
        <v>224</v>
      </c>
      <c r="E7" s="41" t="s">
        <v>158</v>
      </c>
    </row>
    <row r="8" spans="1:6" ht="42" customHeight="1">
      <c r="A8" s="1">
        <v>5</v>
      </c>
      <c r="B8" s="11" t="s">
        <v>119</v>
      </c>
      <c r="C8" s="56" t="s">
        <v>330</v>
      </c>
      <c r="D8" s="19" t="s">
        <v>225</v>
      </c>
      <c r="E8" s="41" t="s">
        <v>158</v>
      </c>
    </row>
    <row r="9" spans="1:6" ht="42" customHeight="1">
      <c r="A9" s="1">
        <v>6</v>
      </c>
      <c r="B9" s="2" t="s">
        <v>226</v>
      </c>
      <c r="C9" s="56" t="s">
        <v>330</v>
      </c>
      <c r="D9" s="19" t="s">
        <v>227</v>
      </c>
      <c r="E9" s="41" t="s">
        <v>158</v>
      </c>
    </row>
    <row r="10" spans="1:6" ht="42" customHeight="1">
      <c r="A10" s="1">
        <v>7</v>
      </c>
      <c r="B10" s="2" t="s">
        <v>120</v>
      </c>
      <c r="C10" s="56" t="s">
        <v>157</v>
      </c>
      <c r="D10" s="19"/>
      <c r="E10" s="41" t="s">
        <v>158</v>
      </c>
    </row>
    <row r="11" spans="1:6" s="10" customFormat="1" ht="42" customHeight="1">
      <c r="A11" s="1">
        <v>8</v>
      </c>
      <c r="B11" s="14" t="s">
        <v>121</v>
      </c>
      <c r="C11" s="56" t="s">
        <v>157</v>
      </c>
      <c r="D11" s="19"/>
      <c r="E11" s="41" t="s">
        <v>158</v>
      </c>
    </row>
    <row r="12" spans="1:6" ht="42" customHeight="1">
      <c r="A12" s="1">
        <v>9</v>
      </c>
      <c r="B12" s="14"/>
      <c r="C12" s="56" t="s">
        <v>157</v>
      </c>
      <c r="D12" s="20"/>
      <c r="E12" s="41" t="s">
        <v>158</v>
      </c>
    </row>
    <row r="13" spans="1:6" ht="42" customHeight="1">
      <c r="A13" s="1">
        <v>10</v>
      </c>
      <c r="B13" s="14"/>
      <c r="C13" s="56" t="s">
        <v>157</v>
      </c>
      <c r="D13" s="20"/>
      <c r="E13" s="41" t="s">
        <v>158</v>
      </c>
    </row>
    <row r="14" spans="1:6" ht="42" customHeight="1">
      <c r="A14" s="1">
        <v>11</v>
      </c>
      <c r="B14" s="14"/>
      <c r="C14" s="56" t="s">
        <v>157</v>
      </c>
      <c r="D14" s="20"/>
      <c r="E14" s="41" t="s">
        <v>158</v>
      </c>
    </row>
    <row r="15" spans="1:6" ht="42" customHeight="1">
      <c r="A15" s="1">
        <v>12</v>
      </c>
      <c r="B15" s="14"/>
      <c r="C15" s="56" t="s">
        <v>157</v>
      </c>
      <c r="D15" s="20"/>
      <c r="E15" s="41" t="s">
        <v>158</v>
      </c>
    </row>
    <row r="16" spans="1:6" ht="42" customHeight="1">
      <c r="A16" s="1">
        <v>13</v>
      </c>
      <c r="B16" s="14"/>
      <c r="C16" s="56" t="s">
        <v>157</v>
      </c>
      <c r="D16" s="20"/>
      <c r="E16" s="41" t="s">
        <v>158</v>
      </c>
    </row>
    <row r="17" spans="1:5" ht="42" customHeight="1">
      <c r="A17" s="1">
        <v>14</v>
      </c>
      <c r="B17" s="14"/>
      <c r="C17" s="56" t="s">
        <v>157</v>
      </c>
      <c r="D17" s="20"/>
      <c r="E17" s="41" t="s">
        <v>158</v>
      </c>
    </row>
    <row r="18" spans="1:5" ht="42" customHeight="1">
      <c r="A18" s="1">
        <v>15</v>
      </c>
      <c r="B18" s="14"/>
      <c r="C18" s="56" t="s">
        <v>157</v>
      </c>
      <c r="D18" s="20"/>
      <c r="E18" s="41" t="s">
        <v>158</v>
      </c>
    </row>
    <row r="19" spans="1:5" ht="42" customHeight="1">
      <c r="A19" s="1">
        <v>16</v>
      </c>
      <c r="B19" s="14"/>
      <c r="C19" s="56" t="s">
        <v>157</v>
      </c>
      <c r="D19" s="20"/>
      <c r="E19" s="41" t="s">
        <v>158</v>
      </c>
    </row>
    <row r="20" spans="1:5" ht="9.75" customHeight="1"/>
    <row r="21" spans="1:5">
      <c r="A21" s="6" t="s">
        <v>11</v>
      </c>
      <c r="B21" s="15" t="s">
        <v>155</v>
      </c>
    </row>
    <row r="22" spans="1:5">
      <c r="A22" s="6"/>
      <c r="B22" s="43" t="str">
        <f>'１区１班'!B22</f>
        <v>所属班の各世帯から聞き取った内容を本用紙に記入し、９月６日の定例会に必ずご持参ください。</v>
      </c>
    </row>
    <row r="23" spans="1:5">
      <c r="A23" s="6"/>
      <c r="B23" s="42" t="str">
        <f>'１区１班'!B23</f>
        <v>※既に対象者氏名が印刷されている方については年齢の記入不要です。</v>
      </c>
    </row>
    <row r="24" spans="1:5" ht="9.75" customHeight="1">
      <c r="A24" s="6"/>
      <c r="B24" s="7"/>
    </row>
    <row r="25" spans="1:5">
      <c r="A25" s="6" t="s">
        <v>11</v>
      </c>
      <c r="B25" s="15" t="s">
        <v>160</v>
      </c>
    </row>
    <row r="26" spans="1:5">
      <c r="A26" s="6"/>
      <c r="B26" s="7" t="str">
        <f>'１区１班'!B26</f>
        <v>① 駒寄町内会会員であること（世帯代表者および同一生計者）</v>
      </c>
    </row>
    <row r="27" spans="1:5">
      <c r="A27" s="6"/>
      <c r="B27" s="42" t="str">
        <f>'１区１班'!B27</f>
        <v>※長期入院、ホーム長期入居者は対象外となります。</v>
      </c>
    </row>
    <row r="28" spans="1:5">
      <c r="A28" s="6"/>
      <c r="B28" s="7" t="str">
        <f>'１区１班'!B28</f>
        <v>② 昭和26年（1951年）12月31日以前生れの方（2026年12月31日時点で75歳以上の方）</v>
      </c>
    </row>
    <row r="29" spans="1:5">
      <c r="A29" s="6"/>
      <c r="B29" s="7" t="str">
        <f>'１区１班'!B29</f>
        <v>③ 敬老の日（9月21日午前中）祝い品（お赤飯を）お受け取り可能な方</v>
      </c>
    </row>
    <row r="30" spans="1:5">
      <c r="A30" s="6"/>
      <c r="B30" s="42" t="str">
        <f>'１区１班'!B30</f>
        <v>※お赤飯は食品につき、当日受け取り可能な方のみを対象とさせていただきます。</v>
      </c>
    </row>
  </sheetData>
  <mergeCells count="3">
    <mergeCell ref="A1:B1"/>
    <mergeCell ref="C1:E1"/>
    <mergeCell ref="C2:D2"/>
  </mergeCells>
  <phoneticPr fontId="4"/>
  <pageMargins left="0.9055118110236221" right="0.51181102362204722" top="0.74803149606299213" bottom="0.55118110236220474" header="0.31496062992125984" footer="0.31496062992125984"/>
  <pageSetup paperSize="9" scale="77" orientation="portrait" r:id="rId1"/>
  <headerFooter>
    <oddHeader>&amp;R&amp;14駒寄町内会</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9BBA9-C89F-4959-9DF9-C69A7119CFB8}">
  <sheetPr>
    <pageSetUpPr fitToPage="1"/>
  </sheetPr>
  <dimension ref="A1:F30"/>
  <sheetViews>
    <sheetView view="pageBreakPreview" zoomScale="60" zoomScaleNormal="100" workbookViewId="0">
      <selection activeCell="C11" sqref="C11"/>
    </sheetView>
  </sheetViews>
  <sheetFormatPr defaultRowHeight="18"/>
  <cols>
    <col min="1" max="1" width="4.5" bestFit="1" customWidth="1"/>
    <col min="2" max="2" width="17.19921875" bestFit="1" customWidth="1"/>
    <col min="3" max="3" width="10.59765625" customWidth="1"/>
    <col min="4" max="4" width="31.69921875" customWidth="1"/>
    <col min="5" max="5" width="39.09765625" customWidth="1"/>
  </cols>
  <sheetData>
    <row r="1" spans="1:6" s="5" customFormat="1" ht="26.4">
      <c r="A1" s="48" t="str" cm="1">
        <f t="array" aca="1" ref="A1" ca="1">MID(CELL("filename",A1),FIND("]",CELL("filename",A1))+1,255)</f>
        <v>２区10班</v>
      </c>
      <c r="B1" s="48"/>
      <c r="C1" s="49" t="str">
        <f>'１区１班'!C1</f>
        <v>Ｒ８年度 敬老祝い品　受取り対象者　聞き取り票</v>
      </c>
      <c r="D1" s="49"/>
      <c r="E1" s="49"/>
      <c r="F1" s="5">
        <v>10</v>
      </c>
    </row>
    <row r="2" spans="1:6">
      <c r="A2" s="4" t="s">
        <v>0</v>
      </c>
      <c r="B2" s="4" t="s">
        <v>10</v>
      </c>
      <c r="C2" s="50" t="s">
        <v>152</v>
      </c>
      <c r="D2" s="51"/>
      <c r="E2" s="4" t="s">
        <v>9</v>
      </c>
    </row>
    <row r="3" spans="1:6" ht="42">
      <c r="A3" s="8">
        <v>0</v>
      </c>
      <c r="B3" s="9" t="s">
        <v>153</v>
      </c>
      <c r="C3" s="59" t="s">
        <v>335</v>
      </c>
      <c r="D3" s="17" t="s">
        <v>309</v>
      </c>
      <c r="E3" s="44" t="s">
        <v>311</v>
      </c>
    </row>
    <row r="4" spans="1:6" ht="42" customHeight="1">
      <c r="A4" s="1">
        <v>1</v>
      </c>
      <c r="B4" s="2" t="s">
        <v>122</v>
      </c>
      <c r="C4" s="56" t="s">
        <v>330</v>
      </c>
      <c r="D4" s="19" t="s">
        <v>228</v>
      </c>
      <c r="E4" s="41" t="s">
        <v>158</v>
      </c>
    </row>
    <row r="5" spans="1:6" ht="42" customHeight="1">
      <c r="A5" s="1">
        <v>2</v>
      </c>
      <c r="B5" s="2" t="s">
        <v>123</v>
      </c>
      <c r="C5" s="56" t="s">
        <v>330</v>
      </c>
      <c r="D5" s="19" t="s">
        <v>229</v>
      </c>
      <c r="E5" s="41" t="s">
        <v>158</v>
      </c>
    </row>
    <row r="6" spans="1:6" ht="42" customHeight="1">
      <c r="A6" s="1">
        <v>3</v>
      </c>
      <c r="B6" s="2" t="s">
        <v>124</v>
      </c>
      <c r="C6" s="56" t="s">
        <v>330</v>
      </c>
      <c r="D6" s="19" t="s">
        <v>230</v>
      </c>
      <c r="E6" s="41" t="s">
        <v>158</v>
      </c>
    </row>
    <row r="7" spans="1:6" ht="42" customHeight="1">
      <c r="A7" s="1">
        <v>4</v>
      </c>
      <c r="B7" s="2" t="s">
        <v>125</v>
      </c>
      <c r="C7" s="56" t="s">
        <v>157</v>
      </c>
      <c r="D7" s="19"/>
      <c r="E7" s="41" t="s">
        <v>158</v>
      </c>
    </row>
    <row r="8" spans="1:6" ht="42" customHeight="1">
      <c r="A8" s="1">
        <v>5</v>
      </c>
      <c r="B8" s="11" t="s">
        <v>126</v>
      </c>
      <c r="C8" s="56" t="s">
        <v>330</v>
      </c>
      <c r="D8" s="19" t="s">
        <v>231</v>
      </c>
      <c r="E8" s="41" t="s">
        <v>158</v>
      </c>
    </row>
    <row r="9" spans="1:6" ht="42" customHeight="1">
      <c r="A9" s="1">
        <v>6</v>
      </c>
      <c r="B9" s="2" t="s">
        <v>127</v>
      </c>
      <c r="C9" s="56" t="s">
        <v>157</v>
      </c>
      <c r="D9" s="19"/>
      <c r="E9" s="41" t="s">
        <v>158</v>
      </c>
    </row>
    <row r="10" spans="1:6" ht="42" customHeight="1">
      <c r="A10" s="1">
        <v>7</v>
      </c>
      <c r="B10" s="2" t="s">
        <v>128</v>
      </c>
      <c r="C10" s="56" t="s">
        <v>330</v>
      </c>
      <c r="D10" s="19" t="s">
        <v>232</v>
      </c>
      <c r="E10" s="41" t="s">
        <v>158</v>
      </c>
    </row>
    <row r="11" spans="1:6" s="10" customFormat="1" ht="42" customHeight="1">
      <c r="A11" s="1">
        <v>8</v>
      </c>
      <c r="B11" s="14" t="s">
        <v>129</v>
      </c>
      <c r="C11" s="56" t="s">
        <v>330</v>
      </c>
      <c r="D11" s="19" t="s">
        <v>233</v>
      </c>
      <c r="E11" s="41" t="s">
        <v>158</v>
      </c>
    </row>
    <row r="12" spans="1:6" ht="42" customHeight="1">
      <c r="A12" s="1">
        <v>9</v>
      </c>
      <c r="B12" s="14" t="s">
        <v>130</v>
      </c>
      <c r="C12" s="56" t="s">
        <v>330</v>
      </c>
      <c r="D12" s="19" t="s">
        <v>234</v>
      </c>
      <c r="E12" s="41" t="s">
        <v>158</v>
      </c>
    </row>
    <row r="13" spans="1:6" ht="42" customHeight="1">
      <c r="A13" s="1">
        <v>10</v>
      </c>
      <c r="B13" s="14" t="s">
        <v>131</v>
      </c>
      <c r="C13" s="56" t="s">
        <v>330</v>
      </c>
      <c r="D13" s="19" t="s">
        <v>235</v>
      </c>
      <c r="E13" s="41" t="s">
        <v>158</v>
      </c>
    </row>
    <row r="14" spans="1:6" ht="42" customHeight="1">
      <c r="A14" s="1">
        <v>11</v>
      </c>
      <c r="B14" s="14" t="s">
        <v>132</v>
      </c>
      <c r="C14" s="56" t="s">
        <v>157</v>
      </c>
      <c r="D14" s="19"/>
      <c r="E14" s="41" t="s">
        <v>158</v>
      </c>
    </row>
    <row r="15" spans="1:6" ht="42" customHeight="1">
      <c r="A15" s="1">
        <v>12</v>
      </c>
      <c r="B15" s="14"/>
      <c r="C15" s="56" t="s">
        <v>157</v>
      </c>
      <c r="D15" s="20"/>
      <c r="E15" s="41" t="s">
        <v>158</v>
      </c>
    </row>
    <row r="16" spans="1:6" ht="42" customHeight="1">
      <c r="A16" s="1">
        <v>13</v>
      </c>
      <c r="B16" s="14"/>
      <c r="C16" s="56" t="s">
        <v>157</v>
      </c>
      <c r="D16" s="20"/>
      <c r="E16" s="41" t="s">
        <v>158</v>
      </c>
    </row>
    <row r="17" spans="1:5" ht="42" customHeight="1">
      <c r="A17" s="1">
        <v>14</v>
      </c>
      <c r="B17" s="14"/>
      <c r="C17" s="56" t="s">
        <v>157</v>
      </c>
      <c r="D17" s="20"/>
      <c r="E17" s="41" t="s">
        <v>158</v>
      </c>
    </row>
    <row r="18" spans="1:5" ht="42" customHeight="1">
      <c r="A18" s="1">
        <v>15</v>
      </c>
      <c r="B18" s="14"/>
      <c r="C18" s="56" t="s">
        <v>157</v>
      </c>
      <c r="D18" s="20"/>
      <c r="E18" s="41" t="s">
        <v>158</v>
      </c>
    </row>
    <row r="19" spans="1:5" ht="42" customHeight="1">
      <c r="A19" s="1">
        <v>16</v>
      </c>
      <c r="B19" s="14"/>
      <c r="C19" s="56" t="s">
        <v>157</v>
      </c>
      <c r="D19" s="20"/>
      <c r="E19" s="41" t="s">
        <v>158</v>
      </c>
    </row>
    <row r="20" spans="1:5" ht="9.75" customHeight="1"/>
    <row r="21" spans="1:5">
      <c r="A21" s="6" t="s">
        <v>11</v>
      </c>
      <c r="B21" s="15" t="s">
        <v>155</v>
      </c>
    </row>
    <row r="22" spans="1:5">
      <c r="A22" s="6"/>
      <c r="B22" s="43" t="str">
        <f>'１区１班'!B22</f>
        <v>所属班の各世帯から聞き取った内容を本用紙に記入し、９月６日の定例会に必ずご持参ください。</v>
      </c>
    </row>
    <row r="23" spans="1:5">
      <c r="A23" s="6"/>
      <c r="B23" s="42" t="str">
        <f>'１区１班'!B23</f>
        <v>※既に対象者氏名が印刷されている方については年齢の記入不要です。</v>
      </c>
    </row>
    <row r="24" spans="1:5" ht="9.75" customHeight="1">
      <c r="A24" s="6"/>
      <c r="B24" s="7"/>
    </row>
    <row r="25" spans="1:5">
      <c r="A25" s="6" t="s">
        <v>11</v>
      </c>
      <c r="B25" s="15" t="s">
        <v>160</v>
      </c>
    </row>
    <row r="26" spans="1:5">
      <c r="A26" s="6"/>
      <c r="B26" s="7" t="str">
        <f>'１区１班'!B26</f>
        <v>① 駒寄町内会会員であること（世帯代表者および同一生計者）</v>
      </c>
    </row>
    <row r="27" spans="1:5">
      <c r="A27" s="6"/>
      <c r="B27" s="42" t="str">
        <f>'１区１班'!B27</f>
        <v>※長期入院、ホーム長期入居者は対象外となります。</v>
      </c>
    </row>
    <row r="28" spans="1:5">
      <c r="A28" s="6"/>
      <c r="B28" s="7" t="str">
        <f>'１区１班'!B28</f>
        <v>② 昭和26年（1951年）12月31日以前生れの方（2026年12月31日時点で75歳以上の方）</v>
      </c>
    </row>
    <row r="29" spans="1:5">
      <c r="A29" s="6"/>
      <c r="B29" s="7" t="str">
        <f>'１区１班'!B29</f>
        <v>③ 敬老の日（9月21日午前中）祝い品（お赤飯を）お受け取り可能な方</v>
      </c>
    </row>
    <row r="30" spans="1:5">
      <c r="A30" s="6"/>
      <c r="B30" s="42" t="str">
        <f>'１区１班'!B30</f>
        <v>※お赤飯は食品につき、当日受け取り可能な方のみを対象とさせていただきます。</v>
      </c>
    </row>
  </sheetData>
  <mergeCells count="3">
    <mergeCell ref="A1:B1"/>
    <mergeCell ref="C1:E1"/>
    <mergeCell ref="C2:D2"/>
  </mergeCells>
  <phoneticPr fontId="4"/>
  <pageMargins left="0.9055118110236221" right="0.51181102362204722" top="0.74803149606299213" bottom="0.55118110236220474" header="0.31496062992125984" footer="0.31496062992125984"/>
  <pageSetup paperSize="9" scale="77" orientation="portrait" r:id="rId1"/>
  <headerFooter>
    <oddHeader>&amp;R&amp;14駒寄町内会</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660F6-37DA-4271-9095-8E1943E59459}">
  <sheetPr>
    <pageSetUpPr fitToPage="1"/>
  </sheetPr>
  <dimension ref="A1:F30"/>
  <sheetViews>
    <sheetView view="pageBreakPreview" zoomScale="60" zoomScaleNormal="100" workbookViewId="0">
      <selection activeCell="H13" sqref="H13"/>
    </sheetView>
  </sheetViews>
  <sheetFormatPr defaultRowHeight="18"/>
  <cols>
    <col min="1" max="1" width="4.5" bestFit="1" customWidth="1"/>
    <col min="2" max="2" width="17.19921875" bestFit="1" customWidth="1"/>
    <col min="3" max="3" width="10.59765625" customWidth="1"/>
    <col min="4" max="4" width="31.69921875" customWidth="1"/>
    <col min="5" max="5" width="39.09765625" customWidth="1"/>
  </cols>
  <sheetData>
    <row r="1" spans="1:6" s="5" customFormat="1" ht="26.4">
      <c r="A1" s="48" t="str" cm="1">
        <f t="array" aca="1" ref="A1" ca="1">MID(CELL("filename",A1),FIND("]",CELL("filename",A1))+1,255)</f>
        <v>２区11班</v>
      </c>
      <c r="B1" s="48"/>
      <c r="C1" s="49" t="str">
        <f>'１区１班'!C1</f>
        <v>Ｒ８年度 敬老祝い品　受取り対象者　聞き取り票</v>
      </c>
      <c r="D1" s="49"/>
      <c r="E1" s="49"/>
      <c r="F1" s="5">
        <v>8</v>
      </c>
    </row>
    <row r="2" spans="1:6">
      <c r="A2" s="4" t="s">
        <v>0</v>
      </c>
      <c r="B2" s="4" t="s">
        <v>10</v>
      </c>
      <c r="C2" s="50" t="s">
        <v>152</v>
      </c>
      <c r="D2" s="51"/>
      <c r="E2" s="4" t="s">
        <v>9</v>
      </c>
    </row>
    <row r="3" spans="1:6" ht="42">
      <c r="A3" s="8">
        <v>0</v>
      </c>
      <c r="B3" s="9" t="s">
        <v>153</v>
      </c>
      <c r="C3" s="59" t="s">
        <v>335</v>
      </c>
      <c r="D3" s="17" t="s">
        <v>309</v>
      </c>
      <c r="E3" s="44" t="s">
        <v>311</v>
      </c>
    </row>
    <row r="4" spans="1:6" ht="42" customHeight="1">
      <c r="A4" s="1">
        <v>1</v>
      </c>
      <c r="B4" s="2" t="s">
        <v>133</v>
      </c>
      <c r="C4" s="56" t="s">
        <v>157</v>
      </c>
      <c r="D4" s="19"/>
      <c r="E4" s="41" t="s">
        <v>158</v>
      </c>
    </row>
    <row r="5" spans="1:6" ht="42" customHeight="1">
      <c r="A5" s="1">
        <v>2</v>
      </c>
      <c r="B5" s="2" t="s">
        <v>134</v>
      </c>
      <c r="C5" s="56" t="s">
        <v>157</v>
      </c>
      <c r="D5" s="19" t="s">
        <v>236</v>
      </c>
      <c r="E5" s="41" t="s">
        <v>158</v>
      </c>
    </row>
    <row r="6" spans="1:6" ht="42" customHeight="1">
      <c r="A6" s="1">
        <v>3</v>
      </c>
      <c r="B6" s="2" t="s">
        <v>135</v>
      </c>
      <c r="C6" s="56" t="s">
        <v>157</v>
      </c>
      <c r="D6" s="19" t="s">
        <v>237</v>
      </c>
      <c r="E6" s="41" t="s">
        <v>158</v>
      </c>
    </row>
    <row r="7" spans="1:6" ht="42" customHeight="1">
      <c r="A7" s="1">
        <v>4</v>
      </c>
      <c r="B7" s="2" t="s">
        <v>136</v>
      </c>
      <c r="C7" s="56" t="s">
        <v>157</v>
      </c>
      <c r="D7" s="40" t="s">
        <v>276</v>
      </c>
      <c r="E7" s="41" t="s">
        <v>158</v>
      </c>
    </row>
    <row r="8" spans="1:6" ht="42" customHeight="1">
      <c r="A8" s="1">
        <v>5</v>
      </c>
      <c r="B8" s="11" t="s">
        <v>137</v>
      </c>
      <c r="C8" s="56" t="s">
        <v>157</v>
      </c>
      <c r="D8" s="19" t="s">
        <v>238</v>
      </c>
      <c r="E8" s="41" t="s">
        <v>158</v>
      </c>
    </row>
    <row r="9" spans="1:6" ht="42" customHeight="1">
      <c r="A9" s="1">
        <v>6</v>
      </c>
      <c r="B9" s="2" t="s">
        <v>138</v>
      </c>
      <c r="C9" s="56" t="s">
        <v>157</v>
      </c>
      <c r="D9" s="19"/>
      <c r="E9" s="41" t="s">
        <v>158</v>
      </c>
    </row>
    <row r="10" spans="1:6" ht="42" customHeight="1">
      <c r="A10" s="1">
        <v>7</v>
      </c>
      <c r="B10" s="2" t="s">
        <v>139</v>
      </c>
      <c r="C10" s="56" t="s">
        <v>157</v>
      </c>
      <c r="D10" s="19" t="s">
        <v>239</v>
      </c>
      <c r="E10" s="41" t="s">
        <v>158</v>
      </c>
    </row>
    <row r="11" spans="1:6" s="10" customFormat="1" ht="42" customHeight="1">
      <c r="A11" s="1">
        <v>8</v>
      </c>
      <c r="B11" s="14" t="s">
        <v>140</v>
      </c>
      <c r="C11" s="56" t="s">
        <v>157</v>
      </c>
      <c r="D11" s="19" t="s">
        <v>240</v>
      </c>
      <c r="E11" s="41" t="s">
        <v>158</v>
      </c>
    </row>
    <row r="12" spans="1:6" ht="42" customHeight="1">
      <c r="A12" s="1">
        <v>9</v>
      </c>
      <c r="B12" s="14" t="s">
        <v>141</v>
      </c>
      <c r="C12" s="56" t="s">
        <v>157</v>
      </c>
      <c r="D12" s="19" t="s">
        <v>241</v>
      </c>
      <c r="E12" s="41" t="s">
        <v>158</v>
      </c>
    </row>
    <row r="13" spans="1:6" ht="42" customHeight="1">
      <c r="A13" s="1">
        <v>10</v>
      </c>
      <c r="B13" s="14" t="s">
        <v>142</v>
      </c>
      <c r="C13" s="56" t="s">
        <v>157</v>
      </c>
      <c r="D13" s="19"/>
      <c r="E13" s="41" t="s">
        <v>158</v>
      </c>
    </row>
    <row r="14" spans="1:6" ht="42" customHeight="1">
      <c r="A14" s="1">
        <v>11</v>
      </c>
      <c r="B14" s="14"/>
      <c r="C14" s="56" t="s">
        <v>157</v>
      </c>
      <c r="D14" s="20"/>
      <c r="E14" s="41" t="s">
        <v>158</v>
      </c>
    </row>
    <row r="15" spans="1:6" ht="42" customHeight="1">
      <c r="A15" s="1">
        <v>12</v>
      </c>
      <c r="B15" s="14"/>
      <c r="C15" s="56" t="s">
        <v>157</v>
      </c>
      <c r="D15" s="20"/>
      <c r="E15" s="41" t="s">
        <v>158</v>
      </c>
    </row>
    <row r="16" spans="1:6" ht="42" customHeight="1">
      <c r="A16" s="1">
        <v>13</v>
      </c>
      <c r="B16" s="14"/>
      <c r="C16" s="56" t="s">
        <v>157</v>
      </c>
      <c r="D16" s="20"/>
      <c r="E16" s="41" t="s">
        <v>158</v>
      </c>
    </row>
    <row r="17" spans="1:5" ht="42" customHeight="1">
      <c r="A17" s="1">
        <v>14</v>
      </c>
      <c r="B17" s="14"/>
      <c r="C17" s="56" t="s">
        <v>157</v>
      </c>
      <c r="D17" s="20"/>
      <c r="E17" s="41" t="s">
        <v>158</v>
      </c>
    </row>
    <row r="18" spans="1:5" ht="42" customHeight="1">
      <c r="A18" s="1">
        <v>15</v>
      </c>
      <c r="B18" s="14"/>
      <c r="C18" s="56" t="s">
        <v>157</v>
      </c>
      <c r="D18" s="20"/>
      <c r="E18" s="41" t="s">
        <v>158</v>
      </c>
    </row>
    <row r="19" spans="1:5" ht="42" customHeight="1">
      <c r="A19" s="1">
        <v>16</v>
      </c>
      <c r="B19" s="14"/>
      <c r="C19" s="56" t="s">
        <v>157</v>
      </c>
      <c r="D19" s="20"/>
      <c r="E19" s="41" t="s">
        <v>158</v>
      </c>
    </row>
    <row r="20" spans="1:5" ht="9.75" customHeight="1"/>
    <row r="21" spans="1:5">
      <c r="A21" s="6" t="s">
        <v>11</v>
      </c>
      <c r="B21" s="15" t="s">
        <v>155</v>
      </c>
    </row>
    <row r="22" spans="1:5">
      <c r="A22" s="6"/>
      <c r="B22" s="43" t="str">
        <f>'１区１班'!B22</f>
        <v>所属班の各世帯から聞き取った内容を本用紙に記入し、９月６日の定例会に必ずご持参ください。</v>
      </c>
    </row>
    <row r="23" spans="1:5">
      <c r="A23" s="6"/>
      <c r="B23" s="42" t="str">
        <f>'１区１班'!B23</f>
        <v>※既に対象者氏名が印刷されている方については年齢の記入不要です。</v>
      </c>
    </row>
    <row r="24" spans="1:5" ht="9.75" customHeight="1">
      <c r="A24" s="6"/>
      <c r="B24" s="7"/>
    </row>
    <row r="25" spans="1:5">
      <c r="A25" s="6" t="s">
        <v>11</v>
      </c>
      <c r="B25" s="15" t="s">
        <v>160</v>
      </c>
    </row>
    <row r="26" spans="1:5">
      <c r="A26" s="6"/>
      <c r="B26" s="7" t="str">
        <f>'１区１班'!B26</f>
        <v>① 駒寄町内会会員であること（世帯代表者および同一生計者）</v>
      </c>
    </row>
    <row r="27" spans="1:5">
      <c r="A27" s="6"/>
      <c r="B27" s="42" t="str">
        <f>'１区１班'!B27</f>
        <v>※長期入院、ホーム長期入居者は対象外となります。</v>
      </c>
    </row>
    <row r="28" spans="1:5">
      <c r="A28" s="6"/>
      <c r="B28" s="7" t="str">
        <f>'１区１班'!B28</f>
        <v>② 昭和26年（1951年）12月31日以前生れの方（2026年12月31日時点で75歳以上の方）</v>
      </c>
    </row>
    <row r="29" spans="1:5">
      <c r="A29" s="6"/>
      <c r="B29" s="7" t="str">
        <f>'１区１班'!B29</f>
        <v>③ 敬老の日（9月21日午前中）祝い品（お赤飯を）お受け取り可能な方</v>
      </c>
    </row>
    <row r="30" spans="1:5">
      <c r="A30" s="6"/>
      <c r="B30" s="42" t="str">
        <f>'１区１班'!B30</f>
        <v>※お赤飯は食品につき、当日受け取り可能な方のみを対象とさせていただきます。</v>
      </c>
    </row>
  </sheetData>
  <mergeCells count="3">
    <mergeCell ref="A1:B1"/>
    <mergeCell ref="C1:E1"/>
    <mergeCell ref="C2:D2"/>
  </mergeCells>
  <phoneticPr fontId="4"/>
  <pageMargins left="0.9055118110236221" right="0.51181102362204722" top="0.74803149606299213" bottom="0.55118110236220474" header="0.31496062992125984" footer="0.31496062992125984"/>
  <pageSetup paperSize="9" scale="77" orientation="portrait" r:id="rId1"/>
  <headerFooter>
    <oddHeader>&amp;R&amp;14駒寄町内会</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03A45-67AB-4BFD-B064-FE85AB4E5C0C}">
  <sheetPr>
    <pageSetUpPr fitToPage="1"/>
  </sheetPr>
  <dimension ref="A1:F30"/>
  <sheetViews>
    <sheetView view="pageBreakPreview" zoomScale="60" zoomScaleNormal="100" workbookViewId="0">
      <selection activeCell="C4" sqref="C4"/>
    </sheetView>
  </sheetViews>
  <sheetFormatPr defaultRowHeight="18"/>
  <cols>
    <col min="1" max="1" width="4.5" bestFit="1" customWidth="1"/>
    <col min="2" max="2" width="17.19921875" bestFit="1" customWidth="1"/>
    <col min="3" max="3" width="10.59765625" customWidth="1"/>
    <col min="4" max="4" width="31.69921875" customWidth="1"/>
    <col min="5" max="5" width="39.09765625" customWidth="1"/>
  </cols>
  <sheetData>
    <row r="1" spans="1:6" s="5" customFormat="1" ht="26.4">
      <c r="A1" s="48" t="str" cm="1">
        <f t="array" aca="1" ref="A1" ca="1">MID(CELL("filename",A1),FIND("]",CELL("filename",A1))+1,255)</f>
        <v>２区12班</v>
      </c>
      <c r="B1" s="48"/>
      <c r="C1" s="49" t="str">
        <f>'１区１班'!C1</f>
        <v>Ｒ８年度 敬老祝い品　受取り対象者　聞き取り票</v>
      </c>
      <c r="D1" s="49"/>
      <c r="E1" s="49"/>
      <c r="F1" s="5">
        <v>1</v>
      </c>
    </row>
    <row r="2" spans="1:6">
      <c r="A2" s="4" t="s">
        <v>0</v>
      </c>
      <c r="B2" s="4" t="s">
        <v>10</v>
      </c>
      <c r="C2" s="50" t="s">
        <v>152</v>
      </c>
      <c r="D2" s="51"/>
      <c r="E2" s="4" t="s">
        <v>9</v>
      </c>
    </row>
    <row r="3" spans="1:6" ht="42">
      <c r="A3" s="8">
        <v>0</v>
      </c>
      <c r="B3" s="9" t="s">
        <v>153</v>
      </c>
      <c r="C3" s="59" t="s">
        <v>335</v>
      </c>
      <c r="D3" s="17" t="s">
        <v>309</v>
      </c>
      <c r="E3" s="44" t="s">
        <v>311</v>
      </c>
    </row>
    <row r="4" spans="1:6" ht="42" customHeight="1">
      <c r="A4" s="1">
        <v>1</v>
      </c>
      <c r="B4" s="2" t="s">
        <v>143</v>
      </c>
      <c r="C4" s="61" t="s">
        <v>331</v>
      </c>
      <c r="D4" s="60" t="s">
        <v>242</v>
      </c>
      <c r="E4" s="41" t="s">
        <v>158</v>
      </c>
    </row>
    <row r="5" spans="1:6" ht="42" customHeight="1">
      <c r="A5" s="1">
        <v>2</v>
      </c>
      <c r="B5" s="2" t="s">
        <v>144</v>
      </c>
      <c r="C5" s="56" t="s">
        <v>157</v>
      </c>
      <c r="D5" s="19"/>
      <c r="E5" s="41" t="s">
        <v>158</v>
      </c>
    </row>
    <row r="6" spans="1:6" ht="42" customHeight="1">
      <c r="A6" s="1">
        <v>3</v>
      </c>
      <c r="B6" s="2" t="s">
        <v>145</v>
      </c>
      <c r="C6" s="56" t="s">
        <v>157</v>
      </c>
      <c r="D6" s="19"/>
      <c r="E6" s="41" t="s">
        <v>158</v>
      </c>
    </row>
    <row r="7" spans="1:6" ht="42" customHeight="1">
      <c r="A7" s="1">
        <v>4</v>
      </c>
      <c r="B7" s="2" t="s">
        <v>146</v>
      </c>
      <c r="C7" s="56" t="s">
        <v>157</v>
      </c>
      <c r="D7" s="19"/>
      <c r="E7" s="41" t="s">
        <v>158</v>
      </c>
    </row>
    <row r="8" spans="1:6" ht="42" customHeight="1">
      <c r="A8" s="1">
        <v>5</v>
      </c>
      <c r="B8" s="11" t="s">
        <v>147</v>
      </c>
      <c r="C8" s="56" t="s">
        <v>157</v>
      </c>
      <c r="D8" s="19"/>
      <c r="E8" s="41" t="s">
        <v>158</v>
      </c>
    </row>
    <row r="9" spans="1:6" ht="42" customHeight="1">
      <c r="A9" s="1">
        <v>6</v>
      </c>
      <c r="B9" s="2" t="s">
        <v>148</v>
      </c>
      <c r="C9" s="56" t="s">
        <v>157</v>
      </c>
      <c r="D9" s="19"/>
      <c r="E9" s="41" t="s">
        <v>158</v>
      </c>
    </row>
    <row r="10" spans="1:6" ht="42" customHeight="1">
      <c r="A10" s="1">
        <v>7</v>
      </c>
      <c r="B10" s="2" t="s">
        <v>149</v>
      </c>
      <c r="C10" s="56" t="s">
        <v>330</v>
      </c>
      <c r="D10" s="19" t="s">
        <v>243</v>
      </c>
      <c r="E10" s="41" t="s">
        <v>158</v>
      </c>
    </row>
    <row r="11" spans="1:6" s="10" customFormat="1" ht="42" customHeight="1">
      <c r="A11" s="1">
        <v>8</v>
      </c>
      <c r="B11" s="14" t="s">
        <v>150</v>
      </c>
      <c r="C11" s="56" t="s">
        <v>157</v>
      </c>
      <c r="D11" s="19"/>
      <c r="E11" s="41" t="s">
        <v>158</v>
      </c>
    </row>
    <row r="12" spans="1:6" ht="42" customHeight="1">
      <c r="A12" s="1">
        <v>9</v>
      </c>
      <c r="B12" s="14" t="s">
        <v>260</v>
      </c>
      <c r="C12" s="56" t="s">
        <v>157</v>
      </c>
      <c r="D12" s="19"/>
      <c r="E12" s="41" t="s">
        <v>158</v>
      </c>
    </row>
    <row r="13" spans="1:6" ht="42" customHeight="1">
      <c r="A13" s="1">
        <v>10</v>
      </c>
      <c r="B13" s="14" t="s">
        <v>261</v>
      </c>
      <c r="C13" s="56" t="s">
        <v>157</v>
      </c>
      <c r="D13" s="19"/>
      <c r="E13" s="41" t="s">
        <v>158</v>
      </c>
    </row>
    <row r="14" spans="1:6" ht="42" customHeight="1">
      <c r="A14" s="1">
        <v>11</v>
      </c>
      <c r="B14" s="14"/>
      <c r="C14" s="56" t="s">
        <v>157</v>
      </c>
      <c r="D14" s="20"/>
      <c r="E14" s="41" t="s">
        <v>158</v>
      </c>
    </row>
    <row r="15" spans="1:6" ht="42" customHeight="1">
      <c r="A15" s="1">
        <v>12</v>
      </c>
      <c r="B15" s="14"/>
      <c r="C15" s="56" t="s">
        <v>157</v>
      </c>
      <c r="D15" s="20"/>
      <c r="E15" s="41" t="s">
        <v>158</v>
      </c>
    </row>
    <row r="16" spans="1:6" ht="42" customHeight="1">
      <c r="A16" s="1">
        <v>13</v>
      </c>
      <c r="B16" s="14"/>
      <c r="C16" s="56" t="s">
        <v>157</v>
      </c>
      <c r="D16" s="20"/>
      <c r="E16" s="41" t="s">
        <v>158</v>
      </c>
    </row>
    <row r="17" spans="1:5" ht="42" customHeight="1">
      <c r="A17" s="1">
        <v>14</v>
      </c>
      <c r="B17" s="14"/>
      <c r="C17" s="56" t="s">
        <v>157</v>
      </c>
      <c r="D17" s="20"/>
      <c r="E17" s="41" t="s">
        <v>158</v>
      </c>
    </row>
    <row r="18" spans="1:5" ht="42" customHeight="1">
      <c r="A18" s="1">
        <v>15</v>
      </c>
      <c r="B18" s="14"/>
      <c r="C18" s="56" t="s">
        <v>157</v>
      </c>
      <c r="D18" s="20"/>
      <c r="E18" s="41" t="s">
        <v>158</v>
      </c>
    </row>
    <row r="19" spans="1:5" ht="42" customHeight="1">
      <c r="A19" s="1">
        <v>16</v>
      </c>
      <c r="B19" s="14"/>
      <c r="C19" s="56" t="s">
        <v>157</v>
      </c>
      <c r="D19" s="20"/>
      <c r="E19" s="41" t="s">
        <v>158</v>
      </c>
    </row>
    <row r="20" spans="1:5" ht="9.75" customHeight="1"/>
    <row r="21" spans="1:5">
      <c r="A21" s="6" t="s">
        <v>11</v>
      </c>
      <c r="B21" s="15" t="s">
        <v>155</v>
      </c>
    </row>
    <row r="22" spans="1:5">
      <c r="A22" s="6"/>
      <c r="B22" s="43" t="str">
        <f>'１区１班'!B22</f>
        <v>所属班の各世帯から聞き取った内容を本用紙に記入し、９月６日の定例会に必ずご持参ください。</v>
      </c>
    </row>
    <row r="23" spans="1:5">
      <c r="A23" s="6"/>
      <c r="B23" s="42" t="str">
        <f>'１区１班'!B23</f>
        <v>※既に対象者氏名が印刷されている方については年齢の記入不要です。</v>
      </c>
    </row>
    <row r="24" spans="1:5" ht="9.75" customHeight="1">
      <c r="A24" s="6"/>
      <c r="B24" s="7"/>
    </row>
    <row r="25" spans="1:5">
      <c r="A25" s="6" t="s">
        <v>11</v>
      </c>
      <c r="B25" s="15" t="s">
        <v>160</v>
      </c>
    </row>
    <row r="26" spans="1:5">
      <c r="A26" s="6"/>
      <c r="B26" s="7" t="str">
        <f>'１区１班'!B26</f>
        <v>① 駒寄町内会会員であること（世帯代表者および同一生計者）</v>
      </c>
    </row>
    <row r="27" spans="1:5">
      <c r="A27" s="6"/>
      <c r="B27" s="42" t="str">
        <f>'１区１班'!B27</f>
        <v>※長期入院、ホーム長期入居者は対象外となります。</v>
      </c>
    </row>
    <row r="28" spans="1:5">
      <c r="A28" s="6"/>
      <c r="B28" s="7" t="str">
        <f>'１区１班'!B28</f>
        <v>② 昭和26年（1951年）12月31日以前生れの方（2026年12月31日時点で75歳以上の方）</v>
      </c>
    </row>
    <row r="29" spans="1:5">
      <c r="A29" s="6"/>
      <c r="B29" s="7" t="str">
        <f>'１区１班'!B29</f>
        <v>③ 敬老の日（9月21日午前中）祝い品（お赤飯を）お受け取り可能な方</v>
      </c>
    </row>
    <row r="30" spans="1:5">
      <c r="A30" s="6"/>
      <c r="B30" s="42" t="str">
        <f>'１区１班'!B30</f>
        <v>※お赤飯は食品につき、当日受け取り可能な方のみを対象とさせていただきます。</v>
      </c>
    </row>
  </sheetData>
  <mergeCells count="3">
    <mergeCell ref="A1:B1"/>
    <mergeCell ref="C1:E1"/>
    <mergeCell ref="C2:D2"/>
  </mergeCells>
  <phoneticPr fontId="4"/>
  <pageMargins left="0.9055118110236221" right="0.51181102362204722" top="0.74803149606299213" bottom="0.55118110236220474" header="0.31496062992125984" footer="0.31496062992125984"/>
  <pageSetup paperSize="9" scale="77" orientation="portrait" r:id="rId1"/>
  <headerFooter>
    <oddHeader>&amp;R&amp;14駒寄町内会</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25</vt:i4>
      </vt:variant>
      <vt:variant>
        <vt:lpstr>名前付き一覧</vt:lpstr>
      </vt:variant>
      <vt:variant>
        <vt:i4>25</vt:i4>
      </vt:variant>
    </vt:vector>
  </HeadingPairs>
  <TitlesOfParts>
    <vt:vector size="50" baseType="lpstr">
      <vt:lpstr>マスター</vt:lpstr>
      <vt:lpstr>１区１班</vt:lpstr>
      <vt:lpstr>１区２班</vt:lpstr>
      <vt:lpstr>１区３班</vt:lpstr>
      <vt:lpstr>１区４班</vt:lpstr>
      <vt:lpstr>１区５班</vt:lpstr>
      <vt:lpstr>１区６班</vt:lpstr>
      <vt:lpstr>１区７班</vt:lpstr>
      <vt:lpstr>１区８班</vt:lpstr>
      <vt:lpstr>１区９班</vt:lpstr>
      <vt:lpstr>１区10班</vt:lpstr>
      <vt:lpstr>１区11班</vt:lpstr>
      <vt:lpstr>１区12班</vt:lpstr>
      <vt:lpstr>２区１班</vt:lpstr>
      <vt:lpstr>２区２班</vt:lpstr>
      <vt:lpstr>２区３班</vt:lpstr>
      <vt:lpstr>２区４班</vt:lpstr>
      <vt:lpstr>２区５班</vt:lpstr>
      <vt:lpstr>２区６班</vt:lpstr>
      <vt:lpstr>２区７班</vt:lpstr>
      <vt:lpstr>２区８班</vt:lpstr>
      <vt:lpstr>２区９班</vt:lpstr>
      <vt:lpstr>２区10班</vt:lpstr>
      <vt:lpstr>２区11班</vt:lpstr>
      <vt:lpstr>２区12班</vt:lpstr>
      <vt:lpstr>'１区10班'!Print_Area</vt:lpstr>
      <vt:lpstr>'１区11班'!Print_Area</vt:lpstr>
      <vt:lpstr>'１区12班'!Print_Area</vt:lpstr>
      <vt:lpstr>'１区１班'!Print_Area</vt:lpstr>
      <vt:lpstr>'１区２班'!Print_Area</vt:lpstr>
      <vt:lpstr>'１区３班'!Print_Area</vt:lpstr>
      <vt:lpstr>'１区４班'!Print_Area</vt:lpstr>
      <vt:lpstr>'１区５班'!Print_Area</vt:lpstr>
      <vt:lpstr>'１区６班'!Print_Area</vt:lpstr>
      <vt:lpstr>'１区７班'!Print_Area</vt:lpstr>
      <vt:lpstr>'１区８班'!Print_Area</vt:lpstr>
      <vt:lpstr>'１区９班'!Print_Area</vt:lpstr>
      <vt:lpstr>'２区10班'!Print_Area</vt:lpstr>
      <vt:lpstr>'２区11班'!Print_Area</vt:lpstr>
      <vt:lpstr>'２区12班'!Print_Area</vt:lpstr>
      <vt:lpstr>'２区１班'!Print_Area</vt:lpstr>
      <vt:lpstr>'２区２班'!Print_Area</vt:lpstr>
      <vt:lpstr>'２区３班'!Print_Area</vt:lpstr>
      <vt:lpstr>'２区４班'!Print_Area</vt:lpstr>
      <vt:lpstr>'２区５班'!Print_Area</vt:lpstr>
      <vt:lpstr>'２区６班'!Print_Area</vt:lpstr>
      <vt:lpstr>'２区７班'!Print_Area</vt:lpstr>
      <vt:lpstr>'２区８班'!Print_Area</vt:lpstr>
      <vt:lpstr>'２区９班'!Print_Area</vt:lpstr>
      <vt:lpstr>マスター!Print_Area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橋本岳</dc:creator>
  <cp:lastModifiedBy>hashimoto takeshi(橋本 岳 ＴＥＴＣ ○シス本□ＳＷ技○ＳＷ１)</cp:lastModifiedBy>
  <cp:lastPrinted>2026-09-08T23:27:57Z</cp:lastPrinted>
  <dcterms:created xsi:type="dcterms:W3CDTF">2015-06-05T18:19:34Z</dcterms:created>
  <dcterms:modified xsi:type="dcterms:W3CDTF">2026-09-08T23:52:54Z</dcterms:modified>
</cp:coreProperties>
</file>